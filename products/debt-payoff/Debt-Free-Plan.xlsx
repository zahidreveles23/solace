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y Plan" sheetId="2" state="visible" r:id="rId4"/>
    <sheet name="My Debts" sheetId="3" state="visible" r:id="rId5"/>
    <sheet name="Snowball Schedule" sheetId="4" state="visible" r:id="rId6"/>
    <sheet name="Avalanche Schedu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Change to see any future month (1 = first month of the plan).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Annual interest rate from your statement, e.g. 22.49%. Enter 0% for interest-free debts.</t>
        </r>
      </text>
    </comment>
    <comment ref="D16" authorId="0">
      <text>
        <r>
          <rPr>
            <sz val="10"/>
            <rFont val="Arial"/>
            <family val="2"/>
          </rPr>
          <t xml:space="preserve">Balance-weighted average APR.</t>
        </r>
      </text>
    </comment>
  </commentList>
</comments>
</file>

<file path=xl/sharedStrings.xml><?xml version="1.0" encoding="utf-8"?>
<sst xmlns="http://schemas.openxmlformats.org/spreadsheetml/2006/main" count="80" uniqueCount="68">
  <si>
    <t xml:space="preserve">Debt Free Plan</t>
  </si>
  <si>
    <t xml:space="preserve">See your debt-free date and exactly what to pay each month</t>
  </si>
  <si>
    <t xml:space="preserve">YOUR SETTINGS</t>
  </si>
  <si>
    <t xml:space="preserve">Total you can pay toward debt each month</t>
  </si>
  <si>
    <t xml:space="preserve">Include all minimum payments plus any extra you can afford.</t>
  </si>
  <si>
    <t xml:space="preserve">Plan start month</t>
  </si>
  <si>
    <t xml:space="preserve">The first month you'll follow this plan.</t>
  </si>
  <si>
    <t xml:space="preserve">Payoff method</t>
  </si>
  <si>
    <t xml:space="preserve">Avalanche</t>
  </si>
  <si>
    <t xml:space="preserve">Avalanche = highest interest first (saves the most). Snowball = smallest balance first (fastest wins).</t>
  </si>
  <si>
    <t xml:space="preserve">HOW TO USE</t>
  </si>
  <si>
    <t xml:space="preserve">1.  List your debts on the My Debts tab: name, balance, interest rate (APR) and minimum payment.</t>
  </si>
  <si>
    <t xml:space="preserve">2.  Enter your monthly debt budget above (yellow cells = type here).</t>
  </si>
  <si>
    <t xml:space="preserve">3.  Open My Plan to see your debt-free date, total interest, and what to pay this month.</t>
  </si>
  <si>
    <t xml:space="preserve">4.  Pick Avalanche or Snowball above. My Plan compares both so you can see the difference.</t>
  </si>
  <si>
    <t xml:space="preserve">5.  Each month, pay the amounts shown. When one debt is paid off, its payment rolls to the next.</t>
  </si>
  <si>
    <t xml:space="preserve">6.  Update balances every few months so the plan stays accurate.</t>
  </si>
  <si>
    <t xml:space="preserve">Tip: in Google Sheets, open the file from Google Drive or use File &gt; Import.</t>
  </si>
  <si>
    <t xml:space="preserve">Estimates assume fixed interest rates and on-time payments, with no new charges. Not financial advice.</t>
  </si>
  <si>
    <t xml:space="preserve">My Plan</t>
  </si>
  <si>
    <t xml:space="preserve">DEBT-FREE DATE</t>
  </si>
  <si>
    <t xml:space="preserve">MONTHS TO GO</t>
  </si>
  <si>
    <t xml:space="preserve">TOTAL INTEREST</t>
  </si>
  <si>
    <t xml:space="preserve">TOTAL YOU'LL PAY</t>
  </si>
  <si>
    <t xml:space="preserve">WHAT TO PAY THIS MONTH</t>
  </si>
  <si>
    <t xml:space="preserve">Month #</t>
  </si>
  <si>
    <t xml:space="preserve">SNOWBALL vs AVALANCHE</t>
  </si>
  <si>
    <t xml:space="preserve">Debt</t>
  </si>
  <si>
    <t xml:space="preserve">Pay this month</t>
  </si>
  <si>
    <t xml:space="preserve">Balance after</t>
  </si>
  <si>
    <t xml:space="preserve">Order</t>
  </si>
  <si>
    <t xml:space="preserve">Snowball</t>
  </si>
  <si>
    <t xml:space="preserve">Difference</t>
  </si>
  <si>
    <t xml:space="preserve">Debt-free in (months)</t>
  </si>
  <si>
    <t xml:space="preserve">Total interest</t>
  </si>
  <si>
    <t xml:space="preserve">Snowball pays off small debts first for quick wins and motivation.</t>
  </si>
  <si>
    <t xml:space="preserve">Avalanche targets the highest interest first and usually costs less.</t>
  </si>
  <si>
    <t xml:space="preserve">PAYOFF ORDER (YOUR PLAN)</t>
  </si>
  <si>
    <t xml:space="preserve">#</t>
  </si>
  <si>
    <t xml:space="preserve">Paid off</t>
  </si>
  <si>
    <t xml:space="preserve">Interest paid</t>
  </si>
  <si>
    <t xml:space="preserve">Total</t>
  </si>
  <si>
    <t xml:space="preserve">BALANCE OVER TIME</t>
  </si>
  <si>
    <t xml:space="preserve">My Debts</t>
  </si>
  <si>
    <t xml:space="preserve">Enter up to 10 debts. Yellow cells are yours; grey cells calculate automatically.</t>
  </si>
  <si>
    <t xml:space="preserve">Debt name</t>
  </si>
  <si>
    <t xml:space="preserve">Balance ($)</t>
  </si>
  <si>
    <t xml:space="preserve">APR</t>
  </si>
  <si>
    <t xml:space="preserve">Minimum payment ($)</t>
  </si>
  <si>
    <t xml:space="preserve">Snowball order</t>
  </si>
  <si>
    <t xml:space="preserve">Avalanche order</t>
  </si>
  <si>
    <t xml:space="preserve">Paid off (your plan)</t>
  </si>
  <si>
    <t xml:space="preserve">Interest paid (your plan)</t>
  </si>
  <si>
    <t xml:space="preserve">Store card (example)</t>
  </si>
  <si>
    <t xml:space="preserve">Visa (example)</t>
  </si>
  <si>
    <t xml:space="preserve">Car loan (example)</t>
  </si>
  <si>
    <t xml:space="preserve">Delete the example rows and enter your own debts. Rows left blank are ignored.</t>
  </si>
  <si>
    <t xml:space="preserve">Snowball Schedule</t>
  </si>
  <si>
    <t xml:space="preserve">Month-by-month simulation. No need to edit this tab.</t>
  </si>
  <si>
    <t xml:space="preserve">Priority</t>
  </si>
  <si>
    <t xml:space="preserve">Month</t>
  </si>
  <si>
    <t xml:space="preserve">Extra available</t>
  </si>
  <si>
    <t xml:space="preserve">Total balance</t>
  </si>
  <si>
    <t xml:space="preserve">Interest this month</t>
  </si>
  <si>
    <t xml:space="preserve">Start</t>
  </si>
  <si>
    <t xml:space="preserve">Avalanche Schedule</t>
  </si>
  <si>
    <t xml:space="preserve">Step</t>
  </si>
  <si>
    <t xml:space="preserve">Chart: month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</si>
</sst>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mmm\ yyyy"/>
    <numFmt numFmtId="167" formatCode="0"/>
    <numFmt numFmtId="168" formatCode="\$#,##0.00;&quot;($&quot;#,##0.00\);\-"/>
    <numFmt numFmtId="169" formatCode="\$#,##0"/>
    <numFmt numFmtId="170" formatCode="0.00%"/>
    <numFmt numFmtId="171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0"/>
      <color rgb="FF6B7785"/>
      <name val="Arial"/>
      <family val="0"/>
      <charset val="1"/>
    </font>
    <font>
      <b val="true"/>
      <sz val="12"/>
      <color rgb="FF2A9D8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6B7785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4D6"/>
        <bgColor rgb="FFF3F6F9"/>
      </patternFill>
    </fill>
    <fill>
      <patternFill patternType="solid">
        <fgColor rgb="FF2A9D8F"/>
        <bgColor rgb="FF008080"/>
      </patternFill>
    </fill>
    <fill>
      <patternFill patternType="solid">
        <fgColor rgb="FFF3F6F9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FFFFFF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4"/>
      <rgbColor rgb="FF878787"/>
      <rgbColor rgb="FF9999FF"/>
      <rgbColor rgb="FF993366"/>
      <rgbColor rgb="FFFFF4D6"/>
      <rgbColor rgb="FFF3F6F9"/>
      <rgbColor rgb="FF660066"/>
      <rgbColor rgb="FFE76F51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785"/>
      <rgbColor rgb="FF969696"/>
      <rgbColor rgb="FF1F3A5F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debt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'Avalanche Schedule'!AK5</c:f>
              <c:strCache>
                <c:ptCount val="1"/>
                <c:pt idx="0">
                  <c:v>Snowball</c:v>
                </c:pt>
              </c:strCache>
            </c:strRef>
          </c:tx>
          <c:spPr>
            <a:solidFill>
              <a:srgbClr val="e76f51"/>
            </a:solidFill>
            <a:ln w="28080">
              <a:solidFill>
                <a:srgbClr val="e76f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'Avalanche Schedule'!$AJ$6:$AJ$46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'Avalanche Schedule'!$AK$6:$AK$46</c:f>
              <c:numCache>
                <c:formatCode>\$#,##0;"($"#,##0\);\-</c:formatCode>
                <c:ptCount val="41"/>
                <c:pt idx="0">
                  <c:v>14850</c:v>
                </c:pt>
                <c:pt idx="1">
                  <c:v>13804.19</c:v>
                </c:pt>
                <c:pt idx="2">
                  <c:v>12738.8</c:v>
                </c:pt>
                <c:pt idx="3">
                  <c:v>11656.18</c:v>
                </c:pt>
                <c:pt idx="4">
                  <c:v>10556.28</c:v>
                </c:pt>
                <c:pt idx="5">
                  <c:v>9438.79</c:v>
                </c:pt>
                <c:pt idx="6">
                  <c:v>8303.39</c:v>
                </c:pt>
                <c:pt idx="7">
                  <c:v>7151.13</c:v>
                </c:pt>
                <c:pt idx="8">
                  <c:v>5992.25</c:v>
                </c:pt>
                <c:pt idx="9">
                  <c:v>4826.71</c:v>
                </c:pt>
                <c:pt idx="10">
                  <c:v>3654.46</c:v>
                </c:pt>
                <c:pt idx="11">
                  <c:v>2475.47</c:v>
                </c:pt>
                <c:pt idx="12">
                  <c:v>1289.7</c:v>
                </c:pt>
                <c:pt idx="13">
                  <c:v>97.12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'Avalanche Schedule'!AL5</c:f>
              <c:strCache>
                <c:ptCount val="1"/>
                <c:pt idx="0">
                  <c:v>Avalanche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'Avalanche Schedule'!$AJ$6:$AJ$46</c:f>
              <c:strCach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strCache>
            </c:strRef>
          </c:cat>
          <c:val>
            <c:numRef>
              <c:f>'Avalanche Schedule'!$AL$6:$AL$46</c:f>
              <c:numCache>
                <c:formatCode>\$#,##0;"($"#,##0\);\-</c:formatCode>
                <c:ptCount val="41"/>
                <c:pt idx="0">
                  <c:v>14850</c:v>
                </c:pt>
                <c:pt idx="1">
                  <c:v>13804.19</c:v>
                </c:pt>
                <c:pt idx="2">
                  <c:v>12738.8</c:v>
                </c:pt>
                <c:pt idx="3">
                  <c:v>11656.18</c:v>
                </c:pt>
                <c:pt idx="4">
                  <c:v>10556.28</c:v>
                </c:pt>
                <c:pt idx="5">
                  <c:v>9438.79</c:v>
                </c:pt>
                <c:pt idx="6">
                  <c:v>8303.39</c:v>
                </c:pt>
                <c:pt idx="7">
                  <c:v>7151.13</c:v>
                </c:pt>
                <c:pt idx="8">
                  <c:v>5992.25</c:v>
                </c:pt>
                <c:pt idx="9">
                  <c:v>4826.71</c:v>
                </c:pt>
                <c:pt idx="10">
                  <c:v>3654.46</c:v>
                </c:pt>
                <c:pt idx="11">
                  <c:v>2475.47</c:v>
                </c:pt>
                <c:pt idx="12">
                  <c:v>1289.7</c:v>
                </c:pt>
                <c:pt idx="13">
                  <c:v>97.12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987893"/>
        <c:axId val="6218401"/>
      </c:lineChart>
      <c:catAx>
        <c:axId val="519878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Months from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8401"/>
        <c:crosses val="autoZero"/>
        <c:auto val="1"/>
        <c:lblAlgn val="ctr"/>
        <c:lblOffset val="100"/>
        <c:noMultiLvlLbl val="0"/>
      </c:catAx>
      <c:valAx>
        <c:axId val="6218401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878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70560</xdr:rowOff>
    </xdr:from>
    <xdr:to>
      <xdr:col>6</xdr:col>
      <xdr:colOff>1794240</xdr:colOff>
      <xdr:row>50</xdr:row>
      <xdr:rowOff>71640</xdr:rowOff>
    </xdr:to>
    <xdr:graphicFrame>
      <xdr:nvGraphicFramePr>
        <xdr:cNvPr id="0" name="Chart 1"/>
        <xdr:cNvGraphicFramePr/>
      </xdr:nvGraphicFramePr>
      <xdr:xfrm>
        <a:off x="266760" y="68580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62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v>1200</v>
      </c>
      <c r="D5" s="2" t="s">
        <v>4</v>
      </c>
    </row>
    <row r="6" customFormat="false" ht="15" hidden="false" customHeight="false" outlineLevel="0" collapsed="false">
      <c r="B6" s="4" t="s">
        <v>5</v>
      </c>
      <c r="C6" s="6" t="n">
        <v>46296</v>
      </c>
      <c r="D6" s="2" t="s">
        <v>6</v>
      </c>
    </row>
    <row r="7" customFormat="false" ht="15" hidden="false" customHeight="false" outlineLevel="0" collapsed="false">
      <c r="B7" s="4" t="s">
        <v>7</v>
      </c>
      <c r="C7" s="7" t="s">
        <v>8</v>
      </c>
      <c r="D7" s="2" t="s">
        <v>9</v>
      </c>
    </row>
    <row r="10" customFormat="false" ht="15" hidden="false" customHeight="false" outlineLevel="0" collapsed="false">
      <c r="B10" s="3" t="s">
        <v>10</v>
      </c>
    </row>
    <row r="11" customFormat="false" ht="15" hidden="false" customHeight="false" outlineLevel="0" collapsed="false">
      <c r="B11" s="4" t="s">
        <v>11</v>
      </c>
    </row>
    <row r="12" customFormat="false" ht="15" hidden="false" customHeight="false" outlineLevel="0" collapsed="false">
      <c r="B12" s="4" t="s">
        <v>12</v>
      </c>
    </row>
    <row r="13" customFormat="false" ht="15" hidden="false" customHeight="false" outlineLevel="0" collapsed="false">
      <c r="B13" s="4" t="s">
        <v>13</v>
      </c>
    </row>
    <row r="14" customFormat="false" ht="15" hidden="false" customHeight="false" outlineLevel="0" collapsed="false">
      <c r="B14" s="4" t="s">
        <v>14</v>
      </c>
    </row>
    <row r="15" customFormat="false" ht="15" hidden="false" customHeight="false" outlineLevel="0" collapsed="false">
      <c r="B15" s="4" t="s">
        <v>15</v>
      </c>
    </row>
    <row r="16" customFormat="false" ht="15" hidden="false" customHeight="false" outlineLevel="0" collapsed="false">
      <c r="B16" s="4" t="s">
        <v>16</v>
      </c>
    </row>
    <row r="17" customFormat="false" ht="15" hidden="false" customHeight="false" outlineLevel="0" collapsed="false">
      <c r="B17" s="4" t="s">
        <v>17</v>
      </c>
    </row>
    <row r="19" customFormat="false" ht="15" hidden="false" customHeight="false" outlineLevel="0" collapsed="false">
      <c r="B19" s="2" t="s">
        <v>18</v>
      </c>
    </row>
  </sheetData>
  <dataValidations count="1">
    <dataValidation allowBlank="false" errorStyle="stop" operator="between" showDropDown="false" showErrorMessage="false" showInputMessage="false" sqref="C7" type="list">
      <formula1>"Avalanche,Snowball"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10" min="8" style="0" width="16"/>
  </cols>
  <sheetData>
    <row r="1" customFormat="false" ht="24.4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/>
      <c r="B2" s="8" t="str">
        <f aca="false">"Your "&amp;LOWER('Start Here'!$C$7)&amp;" plan · starting "&amp;TEXT('Start Here'!$C$6,"mmmm yyyy")</f>
        <v>Your avalanche plan · starting October 2026</v>
      </c>
    </row>
    <row r="3" customFormat="false" ht="15" hidden="false" customHeight="false" outlineLevel="0" collapsed="false">
      <c r="B3" s="9" t="str">
        <f aca="false">IF('Start Here'!$C$5&lt;'My Debts'!$E$16,"⚠ Your monthly budget is less than your minimum payments ("&amp;TEXT('My Debts'!$E$16,"$#,##0")&amp;"). This plan assumes you still pay every minimum. Raise your budget on Start Here.","")</f>
        <v/>
      </c>
    </row>
    <row r="5" customFormat="false" ht="15" hidden="false" customHeight="false" outlineLevel="0" collapsed="false">
      <c r="B5" s="10" t="s">
        <v>20</v>
      </c>
      <c r="C5" s="10"/>
      <c r="D5" s="10" t="s">
        <v>21</v>
      </c>
      <c r="E5" s="10"/>
      <c r="G5" s="10" t="s">
        <v>22</v>
      </c>
      <c r="H5" s="10"/>
      <c r="I5" s="10" t="s">
        <v>23</v>
      </c>
      <c r="J5" s="10"/>
    </row>
    <row r="6" customFormat="false" ht="15" hidden="false" customHeight="false" outlineLevel="0" collapsed="false">
      <c r="B6" s="11" t="n">
        <f aca="false">IF(IF('Start Here'!$C$7="Snowball",COUNTIF('Snowball Schedule'!$AG$7:$AG$366,"&gt;0.005")+1,COUNTIF('Avalanche Schedule'!$AG$7:$AG$366,"&gt;0.005")+1)&gt;360,"30+ years",DATE(YEAR('Start Here'!$C$6),MONTH('Start Here'!$C$6)+IF('Start Here'!$C$7="Snowball",COUNTIF('Snowball Schedule'!$AG$7:$AG$366,"&gt;0.005")+1,COUNTIF('Avalanche Schedule'!$AG$7:$AG$366,"&gt;0.005")+1)-1,1))</f>
        <v>46692</v>
      </c>
      <c r="C6" s="11"/>
      <c r="D6" s="12" t="n">
        <f aca="false">IF(IF('Start Here'!$C$7="Snowball",COUNTIF('Snowball Schedule'!$AG$7:$AG$366,"&gt;0.005")+1,COUNTIF('Avalanche Schedule'!$AG$7:$AG$366,"&gt;0.005")+1)&gt;360,"30+",IF('Start Here'!$C$7="Snowball",COUNTIF('Snowball Schedule'!$AG$7:$AG$366,"&gt;0.005")+1,COUNTIF('Avalanche Schedule'!$AG$7:$AG$366,"&gt;0.005")+1))</f>
        <v>14</v>
      </c>
      <c r="E6" s="12"/>
      <c r="G6" s="13" t="n">
        <f aca="false">IF('Start Here'!$C$7="Snowball",SUM('Snowball Schedule'!$AH$7:$AH$366),SUM('Avalanche Schedule'!$AH$7:$AH$366))</f>
        <v>847.679999999999</v>
      </c>
      <c r="H6" s="13"/>
      <c r="I6" s="13" t="n">
        <f aca="false">'My Debts'!$C$16+IF('Start Here'!$C$7="Snowball",SUM('Snowball Schedule'!$AH$7:$AH$366),SUM('Avalanche Schedule'!$AH$7:$AH$366))</f>
        <v>15697.68</v>
      </c>
      <c r="J6" s="13"/>
    </row>
    <row r="7" customFormat="false" ht="15" hidden="false" customHeight="false" outlineLevel="0" collapsed="false">
      <c r="B7" s="11"/>
      <c r="C7" s="11"/>
      <c r="D7" s="12"/>
      <c r="E7" s="12"/>
      <c r="G7" s="13"/>
      <c r="H7" s="13"/>
      <c r="I7" s="13"/>
      <c r="J7" s="13"/>
    </row>
    <row r="10" customFormat="false" ht="15" hidden="false" customHeight="false" outlineLevel="0" collapsed="false">
      <c r="B10" s="3" t="s">
        <v>24</v>
      </c>
      <c r="D10" s="14" t="s">
        <v>25</v>
      </c>
      <c r="E10" s="15" t="n">
        <v>1</v>
      </c>
      <c r="G10" s="3" t="s">
        <v>26</v>
      </c>
    </row>
    <row r="11" customFormat="false" ht="30" hidden="false" customHeight="true" outlineLevel="0" collapsed="false">
      <c r="B11" s="16" t="s">
        <v>27</v>
      </c>
      <c r="C11" s="16" t="s">
        <v>28</v>
      </c>
      <c r="D11" s="16" t="s">
        <v>29</v>
      </c>
      <c r="E11" s="16" t="s">
        <v>30</v>
      </c>
      <c r="G11" s="16"/>
      <c r="H11" s="16" t="s">
        <v>31</v>
      </c>
      <c r="I11" s="16" t="s">
        <v>8</v>
      </c>
      <c r="J11" s="16" t="s">
        <v>32</v>
      </c>
    </row>
    <row r="12" customFormat="false" ht="15" hidden="false" customHeight="false" outlineLevel="0" collapsed="false">
      <c r="B12" s="17" t="str">
        <f aca="false">IF('My Debts'!$B$6="","",'My Debts'!$B$6)</f>
        <v>Store card (example)</v>
      </c>
      <c r="C12" s="18" t="n">
        <f aca="false">IF(B12="","",IF('Start Here'!$C$7="Snowball",INDEX('Snowball Schedule'!$B$7:$B$366,$E$10)-INDEX('Snowball Schedule'!$V$7:$V$366,$E$10),INDEX('Avalanche Schedule'!$B$7:$B$366,$E$10)-INDEX('Avalanche Schedule'!$V$7:$V$366,$E$10)))</f>
        <v>805</v>
      </c>
      <c r="D12" s="18" t="n">
        <f aca="false">IF(B12="","",IF('Start Here'!$C$7="Snowball",INDEX('Snowball Schedule'!$V$7:$V$366,$E$10),INDEX('Avalanche Schedule'!$V$7:$V$366,$E$10)))</f>
        <v>64.12</v>
      </c>
      <c r="E12" s="19" t="n">
        <f aca="false">IF(B12="","",IF('Start Here'!$C$7="Snowball",'My Debts'!$F$6,'My Debts'!$G$6))</f>
        <v>1</v>
      </c>
      <c r="G12" s="20" t="s">
        <v>33</v>
      </c>
      <c r="H12" s="19" t="n">
        <f aca="false">IF(COUNTIF('Snowball Schedule'!$AG$7:$AG$366,"&gt;0.005")+1&gt;360,"30+ yrs",COUNTIF('Snowball Schedule'!$AG$7:$AG$366,"&gt;0.005")+1)</f>
        <v>14</v>
      </c>
      <c r="I12" s="19" t="n">
        <f aca="false">IF(COUNTIF('Avalanche Schedule'!$AG$7:$AG$366,"&gt;0.005")+1&gt;360,"30+ yrs",COUNTIF('Avalanche Schedule'!$AG$7:$AG$366,"&gt;0.005")+1)</f>
        <v>14</v>
      </c>
      <c r="J12" s="19" t="n">
        <f aca="false">IFERROR(H12-I12,"-")</f>
        <v>0</v>
      </c>
    </row>
    <row r="13" customFormat="false" ht="15" hidden="false" customHeight="false" outlineLevel="0" collapsed="false">
      <c r="B13" s="17" t="str">
        <f aca="false">IF('My Debts'!$B$7="","",'My Debts'!$B$7)</f>
        <v>Visa (example)</v>
      </c>
      <c r="C13" s="18" t="n">
        <f aca="false">IF(B13="","",IF('Start Here'!$C$7="Snowball",INDEX('Snowball Schedule'!$C$7:$C$366,$E$10)-INDEX('Snowball Schedule'!$W$7:$W$366,$E$10),INDEX('Avalanche Schedule'!$C$7:$C$366,$E$10)-INDEX('Avalanche Schedule'!$W$7:$W$366,$E$10)))</f>
        <v>110</v>
      </c>
      <c r="D13" s="18" t="n">
        <f aca="false">IF(B13="","",IF('Start Here'!$C$7="Snowball",INDEX('Snowball Schedule'!$W$7:$W$366,$E$10),INDEX('Avalanche Schedule'!$W$7:$W$366,$E$10)))</f>
        <v>4168.72</v>
      </c>
      <c r="E13" s="19" t="n">
        <f aca="false">IF(B13="","",IF('Start Here'!$C$7="Snowball",'My Debts'!$F$7,'My Debts'!$G$7))</f>
        <v>2</v>
      </c>
      <c r="G13" s="20" t="s">
        <v>34</v>
      </c>
      <c r="H13" s="21" t="n">
        <f aca="false">SUM('Snowball Schedule'!$AH$7:$AH$366)</f>
        <v>847.679999999999</v>
      </c>
      <c r="I13" s="21" t="n">
        <f aca="false">SUM('Avalanche Schedule'!$AH$7:$AH$366)</f>
        <v>847.679999999999</v>
      </c>
      <c r="J13" s="21" t="n">
        <f aca="false">IFERROR(H13-I13,"-")</f>
        <v>0</v>
      </c>
    </row>
    <row r="14" customFormat="false" ht="15" hidden="false" customHeight="false" outlineLevel="0" collapsed="false">
      <c r="B14" s="17" t="str">
        <f aca="false">IF('My Debts'!$B$8="","",'My Debts'!$B$8)</f>
        <v>Car loan (example)</v>
      </c>
      <c r="C14" s="18" t="n">
        <f aca="false">IF(B14="","",IF('Start Here'!$C$7="Snowball",INDEX('Snowball Schedule'!$D$7:$D$366,$E$10)-INDEX('Snowball Schedule'!$X$7:$X$366,$E$10),INDEX('Avalanche Schedule'!$D$7:$D$366,$E$10)-INDEX('Avalanche Schedule'!$X$7:$X$366,$E$10)))</f>
        <v>285</v>
      </c>
      <c r="D14" s="18" t="n">
        <f aca="false">IF(B14="","",IF('Start Here'!$C$7="Snowball",INDEX('Snowball Schedule'!$X$7:$X$366,$E$10),INDEX('Avalanche Schedule'!$X$7:$X$366,$E$10)))</f>
        <v>9571.35</v>
      </c>
      <c r="E14" s="19" t="n">
        <f aca="false">IF(B14="","",IF('Start Here'!$C$7="Snowball",'My Debts'!$F$8,'My Debts'!$G$8))</f>
        <v>3</v>
      </c>
    </row>
    <row r="15" customFormat="false" ht="15" hidden="false" customHeight="false" outlineLevel="0" collapsed="false">
      <c r="B15" s="17" t="str">
        <f aca="false">IF('My Debts'!$B$9="","",'My Debts'!$B$9)</f>
        <v/>
      </c>
      <c r="C15" s="18" t="str">
        <f aca="false">IF(B15="","",IF('Start Here'!$C$7="Snowball",INDEX('Snowball Schedule'!$E$7:$E$366,$E$10)-INDEX('Snowball Schedule'!$Y$7:$Y$366,$E$10),INDEX('Avalanche Schedule'!$E$7:$E$366,$E$10)-INDEX('Avalanche Schedule'!$Y$7:$Y$366,$E$10)))</f>
        <v/>
      </c>
      <c r="D15" s="18" t="str">
        <f aca="false">IF(B15="","",IF('Start Here'!$C$7="Snowball",INDEX('Snowball Schedule'!$Y$7:$Y$366,$E$10),INDEX('Avalanche Schedule'!$Y$7:$Y$366,$E$10)))</f>
        <v/>
      </c>
      <c r="E15" s="19" t="str">
        <f aca="false">IF(B15="","",IF('Start Here'!$C$7="Snowball",'My Debts'!$F$9,'My Debts'!$G$9))</f>
        <v/>
      </c>
      <c r="G15" s="22" t="str">
        <f aca="false">IF('My Debts'!$C$16=0,"",IF(J13&gt;0.5,"Avalanche saves you "&amp;TEXT(J13,"$#,##0")&amp;" in interest.","Both methods cost about the same here, so Snowball's quick wins are a free bonus."))</f>
        <v>Both methods cost about the same here, so Snowball's quick wins are a free bonus.</v>
      </c>
    </row>
    <row r="16" customFormat="false" ht="15" hidden="false" customHeight="false" outlineLevel="0" collapsed="false">
      <c r="B16" s="17" t="str">
        <f aca="false">IF('My Debts'!$B$10="","",'My Debts'!$B$10)</f>
        <v/>
      </c>
      <c r="C16" s="18" t="str">
        <f aca="false">IF(B16="","",IF('Start Here'!$C$7="Snowball",INDEX('Snowball Schedule'!$F$7:$F$366,$E$10)-INDEX('Snowball Schedule'!$Z$7:$Z$366,$E$10),INDEX('Avalanche Schedule'!$F$7:$F$366,$E$10)-INDEX('Avalanche Schedule'!$Z$7:$Z$366,$E$10)))</f>
        <v/>
      </c>
      <c r="D16" s="18" t="str">
        <f aca="false">IF(B16="","",IF('Start Here'!$C$7="Snowball",INDEX('Snowball Schedule'!$Z$7:$Z$366,$E$10),INDEX('Avalanche Schedule'!$Z$7:$Z$366,$E$10)))</f>
        <v/>
      </c>
      <c r="E16" s="19" t="str">
        <f aca="false">IF(B16="","",IF('Start Here'!$C$7="Snowball",'My Debts'!$F$10,'My Debts'!$G$10))</f>
        <v/>
      </c>
      <c r="G16" s="2" t="s">
        <v>35</v>
      </c>
    </row>
    <row r="17" customFormat="false" ht="15" hidden="false" customHeight="false" outlineLevel="0" collapsed="false">
      <c r="B17" s="17" t="str">
        <f aca="false">IF('My Debts'!$B$11="","",'My Debts'!$B$11)</f>
        <v/>
      </c>
      <c r="C17" s="18" t="str">
        <f aca="false">IF(B17="","",IF('Start Here'!$C$7="Snowball",INDEX('Snowball Schedule'!$G$7:$G$366,$E$10)-INDEX('Snowball Schedule'!$AA$7:$AA$366,$E$10),INDEX('Avalanche Schedule'!$G$7:$G$366,$E$10)-INDEX('Avalanche Schedule'!$AA$7:$AA$366,$E$10)))</f>
        <v/>
      </c>
      <c r="D17" s="18" t="str">
        <f aca="false">IF(B17="","",IF('Start Here'!$C$7="Snowball",INDEX('Snowball Schedule'!$AA$7:$AA$366,$E$10),INDEX('Avalanche Schedule'!$AA$7:$AA$366,$E$10)))</f>
        <v/>
      </c>
      <c r="E17" s="19" t="str">
        <f aca="false">IF(B17="","",IF('Start Here'!$C$7="Snowball",'My Debts'!$F$11,'My Debts'!$G$11))</f>
        <v/>
      </c>
      <c r="G17" s="2" t="s">
        <v>36</v>
      </c>
    </row>
    <row r="18" customFormat="false" ht="15" hidden="false" customHeight="false" outlineLevel="0" collapsed="false">
      <c r="B18" s="17" t="str">
        <f aca="false">IF('My Debts'!$B$12="","",'My Debts'!$B$12)</f>
        <v/>
      </c>
      <c r="C18" s="18" t="str">
        <f aca="false">IF(B18="","",IF('Start Here'!$C$7="Snowball",INDEX('Snowball Schedule'!$H$7:$H$366,$E$10)-INDEX('Snowball Schedule'!$AB$7:$AB$366,$E$10),INDEX('Avalanche Schedule'!$H$7:$H$366,$E$10)-INDEX('Avalanche Schedule'!$AB$7:$AB$366,$E$10)))</f>
        <v/>
      </c>
      <c r="D18" s="18" t="str">
        <f aca="false">IF(B18="","",IF('Start Here'!$C$7="Snowball",INDEX('Snowball Schedule'!$AB$7:$AB$366,$E$10),INDEX('Avalanche Schedule'!$AB$7:$AB$366,$E$10)))</f>
        <v/>
      </c>
      <c r="E18" s="19" t="str">
        <f aca="false">IF(B18="","",IF('Start Here'!$C$7="Snowball",'My Debts'!$F$12,'My Debts'!$G$12))</f>
        <v/>
      </c>
    </row>
    <row r="19" customFormat="false" ht="15" hidden="false" customHeight="false" outlineLevel="0" collapsed="false">
      <c r="B19" s="17" t="str">
        <f aca="false">IF('My Debts'!$B$13="","",'My Debts'!$B$13)</f>
        <v/>
      </c>
      <c r="C19" s="18" t="str">
        <f aca="false">IF(B19="","",IF('Start Here'!$C$7="Snowball",INDEX('Snowball Schedule'!$I$7:$I$366,$E$10)-INDEX('Snowball Schedule'!$AC$7:$AC$366,$E$10),INDEX('Avalanche Schedule'!$I$7:$I$366,$E$10)-INDEX('Avalanche Schedule'!$AC$7:$AC$366,$E$10)))</f>
        <v/>
      </c>
      <c r="D19" s="18" t="str">
        <f aca="false">IF(B19="","",IF('Start Here'!$C$7="Snowball",INDEX('Snowball Schedule'!$AC$7:$AC$366,$E$10),INDEX('Avalanche Schedule'!$AC$7:$AC$366,$E$10)))</f>
        <v/>
      </c>
      <c r="E19" s="19" t="str">
        <f aca="false">IF(B19="","",IF('Start Here'!$C$7="Snowball",'My Debts'!$F$13,'My Debts'!$G$13))</f>
        <v/>
      </c>
      <c r="G19" s="3" t="s">
        <v>37</v>
      </c>
    </row>
    <row r="20" customFormat="false" ht="30" hidden="false" customHeight="true" outlineLevel="0" collapsed="false">
      <c r="B20" s="17" t="str">
        <f aca="false">IF('My Debts'!$B$14="","",'My Debts'!$B$14)</f>
        <v/>
      </c>
      <c r="C20" s="18" t="str">
        <f aca="false">IF(B20="","",IF('Start Here'!$C$7="Snowball",INDEX('Snowball Schedule'!$J$7:$J$366,$E$10)-INDEX('Snowball Schedule'!$AD$7:$AD$366,$E$10),INDEX('Avalanche Schedule'!$J$7:$J$366,$E$10)-INDEX('Avalanche Schedule'!$AD$7:$AD$366,$E$10)))</f>
        <v/>
      </c>
      <c r="D20" s="18" t="str">
        <f aca="false">IF(B20="","",IF('Start Here'!$C$7="Snowball",INDEX('Snowball Schedule'!$AD$7:$AD$366,$E$10),INDEX('Avalanche Schedule'!$AD$7:$AD$366,$E$10)))</f>
        <v/>
      </c>
      <c r="E20" s="19" t="str">
        <f aca="false">IF(B20="","",IF('Start Here'!$C$7="Snowball",'My Debts'!$F$14,'My Debts'!$G$14))</f>
        <v/>
      </c>
      <c r="G20" s="16" t="s">
        <v>38</v>
      </c>
      <c r="H20" s="16" t="s">
        <v>27</v>
      </c>
      <c r="I20" s="16" t="s">
        <v>39</v>
      </c>
      <c r="J20" s="16" t="s">
        <v>40</v>
      </c>
    </row>
    <row r="21" customFormat="false" ht="15" hidden="false" customHeight="false" outlineLevel="0" collapsed="false">
      <c r="B21" s="17" t="str">
        <f aca="false">IF('My Debts'!$B$15="","",'My Debts'!$B$15)</f>
        <v/>
      </c>
      <c r="C21" s="18" t="str">
        <f aca="false">IF(B21="","",IF('Start Here'!$C$7="Snowball",INDEX('Snowball Schedule'!$K$7:$K$366,$E$10)-INDEX('Snowball Schedule'!$AE$7:$AE$366,$E$10),INDEX('Avalanche Schedule'!$K$7:$K$366,$E$10)-INDEX('Avalanche Schedule'!$AE$7:$AE$366,$E$10)))</f>
        <v/>
      </c>
      <c r="D21" s="18" t="str">
        <f aca="false">IF(B21="","",IF('Start Here'!$C$7="Snowball",INDEX('Snowball Schedule'!$AE$7:$AE$366,$E$10),INDEX('Avalanche Schedule'!$AE$7:$AE$366,$E$10)))</f>
        <v/>
      </c>
      <c r="E21" s="19" t="str">
        <f aca="false">IF(B21="","",IF('Start Here'!$C$7="Snowball",'My Debts'!$F$15,'My Debts'!$G$15))</f>
        <v/>
      </c>
      <c r="G21" s="19" t="n">
        <f aca="false">IF(ISNA(MATCH(1,IF('Start Here'!$C$7="Snowball",'My Debts'!$F$6:$F$15,'My Debts'!$G$6:$G$15),0)),"",1)</f>
        <v>1</v>
      </c>
      <c r="H21" s="17" t="str">
        <f aca="false">IF(G21="","",INDEX('My Debts'!$B$6:$B$15,MATCH(1,IF('Start Here'!$C$7="Snowball",'My Debts'!$F$6:$F$15,'My Debts'!$G$6:$G$15),0)))</f>
        <v>Store card (example)</v>
      </c>
      <c r="I21" s="23" t="n">
        <f aca="false">IF(G21="","",INDEX('My Debts'!$H$6:$H$15,MATCH(1,IF('Start Here'!$C$7="Snowball",'My Debts'!$F$6:$F$15,'My Debts'!$G$6:$G$15),0)))</f>
        <v>46327</v>
      </c>
      <c r="J21" s="21" t="n">
        <f aca="false">IF(G21="","",INDEX('My Debts'!$I$6:$I$15,MATCH(1,IF('Start Here'!$C$7="Snowball",'My Debts'!$F$6:$F$15,'My Debts'!$G$6:$G$15),0)))</f>
        <v>20.5600000000001</v>
      </c>
    </row>
    <row r="22" customFormat="false" ht="15" hidden="false" customHeight="false" outlineLevel="0" collapsed="false">
      <c r="B22" s="24" t="s">
        <v>41</v>
      </c>
      <c r="C22" s="25" t="n">
        <f aca="false">SUM(C12:C21)</f>
        <v>1200</v>
      </c>
      <c r="D22" s="25" t="n">
        <f aca="false">SUM(D12:D21)</f>
        <v>13804.19</v>
      </c>
      <c r="E22" s="26"/>
      <c r="G22" s="19" t="n">
        <f aca="false">IF(ISNA(MATCH(2,IF('Start Here'!$C$7="Snowball",'My Debts'!$F$6:$F$15,'My Debts'!$G$6:$G$15),0)),"",2)</f>
        <v>2</v>
      </c>
      <c r="H22" s="17" t="str">
        <f aca="false">IF(G22="","",INDEX('My Debts'!$B$6:$B$15,MATCH(2,IF('Start Here'!$C$7="Snowball",'My Debts'!$F$6:$F$15,'My Debts'!$G$6:$G$15),0)))</f>
        <v>Visa (example)</v>
      </c>
      <c r="I22" s="23" t="n">
        <f aca="false">IF(G22="","",INDEX('My Debts'!$H$6:$H$15,MATCH(2,IF('Start Here'!$C$7="Snowball",'My Debts'!$F$6:$F$15,'My Debts'!$G$6:$G$15),0)))</f>
        <v>46447</v>
      </c>
      <c r="J22" s="21" t="n">
        <f aca="false">IF(G22="","",INDEX('My Debts'!$I$6:$I$15,MATCH(2,IF('Start Here'!$C$7="Snowball",'My Debts'!$F$6:$F$15,'My Debts'!$G$6:$G$15),0)))</f>
        <v>314.600000000002</v>
      </c>
    </row>
    <row r="23" customFormat="false" ht="15" hidden="false" customHeight="false" outlineLevel="0" collapsed="false">
      <c r="G23" s="19" t="n">
        <f aca="false">IF(ISNA(MATCH(3,IF('Start Here'!$C$7="Snowball",'My Debts'!$F$6:$F$15,'My Debts'!$G$6:$G$15),0)),"",3)</f>
        <v>3</v>
      </c>
      <c r="H23" s="17" t="str">
        <f aca="false">IF(G23="","",INDEX('My Debts'!$B$6:$B$15,MATCH(3,IF('Start Here'!$C$7="Snowball",'My Debts'!$F$6:$F$15,'My Debts'!$G$6:$G$15),0)))</f>
        <v>Car loan (example)</v>
      </c>
      <c r="I23" s="23" t="n">
        <f aca="false">IF(G23="","",INDEX('My Debts'!$H$6:$H$15,MATCH(3,IF('Start Here'!$C$7="Snowball",'My Debts'!$F$6:$F$15,'My Debts'!$G$6:$G$15),0)))</f>
        <v>46692</v>
      </c>
      <c r="J23" s="21" t="n">
        <f aca="false">IF(G23="","",INDEX('My Debts'!$I$6:$I$15,MATCH(3,IF('Start Here'!$C$7="Snowball",'My Debts'!$F$6:$F$15,'My Debts'!$G$6:$G$15),0)))</f>
        <v>512.51999999999</v>
      </c>
    </row>
    <row r="24" customFormat="false" ht="15" hidden="false" customHeight="false" outlineLevel="0" collapsed="false">
      <c r="G24" s="19" t="str">
        <f aca="false">IF(ISNA(MATCH(4,IF('Start Here'!$C$7="Snowball",'My Debts'!$F$6:$F$15,'My Debts'!$G$6:$G$15),0)),"",4)</f>
        <v/>
      </c>
      <c r="H24" s="17" t="str">
        <f aca="false">IF(G24="","",INDEX('My Debts'!$B$6:$B$15,MATCH(4,IF('Start Here'!$C$7="Snowball",'My Debts'!$F$6:$F$15,'My Debts'!$G$6:$G$15),0)))</f>
        <v/>
      </c>
      <c r="I24" s="23" t="str">
        <f aca="false">IF(G24="","",INDEX('My Debts'!$H$6:$H$15,MATCH(4,IF('Start Here'!$C$7="Snowball",'My Debts'!$F$6:$F$15,'My Debts'!$G$6:$G$15),0)))</f>
        <v/>
      </c>
      <c r="J24" s="21" t="str">
        <f aca="false">IF(G24="","",INDEX('My Debts'!$I$6:$I$15,MATCH(4,IF('Start Here'!$C$7="Snowball",'My Debts'!$F$6:$F$15,'My Debts'!$G$6:$G$15),0)))</f>
        <v/>
      </c>
    </row>
    <row r="25" customFormat="false" ht="15" hidden="false" customHeight="false" outlineLevel="0" collapsed="false">
      <c r="G25" s="19" t="str">
        <f aca="false">IF(ISNA(MATCH(5,IF('Start Here'!$C$7="Snowball",'My Debts'!$F$6:$F$15,'My Debts'!$G$6:$G$15),0)),"",5)</f>
        <v/>
      </c>
      <c r="H25" s="17" t="str">
        <f aca="false">IF(G25="","",INDEX('My Debts'!$B$6:$B$15,MATCH(5,IF('Start Here'!$C$7="Snowball",'My Debts'!$F$6:$F$15,'My Debts'!$G$6:$G$15),0)))</f>
        <v/>
      </c>
      <c r="I25" s="23" t="str">
        <f aca="false">IF(G25="","",INDEX('My Debts'!$H$6:$H$15,MATCH(5,IF('Start Here'!$C$7="Snowball",'My Debts'!$F$6:$F$15,'My Debts'!$G$6:$G$15),0)))</f>
        <v/>
      </c>
      <c r="J25" s="21" t="str">
        <f aca="false">IF(G25="","",INDEX('My Debts'!$I$6:$I$15,MATCH(5,IF('Start Here'!$C$7="Snowball",'My Debts'!$F$6:$F$15,'My Debts'!$G$6:$G$15),0)))</f>
        <v/>
      </c>
    </row>
    <row r="26" customFormat="false" ht="15" hidden="false" customHeight="false" outlineLevel="0" collapsed="false">
      <c r="G26" s="19" t="str">
        <f aca="false">IF(ISNA(MATCH(6,IF('Start Here'!$C$7="Snowball",'My Debts'!$F$6:$F$15,'My Debts'!$G$6:$G$15),0)),"",6)</f>
        <v/>
      </c>
      <c r="H26" s="17" t="str">
        <f aca="false">IF(G26="","",INDEX('My Debts'!$B$6:$B$15,MATCH(6,IF('Start Here'!$C$7="Snowball",'My Debts'!$F$6:$F$15,'My Debts'!$G$6:$G$15),0)))</f>
        <v/>
      </c>
      <c r="I26" s="23" t="str">
        <f aca="false">IF(G26="","",INDEX('My Debts'!$H$6:$H$15,MATCH(6,IF('Start Here'!$C$7="Snowball",'My Debts'!$F$6:$F$15,'My Debts'!$G$6:$G$15),0)))</f>
        <v/>
      </c>
      <c r="J26" s="21" t="str">
        <f aca="false">IF(G26="","",INDEX('My Debts'!$I$6:$I$15,MATCH(6,IF('Start Here'!$C$7="Snowball",'My Debts'!$F$6:$F$15,'My Debts'!$G$6:$G$15),0)))</f>
        <v/>
      </c>
    </row>
    <row r="27" customFormat="false" ht="15" hidden="false" customHeight="false" outlineLevel="0" collapsed="false">
      <c r="G27" s="19" t="str">
        <f aca="false">IF(ISNA(MATCH(7,IF('Start Here'!$C$7="Snowball",'My Debts'!$F$6:$F$15,'My Debts'!$G$6:$G$15),0)),"",7)</f>
        <v/>
      </c>
      <c r="H27" s="17" t="str">
        <f aca="false">IF(G27="","",INDEX('My Debts'!$B$6:$B$15,MATCH(7,IF('Start Here'!$C$7="Snowball",'My Debts'!$F$6:$F$15,'My Debts'!$G$6:$G$15),0)))</f>
        <v/>
      </c>
      <c r="I27" s="23" t="str">
        <f aca="false">IF(G27="","",INDEX('My Debts'!$H$6:$H$15,MATCH(7,IF('Start Here'!$C$7="Snowball",'My Debts'!$F$6:$F$15,'My Debts'!$G$6:$G$15),0)))</f>
        <v/>
      </c>
      <c r="J27" s="21" t="str">
        <f aca="false">IF(G27="","",INDEX('My Debts'!$I$6:$I$15,MATCH(7,IF('Start Here'!$C$7="Snowball",'My Debts'!$F$6:$F$15,'My Debts'!$G$6:$G$15),0)))</f>
        <v/>
      </c>
    </row>
    <row r="28" customFormat="false" ht="15" hidden="false" customHeight="false" outlineLevel="0" collapsed="false">
      <c r="G28" s="19" t="str">
        <f aca="false">IF(ISNA(MATCH(8,IF('Start Here'!$C$7="Snowball",'My Debts'!$F$6:$F$15,'My Debts'!$G$6:$G$15),0)),"",8)</f>
        <v/>
      </c>
      <c r="H28" s="17" t="str">
        <f aca="false">IF(G28="","",INDEX('My Debts'!$B$6:$B$15,MATCH(8,IF('Start Here'!$C$7="Snowball",'My Debts'!$F$6:$F$15,'My Debts'!$G$6:$G$15),0)))</f>
        <v/>
      </c>
      <c r="I28" s="23" t="str">
        <f aca="false">IF(G28="","",INDEX('My Debts'!$H$6:$H$15,MATCH(8,IF('Start Here'!$C$7="Snowball",'My Debts'!$F$6:$F$15,'My Debts'!$G$6:$G$15),0)))</f>
        <v/>
      </c>
      <c r="J28" s="21" t="str">
        <f aca="false">IF(G28="","",INDEX('My Debts'!$I$6:$I$15,MATCH(8,IF('Start Here'!$C$7="Snowball",'My Debts'!$F$6:$F$15,'My Debts'!$G$6:$G$15),0)))</f>
        <v/>
      </c>
    </row>
    <row r="29" customFormat="false" ht="15" hidden="false" customHeight="false" outlineLevel="0" collapsed="false">
      <c r="G29" s="19" t="str">
        <f aca="false">IF(ISNA(MATCH(9,IF('Start Here'!$C$7="Snowball",'My Debts'!$F$6:$F$15,'My Debts'!$G$6:$G$15),0)),"",9)</f>
        <v/>
      </c>
      <c r="H29" s="17" t="str">
        <f aca="false">IF(G29="","",INDEX('My Debts'!$B$6:$B$15,MATCH(9,IF('Start Here'!$C$7="Snowball",'My Debts'!$F$6:$F$15,'My Debts'!$G$6:$G$15),0)))</f>
        <v/>
      </c>
      <c r="I29" s="23" t="str">
        <f aca="false">IF(G29="","",INDEX('My Debts'!$H$6:$H$15,MATCH(9,IF('Start Here'!$C$7="Snowball",'My Debts'!$F$6:$F$15,'My Debts'!$G$6:$G$15),0)))</f>
        <v/>
      </c>
      <c r="J29" s="21" t="str">
        <f aca="false">IF(G29="","",INDEX('My Debts'!$I$6:$I$15,MATCH(9,IF('Start Here'!$C$7="Snowball",'My Debts'!$F$6:$F$15,'My Debts'!$G$6:$G$15),0)))</f>
        <v/>
      </c>
    </row>
    <row r="30" customFormat="false" ht="15" hidden="false" customHeight="false" outlineLevel="0" collapsed="false">
      <c r="G30" s="19" t="str">
        <f aca="false">IF(ISNA(MATCH(10,IF('Start Here'!$C$7="Snowball",'My Debts'!$F$6:$F$15,'My Debts'!$G$6:$G$15),0)),"",10)</f>
        <v/>
      </c>
      <c r="H30" s="17" t="str">
        <f aca="false">IF(G30="","",INDEX('My Debts'!$B$6:$B$15,MATCH(10,IF('Start Here'!$C$7="Snowball",'My Debts'!$F$6:$F$15,'My Debts'!$G$6:$G$15),0)))</f>
        <v/>
      </c>
      <c r="I30" s="23" t="str">
        <f aca="false">IF(G30="","",INDEX('My Debts'!$H$6:$H$15,MATCH(10,IF('Start Here'!$C$7="Snowball",'My Debts'!$F$6:$F$15,'My Debts'!$G$6:$G$15),0)))</f>
        <v/>
      </c>
      <c r="J30" s="21" t="str">
        <f aca="false">IF(G30="","",INDEX('My Debts'!$I$6:$I$15,MATCH(10,IF('Start Here'!$C$7="Snowball",'My Debts'!$F$6:$F$15,'My Debts'!$G$6:$G$15),0)))</f>
        <v/>
      </c>
    </row>
    <row r="33" customFormat="false" ht="15" hidden="false" customHeight="false" outlineLevel="0" collapsed="false">
      <c r="B33" s="3" t="s">
        <v>42</v>
      </c>
    </row>
  </sheetData>
  <mergeCells count="8">
    <mergeCell ref="B5:C5"/>
    <mergeCell ref="D5:E5"/>
    <mergeCell ref="G5:H5"/>
    <mergeCell ref="I5:J5"/>
    <mergeCell ref="B6:C7"/>
    <mergeCell ref="D6:E7"/>
    <mergeCell ref="G6:H7"/>
    <mergeCell ref="I6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9" min="8" style="0" width="16"/>
  </cols>
  <sheetData>
    <row r="1" customFormat="false" ht="24.4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5" customFormat="false" ht="30" hidden="false" customHeight="true" outlineLevel="0" collapsed="false">
      <c r="B5" s="16" t="s">
        <v>45</v>
      </c>
      <c r="C5" s="16" t="s">
        <v>46</v>
      </c>
      <c r="D5" s="16" t="s">
        <v>47</v>
      </c>
      <c r="E5" s="16" t="s">
        <v>48</v>
      </c>
      <c r="F5" s="16" t="s">
        <v>49</v>
      </c>
      <c r="G5" s="16" t="s">
        <v>50</v>
      </c>
      <c r="H5" s="16" t="s">
        <v>51</v>
      </c>
      <c r="I5" s="16" t="s">
        <v>52</v>
      </c>
    </row>
    <row r="6" customFormat="false" ht="15" hidden="false" customHeight="false" outlineLevel="0" collapsed="false">
      <c r="B6" s="27" t="s">
        <v>53</v>
      </c>
      <c r="C6" s="28" t="n">
        <v>850</v>
      </c>
      <c r="D6" s="29" t="n">
        <v>0.2699</v>
      </c>
      <c r="E6" s="28" t="n">
        <v>35</v>
      </c>
      <c r="F6" s="30" t="n">
        <f aca="false">IF(C6="",99,SUMPRODUCT(--($C$6:$C$15&lt;&gt;""),--($C$6:$C$15&lt;C6))+COUNTIF($C$6:C6,C6))</f>
        <v>1</v>
      </c>
      <c r="G6" s="30" t="n">
        <f aca="false">IF(C6="",99,SUMPRODUCT(--($C$6:$C$15&lt;&gt;""),--($D$6:$D$15&gt;D6))+COUNTIF($D$6:D6,D6))</f>
        <v>1</v>
      </c>
      <c r="H6" s="31" t="n">
        <f aca="false">IF(C6="","",IF(IF('Start Here'!$C$7="Snowball",COUNTIF('Snowball Schedule'!$V$7:$V$366,"&gt;0.005")+1,COUNTIF('Avalanche Schedule'!$V$7:$V$366,"&gt;0.005")+1)&gt;360,"30+ years",DATE(YEAR('Start Here'!$C$6),MONTH('Start Here'!$C$6)+IF('Start Here'!$C$7="Snowball",COUNTIF('Snowball Schedule'!$V$7:$V$366,"&gt;0.005")+1,COUNTIF('Avalanche Schedule'!$V$7:$V$366,"&gt;0.005")+1)-1,1)))</f>
        <v>46327</v>
      </c>
      <c r="I6" s="32" t="n">
        <f aca="false">IF(C6="","",IF('Start Here'!$C$7="Snowball",SUM('Snowball Schedule'!$B$7:$B$366)-SUM('Snowball Schedule'!$V$6:$V$365),SUM('Avalanche Schedule'!$B$7:$B$366)-SUM('Avalanche Schedule'!$V$6:$V$365)))</f>
        <v>20.5600000000001</v>
      </c>
    </row>
    <row r="7" customFormat="false" ht="15" hidden="false" customHeight="false" outlineLevel="0" collapsed="false">
      <c r="B7" s="27" t="s">
        <v>54</v>
      </c>
      <c r="C7" s="28" t="n">
        <v>4200</v>
      </c>
      <c r="D7" s="29" t="n">
        <v>0.2249</v>
      </c>
      <c r="E7" s="28" t="n">
        <v>110</v>
      </c>
      <c r="F7" s="30" t="n">
        <f aca="false">IF(C7="",99,SUMPRODUCT(--($C$6:$C$15&lt;&gt;""),--($C$6:$C$15&lt;C7))+COUNTIF($C$6:C7,C7))</f>
        <v>2</v>
      </c>
      <c r="G7" s="30" t="n">
        <f aca="false">IF(C7="",99,SUMPRODUCT(--($C$6:$C$15&lt;&gt;""),--($D$6:$D$15&gt;D7))+COUNTIF($D$6:D7,D7))</f>
        <v>2</v>
      </c>
      <c r="H7" s="31" t="n">
        <f aca="false">IF(C7="","",IF(IF('Start Here'!$C$7="Snowball",COUNTIF('Snowball Schedule'!$W$7:$W$366,"&gt;0.005")+1,COUNTIF('Avalanche Schedule'!$W$7:$W$366,"&gt;0.005")+1)&gt;360,"30+ years",DATE(YEAR('Start Here'!$C$6),MONTH('Start Here'!$C$6)+IF('Start Here'!$C$7="Snowball",COUNTIF('Snowball Schedule'!$W$7:$W$366,"&gt;0.005")+1,COUNTIF('Avalanche Schedule'!$W$7:$W$366,"&gt;0.005")+1)-1,1)))</f>
        <v>46447</v>
      </c>
      <c r="I7" s="32" t="n">
        <f aca="false">IF(C7="","",IF('Start Here'!$C$7="Snowball",SUM('Snowball Schedule'!$C$7:$C$366)-SUM('Snowball Schedule'!$W$6:$W$365),SUM('Avalanche Schedule'!$C$7:$C$366)-SUM('Avalanche Schedule'!$W$6:$W$365)))</f>
        <v>314.600000000002</v>
      </c>
    </row>
    <row r="8" customFormat="false" ht="15" hidden="false" customHeight="false" outlineLevel="0" collapsed="false">
      <c r="B8" s="27" t="s">
        <v>55</v>
      </c>
      <c r="C8" s="28" t="n">
        <v>9800</v>
      </c>
      <c r="D8" s="29" t="n">
        <v>0.069</v>
      </c>
      <c r="E8" s="28" t="n">
        <v>285</v>
      </c>
      <c r="F8" s="30" t="n">
        <f aca="false">IF(C8="",99,SUMPRODUCT(--($C$6:$C$15&lt;&gt;""),--($C$6:$C$15&lt;C8))+COUNTIF($C$6:C8,C8))</f>
        <v>3</v>
      </c>
      <c r="G8" s="30" t="n">
        <f aca="false">IF(C8="",99,SUMPRODUCT(--($C$6:$C$15&lt;&gt;""),--($D$6:$D$15&gt;D8))+COUNTIF($D$6:D8,D8))</f>
        <v>3</v>
      </c>
      <c r="H8" s="31" t="n">
        <f aca="false">IF(C8="","",IF(IF('Start Here'!$C$7="Snowball",COUNTIF('Snowball Schedule'!$X$7:$X$366,"&gt;0.005")+1,COUNTIF('Avalanche Schedule'!$X$7:$X$366,"&gt;0.005")+1)&gt;360,"30+ years",DATE(YEAR('Start Here'!$C$6),MONTH('Start Here'!$C$6)+IF('Start Here'!$C$7="Snowball",COUNTIF('Snowball Schedule'!$X$7:$X$366,"&gt;0.005")+1,COUNTIF('Avalanche Schedule'!$X$7:$X$366,"&gt;0.005")+1)-1,1)))</f>
        <v>46692</v>
      </c>
      <c r="I8" s="32" t="n">
        <f aca="false">IF(C8="","",IF('Start Here'!$C$7="Snowball",SUM('Snowball Schedule'!$D$7:$D$366)-SUM('Snowball Schedule'!$X$6:$X$365),SUM('Avalanche Schedule'!$D$7:$D$366)-SUM('Avalanche Schedule'!$X$6:$X$365)))</f>
        <v>512.51999999999</v>
      </c>
    </row>
    <row r="9" customFormat="false" ht="15" hidden="false" customHeight="false" outlineLevel="0" collapsed="false">
      <c r="B9" s="7"/>
      <c r="C9" s="33"/>
      <c r="D9" s="34"/>
      <c r="E9" s="33"/>
      <c r="F9" s="30" t="n">
        <f aca="false">IF(C9="",99,SUMPRODUCT(--($C$6:$C$15&lt;&gt;""),--($C$6:$C$15&lt;C9))+COUNTIF($C$6:C9,C9))</f>
        <v>99</v>
      </c>
      <c r="G9" s="30" t="n">
        <f aca="false">IF(C9="",99,SUMPRODUCT(--($C$6:$C$15&lt;&gt;""),--($D$6:$D$15&gt;D9))+COUNTIF($D$6:D9,D9))</f>
        <v>99</v>
      </c>
      <c r="H9" s="31" t="str">
        <f aca="false">IF(C9="","",IF(IF('Start Here'!$C$7="Snowball",COUNTIF('Snowball Schedule'!$Y$7:$Y$366,"&gt;0.005")+1,COUNTIF('Avalanche Schedule'!$Y$7:$Y$366,"&gt;0.005")+1)&gt;360,"30+ years",DATE(YEAR('Start Here'!$C$6),MONTH('Start Here'!$C$6)+IF('Start Here'!$C$7="Snowball",COUNTIF('Snowball Schedule'!$Y$7:$Y$366,"&gt;0.005")+1,COUNTIF('Avalanche Schedule'!$Y$7:$Y$366,"&gt;0.005")+1)-1,1)))</f>
        <v/>
      </c>
      <c r="I9" s="32" t="str">
        <f aca="false">IF(C9="","",IF('Start Here'!$C$7="Snowball",SUM('Snowball Schedule'!$E$7:$E$366)-SUM('Snowball Schedule'!$Y$6:$Y$365),SUM('Avalanche Schedule'!$E$7:$E$366)-SUM('Avalanche Schedule'!$Y$6:$Y$365)))</f>
        <v/>
      </c>
    </row>
    <row r="10" customFormat="false" ht="15" hidden="false" customHeight="false" outlineLevel="0" collapsed="false">
      <c r="B10" s="7"/>
      <c r="C10" s="33"/>
      <c r="D10" s="34"/>
      <c r="E10" s="33"/>
      <c r="F10" s="30" t="n">
        <f aca="false">IF(C10="",99,SUMPRODUCT(--($C$6:$C$15&lt;&gt;""),--($C$6:$C$15&lt;C10))+COUNTIF($C$6:C10,C10))</f>
        <v>99</v>
      </c>
      <c r="G10" s="30" t="n">
        <f aca="false">IF(C10="",99,SUMPRODUCT(--($C$6:$C$15&lt;&gt;""),--($D$6:$D$15&gt;D10))+COUNTIF($D$6:D10,D10))</f>
        <v>99</v>
      </c>
      <c r="H10" s="31" t="str">
        <f aca="false">IF(C10="","",IF(IF('Start Here'!$C$7="Snowball",COUNTIF('Snowball Schedule'!$Z$7:$Z$366,"&gt;0.005")+1,COUNTIF('Avalanche Schedule'!$Z$7:$Z$366,"&gt;0.005")+1)&gt;360,"30+ years",DATE(YEAR('Start Here'!$C$6),MONTH('Start Here'!$C$6)+IF('Start Here'!$C$7="Snowball",COUNTIF('Snowball Schedule'!$Z$7:$Z$366,"&gt;0.005")+1,COUNTIF('Avalanche Schedule'!$Z$7:$Z$366,"&gt;0.005")+1)-1,1)))</f>
        <v/>
      </c>
      <c r="I10" s="32" t="str">
        <f aca="false">IF(C10="","",IF('Start Here'!$C$7="Snowball",SUM('Snowball Schedule'!$F$7:$F$366)-SUM('Snowball Schedule'!$Z$6:$Z$365),SUM('Avalanche Schedule'!$F$7:$F$366)-SUM('Avalanche Schedule'!$Z$6:$Z$365)))</f>
        <v/>
      </c>
    </row>
    <row r="11" customFormat="false" ht="15" hidden="false" customHeight="false" outlineLevel="0" collapsed="false">
      <c r="B11" s="7"/>
      <c r="C11" s="33"/>
      <c r="D11" s="34"/>
      <c r="E11" s="33"/>
      <c r="F11" s="30" t="n">
        <f aca="false">IF(C11="",99,SUMPRODUCT(--($C$6:$C$15&lt;&gt;""),--($C$6:$C$15&lt;C11))+COUNTIF($C$6:C11,C11))</f>
        <v>99</v>
      </c>
      <c r="G11" s="30" t="n">
        <f aca="false">IF(C11="",99,SUMPRODUCT(--($C$6:$C$15&lt;&gt;""),--($D$6:$D$15&gt;D11))+COUNTIF($D$6:D11,D11))</f>
        <v>99</v>
      </c>
      <c r="H11" s="31" t="str">
        <f aca="false">IF(C11="","",IF(IF('Start Here'!$C$7="Snowball",COUNTIF('Snowball Schedule'!$AA$7:$AA$366,"&gt;0.005")+1,COUNTIF('Avalanche Schedule'!$AA$7:$AA$366,"&gt;0.005")+1)&gt;360,"30+ years",DATE(YEAR('Start Here'!$C$6),MONTH('Start Here'!$C$6)+IF('Start Here'!$C$7="Snowball",COUNTIF('Snowball Schedule'!$AA$7:$AA$366,"&gt;0.005")+1,COUNTIF('Avalanche Schedule'!$AA$7:$AA$366,"&gt;0.005")+1)-1,1)))</f>
        <v/>
      </c>
      <c r="I11" s="32" t="str">
        <f aca="false">IF(C11="","",IF('Start Here'!$C$7="Snowball",SUM('Snowball Schedule'!$G$7:$G$366)-SUM('Snowball Schedule'!$AA$6:$AA$365),SUM('Avalanche Schedule'!$G$7:$G$366)-SUM('Avalanche Schedule'!$AA$6:$AA$365)))</f>
        <v/>
      </c>
    </row>
    <row r="12" customFormat="false" ht="15" hidden="false" customHeight="false" outlineLevel="0" collapsed="false">
      <c r="B12" s="7"/>
      <c r="C12" s="33"/>
      <c r="D12" s="34"/>
      <c r="E12" s="33"/>
      <c r="F12" s="30" t="n">
        <f aca="false">IF(C12="",99,SUMPRODUCT(--($C$6:$C$15&lt;&gt;""),--($C$6:$C$15&lt;C12))+COUNTIF($C$6:C12,C12))</f>
        <v>99</v>
      </c>
      <c r="G12" s="30" t="n">
        <f aca="false">IF(C12="",99,SUMPRODUCT(--($C$6:$C$15&lt;&gt;""),--($D$6:$D$15&gt;D12))+COUNTIF($D$6:D12,D12))</f>
        <v>99</v>
      </c>
      <c r="H12" s="31" t="str">
        <f aca="false">IF(C12="","",IF(IF('Start Here'!$C$7="Snowball",COUNTIF('Snowball Schedule'!$AB$7:$AB$366,"&gt;0.005")+1,COUNTIF('Avalanche Schedule'!$AB$7:$AB$366,"&gt;0.005")+1)&gt;360,"30+ years",DATE(YEAR('Start Here'!$C$6),MONTH('Start Here'!$C$6)+IF('Start Here'!$C$7="Snowball",COUNTIF('Snowball Schedule'!$AB$7:$AB$366,"&gt;0.005")+1,COUNTIF('Avalanche Schedule'!$AB$7:$AB$366,"&gt;0.005")+1)-1,1)))</f>
        <v/>
      </c>
      <c r="I12" s="32" t="str">
        <f aca="false">IF(C12="","",IF('Start Here'!$C$7="Snowball",SUM('Snowball Schedule'!$H$7:$H$366)-SUM('Snowball Schedule'!$AB$6:$AB$365),SUM('Avalanche Schedule'!$H$7:$H$366)-SUM('Avalanche Schedule'!$AB$6:$AB$365)))</f>
        <v/>
      </c>
    </row>
    <row r="13" customFormat="false" ht="15" hidden="false" customHeight="false" outlineLevel="0" collapsed="false">
      <c r="B13" s="7"/>
      <c r="C13" s="33"/>
      <c r="D13" s="34"/>
      <c r="E13" s="33"/>
      <c r="F13" s="30" t="n">
        <f aca="false">IF(C13="",99,SUMPRODUCT(--($C$6:$C$15&lt;&gt;""),--($C$6:$C$15&lt;C13))+COUNTIF($C$6:C13,C13))</f>
        <v>99</v>
      </c>
      <c r="G13" s="30" t="n">
        <f aca="false">IF(C13="",99,SUMPRODUCT(--($C$6:$C$15&lt;&gt;""),--($D$6:$D$15&gt;D13))+COUNTIF($D$6:D13,D13))</f>
        <v>99</v>
      </c>
      <c r="H13" s="31" t="str">
        <f aca="false">IF(C13="","",IF(IF('Start Here'!$C$7="Snowball",COUNTIF('Snowball Schedule'!$AC$7:$AC$366,"&gt;0.005")+1,COUNTIF('Avalanche Schedule'!$AC$7:$AC$366,"&gt;0.005")+1)&gt;360,"30+ years",DATE(YEAR('Start Here'!$C$6),MONTH('Start Here'!$C$6)+IF('Start Here'!$C$7="Snowball",COUNTIF('Snowball Schedule'!$AC$7:$AC$366,"&gt;0.005")+1,COUNTIF('Avalanche Schedule'!$AC$7:$AC$366,"&gt;0.005")+1)-1,1)))</f>
        <v/>
      </c>
      <c r="I13" s="32" t="str">
        <f aca="false">IF(C13="","",IF('Start Here'!$C$7="Snowball",SUM('Snowball Schedule'!$I$7:$I$366)-SUM('Snowball Schedule'!$AC$6:$AC$365),SUM('Avalanche Schedule'!$I$7:$I$366)-SUM('Avalanche Schedule'!$AC$6:$AC$365)))</f>
        <v/>
      </c>
    </row>
    <row r="14" customFormat="false" ht="15" hidden="false" customHeight="false" outlineLevel="0" collapsed="false">
      <c r="B14" s="7"/>
      <c r="C14" s="33"/>
      <c r="D14" s="34"/>
      <c r="E14" s="33"/>
      <c r="F14" s="30" t="n">
        <f aca="false">IF(C14="",99,SUMPRODUCT(--($C$6:$C$15&lt;&gt;""),--($C$6:$C$15&lt;C14))+COUNTIF($C$6:C14,C14))</f>
        <v>99</v>
      </c>
      <c r="G14" s="30" t="n">
        <f aca="false">IF(C14="",99,SUMPRODUCT(--($C$6:$C$15&lt;&gt;""),--($D$6:$D$15&gt;D14))+COUNTIF($D$6:D14,D14))</f>
        <v>99</v>
      </c>
      <c r="H14" s="31" t="str">
        <f aca="false">IF(C14="","",IF(IF('Start Here'!$C$7="Snowball",COUNTIF('Snowball Schedule'!$AD$7:$AD$366,"&gt;0.005")+1,COUNTIF('Avalanche Schedule'!$AD$7:$AD$366,"&gt;0.005")+1)&gt;360,"30+ years",DATE(YEAR('Start Here'!$C$6),MONTH('Start Here'!$C$6)+IF('Start Here'!$C$7="Snowball",COUNTIF('Snowball Schedule'!$AD$7:$AD$366,"&gt;0.005")+1,COUNTIF('Avalanche Schedule'!$AD$7:$AD$366,"&gt;0.005")+1)-1,1)))</f>
        <v/>
      </c>
      <c r="I14" s="32" t="str">
        <f aca="false">IF(C14="","",IF('Start Here'!$C$7="Snowball",SUM('Snowball Schedule'!$J$7:$J$366)-SUM('Snowball Schedule'!$AD$6:$AD$365),SUM('Avalanche Schedule'!$J$7:$J$366)-SUM('Avalanche Schedule'!$AD$6:$AD$365)))</f>
        <v/>
      </c>
    </row>
    <row r="15" customFormat="false" ht="15" hidden="false" customHeight="false" outlineLevel="0" collapsed="false">
      <c r="B15" s="7"/>
      <c r="C15" s="33"/>
      <c r="D15" s="34"/>
      <c r="E15" s="33"/>
      <c r="F15" s="30" t="n">
        <f aca="false">IF(C15="",99,SUMPRODUCT(--($C$6:$C$15&lt;&gt;""),--($C$6:$C$15&lt;C15))+COUNTIF($C$6:C15,C15))</f>
        <v>99</v>
      </c>
      <c r="G15" s="30" t="n">
        <f aca="false">IF(C15="",99,SUMPRODUCT(--($C$6:$C$15&lt;&gt;""),--($D$6:$D$15&gt;D15))+COUNTIF($D$6:D15,D15))</f>
        <v>99</v>
      </c>
      <c r="H15" s="31" t="str">
        <f aca="false">IF(C15="","",IF(IF('Start Here'!$C$7="Snowball",COUNTIF('Snowball Schedule'!$AE$7:$AE$366,"&gt;0.005")+1,COUNTIF('Avalanche Schedule'!$AE$7:$AE$366,"&gt;0.005")+1)&gt;360,"30+ years",DATE(YEAR('Start Here'!$C$6),MONTH('Start Here'!$C$6)+IF('Start Here'!$C$7="Snowball",COUNTIF('Snowball Schedule'!$AE$7:$AE$366,"&gt;0.005")+1,COUNTIF('Avalanche Schedule'!$AE$7:$AE$366,"&gt;0.005")+1)-1,1)))</f>
        <v/>
      </c>
      <c r="I15" s="32" t="str">
        <f aca="false">IF(C15="","",IF('Start Here'!$C$7="Snowball",SUM('Snowball Schedule'!$K$7:$K$366)-SUM('Snowball Schedule'!$AE$6:$AE$365),SUM('Avalanche Schedule'!$K$7:$K$366)-SUM('Avalanche Schedule'!$AE$6:$AE$365)))</f>
        <v/>
      </c>
    </row>
    <row r="16" customFormat="false" ht="15" hidden="false" customHeight="false" outlineLevel="0" collapsed="false">
      <c r="B16" s="24" t="s">
        <v>41</v>
      </c>
      <c r="C16" s="25" t="n">
        <f aca="false">SUM(C6:C15)</f>
        <v>14850</v>
      </c>
      <c r="D16" s="35" t="n">
        <f aca="false">IF(C16&gt;0,SUMPRODUCT(C6:C15,D6:D15)/C16,0)</f>
        <v>0.124592255892256</v>
      </c>
      <c r="E16" s="25" t="n">
        <f aca="false">SUM(E6:E15)</f>
        <v>430</v>
      </c>
      <c r="F16" s="26"/>
      <c r="G16" s="26"/>
      <c r="H16" s="26"/>
      <c r="I16" s="26"/>
    </row>
    <row r="18" customFormat="false" ht="15" hidden="false" customHeight="false" outlineLevel="0" collapsed="false">
      <c r="B18" s="2" t="s">
        <v>56</v>
      </c>
    </row>
  </sheetData>
  <conditionalFormatting sqref="F6">
    <cfRule type="cellIs" priority="2" operator="equal" aboveAverage="0" equalAverage="0" bottom="0" percent="0" rank="0" text="" dxfId="0">
      <formula>99</formula>
    </cfRule>
  </conditionalFormatting>
  <conditionalFormatting sqref="G6">
    <cfRule type="cellIs" priority="3" operator="equal" aboveAverage="0" equalAverage="0" bottom="0" percent="0" rank="0" text="" dxfId="0">
      <formula>99</formula>
    </cfRule>
  </conditionalFormatting>
  <conditionalFormatting sqref="F7">
    <cfRule type="cellIs" priority="4" operator="equal" aboveAverage="0" equalAverage="0" bottom="0" percent="0" rank="0" text="" dxfId="0">
      <formula>99</formula>
    </cfRule>
  </conditionalFormatting>
  <conditionalFormatting sqref="G7">
    <cfRule type="cellIs" priority="5" operator="equal" aboveAverage="0" equalAverage="0" bottom="0" percent="0" rank="0" text="" dxfId="0">
      <formula>99</formula>
    </cfRule>
  </conditionalFormatting>
  <conditionalFormatting sqref="F8">
    <cfRule type="cellIs" priority="6" operator="equal" aboveAverage="0" equalAverage="0" bottom="0" percent="0" rank="0" text="" dxfId="0">
      <formula>99</formula>
    </cfRule>
  </conditionalFormatting>
  <conditionalFormatting sqref="G8">
    <cfRule type="cellIs" priority="7" operator="equal" aboveAverage="0" equalAverage="0" bottom="0" percent="0" rank="0" text="" dxfId="0">
      <formula>99</formula>
    </cfRule>
  </conditionalFormatting>
  <conditionalFormatting sqref="F9">
    <cfRule type="cellIs" priority="8" operator="equal" aboveAverage="0" equalAverage="0" bottom="0" percent="0" rank="0" text="" dxfId="0">
      <formula>99</formula>
    </cfRule>
  </conditionalFormatting>
  <conditionalFormatting sqref="G9">
    <cfRule type="cellIs" priority="9" operator="equal" aboveAverage="0" equalAverage="0" bottom="0" percent="0" rank="0" text="" dxfId="0">
      <formula>99</formula>
    </cfRule>
  </conditionalFormatting>
  <conditionalFormatting sqref="F10">
    <cfRule type="cellIs" priority="10" operator="equal" aboveAverage="0" equalAverage="0" bottom="0" percent="0" rank="0" text="" dxfId="0">
      <formula>99</formula>
    </cfRule>
  </conditionalFormatting>
  <conditionalFormatting sqref="G10">
    <cfRule type="cellIs" priority="11" operator="equal" aboveAverage="0" equalAverage="0" bottom="0" percent="0" rank="0" text="" dxfId="0">
      <formula>99</formula>
    </cfRule>
  </conditionalFormatting>
  <conditionalFormatting sqref="F11">
    <cfRule type="cellIs" priority="12" operator="equal" aboveAverage="0" equalAverage="0" bottom="0" percent="0" rank="0" text="" dxfId="0">
      <formula>99</formula>
    </cfRule>
  </conditionalFormatting>
  <conditionalFormatting sqref="G11">
    <cfRule type="cellIs" priority="13" operator="equal" aboveAverage="0" equalAverage="0" bottom="0" percent="0" rank="0" text="" dxfId="0">
      <formula>99</formula>
    </cfRule>
  </conditionalFormatting>
  <conditionalFormatting sqref="F12">
    <cfRule type="cellIs" priority="14" operator="equal" aboveAverage="0" equalAverage="0" bottom="0" percent="0" rank="0" text="" dxfId="0">
      <formula>99</formula>
    </cfRule>
  </conditionalFormatting>
  <conditionalFormatting sqref="G12">
    <cfRule type="cellIs" priority="15" operator="equal" aboveAverage="0" equalAverage="0" bottom="0" percent="0" rank="0" text="" dxfId="0">
      <formula>99</formula>
    </cfRule>
  </conditionalFormatting>
  <conditionalFormatting sqref="F13">
    <cfRule type="cellIs" priority="16" operator="equal" aboveAverage="0" equalAverage="0" bottom="0" percent="0" rank="0" text="" dxfId="0">
      <formula>99</formula>
    </cfRule>
  </conditionalFormatting>
  <conditionalFormatting sqref="G13">
    <cfRule type="cellIs" priority="17" operator="equal" aboveAverage="0" equalAverage="0" bottom="0" percent="0" rank="0" text="" dxfId="0">
      <formula>99</formula>
    </cfRule>
  </conditionalFormatting>
  <conditionalFormatting sqref="F14">
    <cfRule type="cellIs" priority="18" operator="equal" aboveAverage="0" equalAverage="0" bottom="0" percent="0" rank="0" text="" dxfId="0">
      <formula>99</formula>
    </cfRule>
  </conditionalFormatting>
  <conditionalFormatting sqref="G14">
    <cfRule type="cellIs" priority="19" operator="equal" aboveAverage="0" equalAverage="0" bottom="0" percent="0" rank="0" text="" dxfId="0">
      <formula>99</formula>
    </cfRule>
  </conditionalFormatting>
  <conditionalFormatting sqref="F15">
    <cfRule type="cellIs" priority="20" operator="equal" aboveAverage="0" equalAverage="0" bottom="0" percent="0" rank="0" text="" dxfId="0">
      <formula>99</formula>
    </cfRule>
  </conditionalFormatting>
  <conditionalFormatting sqref="G15">
    <cfRule type="cellIs" priority="21" operator="equal" aboveAverage="0" equalAverage="0" bottom="0" percent="0" rank="0" text="" dxfId="0">
      <formula>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8C4"/>
    <pageSetUpPr fitToPage="true"/>
  </sheetPr>
  <dimension ref="A1:AH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1" min="2" style="0" width="12"/>
    <col collapsed="false" customWidth="true" hidden="false" outlineLevel="0" max="34" min="32" style="0" width="13"/>
  </cols>
  <sheetData>
    <row r="1" customFormat="false" ht="24.4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6" t="s">
        <v>59</v>
      </c>
      <c r="B4" s="37" t="n">
        <f aca="false">'My Debts'!$F$6</f>
        <v>1</v>
      </c>
      <c r="C4" s="37" t="n">
        <f aca="false">'My Debts'!$F$7</f>
        <v>2</v>
      </c>
      <c r="D4" s="37" t="n">
        <f aca="false">'My Debts'!$F$8</f>
        <v>3</v>
      </c>
      <c r="E4" s="37" t="n">
        <f aca="false">'My Debts'!$F$9</f>
        <v>99</v>
      </c>
      <c r="F4" s="37" t="n">
        <f aca="false">'My Debts'!$F$10</f>
        <v>99</v>
      </c>
      <c r="G4" s="37" t="n">
        <f aca="false">'My Debts'!$F$11</f>
        <v>99</v>
      </c>
      <c r="H4" s="37" t="n">
        <f aca="false">'My Debts'!$F$12</f>
        <v>99</v>
      </c>
      <c r="I4" s="37" t="n">
        <f aca="false">'My Debts'!$F$13</f>
        <v>99</v>
      </c>
      <c r="J4" s="37" t="n">
        <f aca="false">'My Debts'!$F$14</f>
        <v>99</v>
      </c>
      <c r="K4" s="37" t="n">
        <f aca="false">'My Debts'!$F$15</f>
        <v>99</v>
      </c>
    </row>
    <row r="5" customFormat="false" ht="42" hidden="false" customHeight="true" outlineLevel="0" collapsed="false">
      <c r="A5" s="38" t="s">
        <v>60</v>
      </c>
      <c r="B5" s="38" t="str">
        <f aca="false">IF('My Debts'!$B$6="","Debt 1",'My Debts'!$B$6)&amp;" · Owed"</f>
        <v>Store card (example) · Owed</v>
      </c>
      <c r="C5" s="38" t="str">
        <f aca="false">IF('My Debts'!$B$7="","Debt 2",'My Debts'!$B$7)&amp;" · Owed"</f>
        <v>Visa (example) · Owed</v>
      </c>
      <c r="D5" s="38" t="str">
        <f aca="false">IF('My Debts'!$B$8="","Debt 3",'My Debts'!$B$8)&amp;" · Owed"</f>
        <v>Car loan (example) · Owed</v>
      </c>
      <c r="E5" s="38" t="str">
        <f aca="false">IF('My Debts'!$B$9="","Debt 4",'My Debts'!$B$9)&amp;" · Owed"</f>
        <v>Debt 4 · Owed</v>
      </c>
      <c r="F5" s="38" t="str">
        <f aca="false">IF('My Debts'!$B$10="","Debt 5",'My Debts'!$B$10)&amp;" · Owed"</f>
        <v>Debt 5 · Owed</v>
      </c>
      <c r="G5" s="38" t="str">
        <f aca="false">IF('My Debts'!$B$11="","Debt 6",'My Debts'!$B$11)&amp;" · Owed"</f>
        <v>Debt 6 · Owed</v>
      </c>
      <c r="H5" s="38" t="str">
        <f aca="false">IF('My Debts'!$B$12="","Debt 7",'My Debts'!$B$12)&amp;" · Owed"</f>
        <v>Debt 7 · Owed</v>
      </c>
      <c r="I5" s="38" t="str">
        <f aca="false">IF('My Debts'!$B$13="","Debt 8",'My Debts'!$B$13)&amp;" · Owed"</f>
        <v>Debt 8 · Owed</v>
      </c>
      <c r="J5" s="38" t="str">
        <f aca="false">IF('My Debts'!$B$14="","Debt 9",'My Debts'!$B$14)&amp;" · Owed"</f>
        <v>Debt 9 · Owed</v>
      </c>
      <c r="K5" s="38" t="str">
        <f aca="false">IF('My Debts'!$B$15="","Debt 10",'My Debts'!$B$15)&amp;" · Owed"</f>
        <v>Debt 10 · Owed</v>
      </c>
      <c r="L5" s="38" t="str">
        <f aca="false">IF('My Debts'!$B$6="","Debt 1",'My Debts'!$B$6)&amp;" · Minimum"</f>
        <v>Store card (example) · Minimum</v>
      </c>
      <c r="M5" s="38" t="str">
        <f aca="false">IF('My Debts'!$B$7="","Debt 2",'My Debts'!$B$7)&amp;" · Minimum"</f>
        <v>Visa (example) · Minimum</v>
      </c>
      <c r="N5" s="38" t="str">
        <f aca="false">IF('My Debts'!$B$8="","Debt 3",'My Debts'!$B$8)&amp;" · Minimum"</f>
        <v>Car loan (example) · Minimum</v>
      </c>
      <c r="O5" s="38" t="str">
        <f aca="false">IF('My Debts'!$B$9="","Debt 4",'My Debts'!$B$9)&amp;" · Minimum"</f>
        <v>Debt 4 · Minimum</v>
      </c>
      <c r="P5" s="38" t="str">
        <f aca="false">IF('My Debts'!$B$10="","Debt 5",'My Debts'!$B$10)&amp;" · Minimum"</f>
        <v>Debt 5 · Minimum</v>
      </c>
      <c r="Q5" s="38" t="str">
        <f aca="false">IF('My Debts'!$B$11="","Debt 6",'My Debts'!$B$11)&amp;" · Minimum"</f>
        <v>Debt 6 · Minimum</v>
      </c>
      <c r="R5" s="38" t="str">
        <f aca="false">IF('My Debts'!$B$12="","Debt 7",'My Debts'!$B$12)&amp;" · Minimum"</f>
        <v>Debt 7 · Minimum</v>
      </c>
      <c r="S5" s="38" t="str">
        <f aca="false">IF('My Debts'!$B$13="","Debt 8",'My Debts'!$B$13)&amp;" · Minimum"</f>
        <v>Debt 8 · Minimum</v>
      </c>
      <c r="T5" s="38" t="str">
        <f aca="false">IF('My Debts'!$B$14="","Debt 9",'My Debts'!$B$14)&amp;" · Minimum"</f>
        <v>Debt 9 · Minimum</v>
      </c>
      <c r="U5" s="38" t="str">
        <f aca="false">IF('My Debts'!$B$15="","Debt 10",'My Debts'!$B$15)&amp;" · Minimum"</f>
        <v>Debt 10 · Minimum</v>
      </c>
      <c r="V5" s="38" t="str">
        <f aca="false">IF('My Debts'!$B$6="","Debt 1",'My Debts'!$B$6)&amp;" · End balance"</f>
        <v>Store card (example) · End balance</v>
      </c>
      <c r="W5" s="38" t="str">
        <f aca="false">IF('My Debts'!$B$7="","Debt 2",'My Debts'!$B$7)&amp;" · End balance"</f>
        <v>Visa (example) · End balance</v>
      </c>
      <c r="X5" s="38" t="str">
        <f aca="false">IF('My Debts'!$B$8="","Debt 3",'My Debts'!$B$8)&amp;" · End balance"</f>
        <v>Car loan (example) · End balance</v>
      </c>
      <c r="Y5" s="38" t="str">
        <f aca="false">IF('My Debts'!$B$9="","Debt 4",'My Debts'!$B$9)&amp;" · End balance"</f>
        <v>Debt 4 · End balance</v>
      </c>
      <c r="Z5" s="38" t="str">
        <f aca="false">IF('My Debts'!$B$10="","Debt 5",'My Debts'!$B$10)&amp;" · End balance"</f>
        <v>Debt 5 · End balance</v>
      </c>
      <c r="AA5" s="38" t="str">
        <f aca="false">IF('My Debts'!$B$11="","Debt 6",'My Debts'!$B$11)&amp;" · End balance"</f>
        <v>Debt 6 · End balance</v>
      </c>
      <c r="AB5" s="38" t="str">
        <f aca="false">IF('My Debts'!$B$12="","Debt 7",'My Debts'!$B$12)&amp;" · End balance"</f>
        <v>Debt 7 · End balance</v>
      </c>
      <c r="AC5" s="38" t="str">
        <f aca="false">IF('My Debts'!$B$13="","Debt 8",'My Debts'!$B$13)&amp;" · End balance"</f>
        <v>Debt 8 · End balance</v>
      </c>
      <c r="AD5" s="38" t="str">
        <f aca="false">IF('My Debts'!$B$14="","Debt 9",'My Debts'!$B$14)&amp;" · End balance"</f>
        <v>Debt 9 · End balance</v>
      </c>
      <c r="AE5" s="38" t="str">
        <f aca="false">IF('My Debts'!$B$15="","Debt 10",'My Debts'!$B$15)&amp;" · End balance"</f>
        <v>Debt 10 · End balance</v>
      </c>
      <c r="AF5" s="38" t="s">
        <v>61</v>
      </c>
      <c r="AG5" s="38" t="s">
        <v>62</v>
      </c>
      <c r="AH5" s="38" t="s">
        <v>63</v>
      </c>
    </row>
    <row r="6" customFormat="false" ht="15" hidden="false" customHeight="false" outlineLevel="0" collapsed="false">
      <c r="A6" s="36" t="s">
        <v>64</v>
      </c>
      <c r="V6" s="39" t="n">
        <f aca="false">N('My Debts'!$C$6)</f>
        <v>850</v>
      </c>
      <c r="W6" s="39" t="n">
        <f aca="false">N('My Debts'!$C$7)</f>
        <v>4200</v>
      </c>
      <c r="X6" s="39" t="n">
        <f aca="false">N('My Debts'!$C$8)</f>
        <v>9800</v>
      </c>
      <c r="Y6" s="39" t="n">
        <f aca="false">N('My Debts'!$C$9)</f>
        <v>0</v>
      </c>
      <c r="Z6" s="39" t="n">
        <f aca="false">N('My Debts'!$C$10)</f>
        <v>0</v>
      </c>
      <c r="AA6" s="39" t="n">
        <f aca="false">N('My Debts'!$C$11)</f>
        <v>0</v>
      </c>
      <c r="AB6" s="39" t="n">
        <f aca="false">N('My Debts'!$C$12)</f>
        <v>0</v>
      </c>
      <c r="AC6" s="39" t="n">
        <f aca="false">N('My Debts'!$C$13)</f>
        <v>0</v>
      </c>
      <c r="AD6" s="39" t="n">
        <f aca="false">N('My Debts'!$C$14)</f>
        <v>0</v>
      </c>
      <c r="AE6" s="39" t="n">
        <f aca="false">N('My Debts'!$C$15)</f>
        <v>0</v>
      </c>
      <c r="AG6" s="39" t="n">
        <f aca="false">SUM(V6:AE6)</f>
        <v>14850</v>
      </c>
    </row>
    <row r="7" customFormat="false" ht="15" hidden="false" customHeight="false" outlineLevel="0" collapsed="false">
      <c r="A7" s="40" t="n">
        <f aca="false">DATE(YEAR('Start Here'!$C$6),MONTH('Start Here'!$C$6)+0,1)</f>
        <v>46296</v>
      </c>
      <c r="B7" s="39" t="n">
        <f aca="false">ROUND(V6*(1+N('My Debts'!$D$6)/12),2)</f>
        <v>869.12</v>
      </c>
      <c r="C7" s="39" t="n">
        <f aca="false">ROUND(W6*(1+N('My Debts'!$D$7)/12),2)</f>
        <v>4278.72</v>
      </c>
      <c r="D7" s="39" t="n">
        <f aca="false">ROUND(X6*(1+N('My Debts'!$D$8)/12),2)</f>
        <v>9856.35</v>
      </c>
      <c r="E7" s="39" t="n">
        <f aca="false">ROUND(Y6*(1+N('My Debts'!$D$9)/12),2)</f>
        <v>0</v>
      </c>
      <c r="F7" s="39" t="n">
        <f aca="false">ROUND(Z6*(1+N('My Debts'!$D$10)/12),2)</f>
        <v>0</v>
      </c>
      <c r="G7" s="39" t="n">
        <f aca="false">ROUND(AA6*(1+N('My Debts'!$D$11)/12),2)</f>
        <v>0</v>
      </c>
      <c r="H7" s="39" t="n">
        <f aca="false">ROUND(AB6*(1+N('My Debts'!$D$12)/12),2)</f>
        <v>0</v>
      </c>
      <c r="I7" s="39" t="n">
        <f aca="false">ROUND(AC6*(1+N('My Debts'!$D$13)/12),2)</f>
        <v>0</v>
      </c>
      <c r="J7" s="39" t="n">
        <f aca="false">ROUND(AD6*(1+N('My Debts'!$D$14)/12),2)</f>
        <v>0</v>
      </c>
      <c r="K7" s="39" t="n">
        <f aca="false">ROUND(AE6*(1+N('My Debts'!$D$15)/12),2)</f>
        <v>0</v>
      </c>
      <c r="L7" s="39" t="n">
        <f aca="false">MIN(N('My Debts'!$E$6),B7)</f>
        <v>35</v>
      </c>
      <c r="M7" s="39" t="n">
        <f aca="false">MIN(N('My Debts'!$E$7),C7)</f>
        <v>110</v>
      </c>
      <c r="N7" s="39" t="n">
        <f aca="false">MIN(N('My Debts'!$E$8),D7)</f>
        <v>285</v>
      </c>
      <c r="O7" s="39" t="n">
        <f aca="false">MIN(N('My Debts'!$E$9),E7)</f>
        <v>0</v>
      </c>
      <c r="P7" s="39" t="n">
        <f aca="false">MIN(N('My Debts'!$E$10),F7)</f>
        <v>0</v>
      </c>
      <c r="Q7" s="39" t="n">
        <f aca="false">MIN(N('My Debts'!$E$11),G7)</f>
        <v>0</v>
      </c>
      <c r="R7" s="39" t="n">
        <f aca="false">MIN(N('My Debts'!$E$12),H7)</f>
        <v>0</v>
      </c>
      <c r="S7" s="39" t="n">
        <f aca="false">MIN(N('My Debts'!$E$13),I7)</f>
        <v>0</v>
      </c>
      <c r="T7" s="39" t="n">
        <f aca="false">MIN(N('My Debts'!$E$14),J7)</f>
        <v>0</v>
      </c>
      <c r="U7" s="39" t="n">
        <f aca="false">MIN(N('My Debts'!$E$15),K7)</f>
        <v>0</v>
      </c>
      <c r="V7" s="39" t="n">
        <f aca="false">ROUND(B7-L7-MIN(B7-L7,MAX(0,$AF7-SUMPRODUCT(--($B$4:$K$4&lt;B$4),$B7:$K7-$L7:$U7))),2)</f>
        <v>64.12</v>
      </c>
      <c r="W7" s="39" t="n">
        <f aca="false">ROUND(C7-M7-MIN(C7-M7,MAX(0,$AF7-SUMPRODUCT(--($B$4:$K$4&lt;C$4),$B7:$K7-$L7:$U7))),2)</f>
        <v>4168.72</v>
      </c>
      <c r="X7" s="39" t="n">
        <f aca="false">ROUND(D7-N7-MIN(D7-N7,MAX(0,$AF7-SUMPRODUCT(--($B$4:$K$4&lt;D$4),$B7:$K7-$L7:$U7))),2)</f>
        <v>9571.35</v>
      </c>
      <c r="Y7" s="39" t="n">
        <f aca="false">ROUND(E7-O7-MIN(E7-O7,MAX(0,$AF7-SUMPRODUCT(--($B$4:$K$4&lt;E$4),$B7:$K7-$L7:$U7))),2)</f>
        <v>0</v>
      </c>
      <c r="Z7" s="39" t="n">
        <f aca="false">ROUND(F7-P7-MIN(F7-P7,MAX(0,$AF7-SUMPRODUCT(--($B$4:$K$4&lt;F$4),$B7:$K7-$L7:$U7))),2)</f>
        <v>0</v>
      </c>
      <c r="AA7" s="39" t="n">
        <f aca="false">ROUND(G7-Q7-MIN(G7-Q7,MAX(0,$AF7-SUMPRODUCT(--($B$4:$K$4&lt;G$4),$B7:$K7-$L7:$U7))),2)</f>
        <v>0</v>
      </c>
      <c r="AB7" s="39" t="n">
        <f aca="false">ROUND(H7-R7-MIN(H7-R7,MAX(0,$AF7-SUMPRODUCT(--($B$4:$K$4&lt;H$4),$B7:$K7-$L7:$U7))),2)</f>
        <v>0</v>
      </c>
      <c r="AC7" s="39" t="n">
        <f aca="false">ROUND(I7-S7-MIN(I7-S7,MAX(0,$AF7-SUMPRODUCT(--($B$4:$K$4&lt;I$4),$B7:$K7-$L7:$U7))),2)</f>
        <v>0</v>
      </c>
      <c r="AD7" s="39" t="n">
        <f aca="false">ROUND(J7-T7-MIN(J7-T7,MAX(0,$AF7-SUMPRODUCT(--($B$4:$K$4&lt;J$4),$B7:$K7-$L7:$U7))),2)</f>
        <v>0</v>
      </c>
      <c r="AE7" s="39" t="n">
        <f aca="false">ROUND(K7-U7-MIN(K7-U7,MAX(0,$AF7-SUMPRODUCT(--($B$4:$K$4&lt;K$4),$B7:$K7-$L7:$U7))),2)</f>
        <v>0</v>
      </c>
      <c r="AF7" s="39" t="n">
        <f aca="false">MAX(0,'Start Here'!$C$5-SUM($L7:$U7))</f>
        <v>770</v>
      </c>
      <c r="AG7" s="39" t="n">
        <f aca="false">SUM(V7:AE7)</f>
        <v>13804.19</v>
      </c>
      <c r="AH7" s="39" t="n">
        <f aca="false">SUM(B7:K7)-AG6</f>
        <v>154.190000000001</v>
      </c>
    </row>
    <row r="8" customFormat="false" ht="15" hidden="false" customHeight="false" outlineLevel="0" collapsed="false">
      <c r="A8" s="40" t="n">
        <f aca="false">DATE(YEAR('Start Here'!$C$6),MONTH('Start Here'!$C$6)+1,1)</f>
        <v>46327</v>
      </c>
      <c r="B8" s="39" t="n">
        <f aca="false">ROUND(V7*(1+N('My Debts'!$D$6)/12),2)</f>
        <v>65.56</v>
      </c>
      <c r="C8" s="39" t="n">
        <f aca="false">ROUND(W7*(1+N('My Debts'!$D$7)/12),2)</f>
        <v>4246.85</v>
      </c>
      <c r="D8" s="39" t="n">
        <f aca="false">ROUND(X7*(1+N('My Debts'!$D$8)/12),2)</f>
        <v>9626.39</v>
      </c>
      <c r="E8" s="39" t="n">
        <f aca="false">ROUND(Y7*(1+N('My Debts'!$D$9)/12),2)</f>
        <v>0</v>
      </c>
      <c r="F8" s="39" t="n">
        <f aca="false">ROUND(Z7*(1+N('My Debts'!$D$10)/12),2)</f>
        <v>0</v>
      </c>
      <c r="G8" s="39" t="n">
        <f aca="false">ROUND(AA7*(1+N('My Debts'!$D$11)/12),2)</f>
        <v>0</v>
      </c>
      <c r="H8" s="39" t="n">
        <f aca="false">ROUND(AB7*(1+N('My Debts'!$D$12)/12),2)</f>
        <v>0</v>
      </c>
      <c r="I8" s="39" t="n">
        <f aca="false">ROUND(AC7*(1+N('My Debts'!$D$13)/12),2)</f>
        <v>0</v>
      </c>
      <c r="J8" s="39" t="n">
        <f aca="false">ROUND(AD7*(1+N('My Debts'!$D$14)/12),2)</f>
        <v>0</v>
      </c>
      <c r="K8" s="39" t="n">
        <f aca="false">ROUND(AE7*(1+N('My Debts'!$D$15)/12),2)</f>
        <v>0</v>
      </c>
      <c r="L8" s="39" t="n">
        <f aca="false">MIN(N('My Debts'!$E$6),B8)</f>
        <v>35</v>
      </c>
      <c r="M8" s="39" t="n">
        <f aca="false">MIN(N('My Debts'!$E$7),C8)</f>
        <v>110</v>
      </c>
      <c r="N8" s="39" t="n">
        <f aca="false">MIN(N('My Debts'!$E$8),D8)</f>
        <v>285</v>
      </c>
      <c r="O8" s="39" t="n">
        <f aca="false">MIN(N('My Debts'!$E$9),E8)</f>
        <v>0</v>
      </c>
      <c r="P8" s="39" t="n">
        <f aca="false">MIN(N('My Debts'!$E$10),F8)</f>
        <v>0</v>
      </c>
      <c r="Q8" s="39" t="n">
        <f aca="false">MIN(N('My Debts'!$E$11),G8)</f>
        <v>0</v>
      </c>
      <c r="R8" s="39" t="n">
        <f aca="false">MIN(N('My Debts'!$E$12),H8)</f>
        <v>0</v>
      </c>
      <c r="S8" s="39" t="n">
        <f aca="false">MIN(N('My Debts'!$E$13),I8)</f>
        <v>0</v>
      </c>
      <c r="T8" s="39" t="n">
        <f aca="false">MIN(N('My Debts'!$E$14),J8)</f>
        <v>0</v>
      </c>
      <c r="U8" s="39" t="n">
        <f aca="false">MIN(N('My Debts'!$E$15),K8)</f>
        <v>0</v>
      </c>
      <c r="V8" s="39" t="n">
        <f aca="false">ROUND(B8-L8-MIN(B8-L8,MAX(0,$AF8-SUMPRODUCT(--($B$4:$K$4&lt;B$4),$B8:$K8-$L8:$U8))),2)</f>
        <v>0</v>
      </c>
      <c r="W8" s="39" t="n">
        <f aca="false">ROUND(C8-M8-MIN(C8-M8,MAX(0,$AF8-SUMPRODUCT(--($B$4:$K$4&lt;C$4),$B8:$K8-$L8:$U8))),2)</f>
        <v>3397.41</v>
      </c>
      <c r="X8" s="39" t="n">
        <f aca="false">ROUND(D8-N8-MIN(D8-N8,MAX(0,$AF8-SUMPRODUCT(--($B$4:$K$4&lt;D$4),$B8:$K8-$L8:$U8))),2)</f>
        <v>9341.39</v>
      </c>
      <c r="Y8" s="39" t="n">
        <f aca="false">ROUND(E8-O8-MIN(E8-O8,MAX(0,$AF8-SUMPRODUCT(--($B$4:$K$4&lt;E$4),$B8:$K8-$L8:$U8))),2)</f>
        <v>0</v>
      </c>
      <c r="Z8" s="39" t="n">
        <f aca="false">ROUND(F8-P8-MIN(F8-P8,MAX(0,$AF8-SUMPRODUCT(--($B$4:$K$4&lt;F$4),$B8:$K8-$L8:$U8))),2)</f>
        <v>0</v>
      </c>
      <c r="AA8" s="39" t="n">
        <f aca="false">ROUND(G8-Q8-MIN(G8-Q8,MAX(0,$AF8-SUMPRODUCT(--($B$4:$K$4&lt;G$4),$B8:$K8-$L8:$U8))),2)</f>
        <v>0</v>
      </c>
      <c r="AB8" s="39" t="n">
        <f aca="false">ROUND(H8-R8-MIN(H8-R8,MAX(0,$AF8-SUMPRODUCT(--($B$4:$K$4&lt;H$4),$B8:$K8-$L8:$U8))),2)</f>
        <v>0</v>
      </c>
      <c r="AC8" s="39" t="n">
        <f aca="false">ROUND(I8-S8-MIN(I8-S8,MAX(0,$AF8-SUMPRODUCT(--($B$4:$K$4&lt;I$4),$B8:$K8-$L8:$U8))),2)</f>
        <v>0</v>
      </c>
      <c r="AD8" s="39" t="n">
        <f aca="false">ROUND(J8-T8-MIN(J8-T8,MAX(0,$AF8-SUMPRODUCT(--($B$4:$K$4&lt;J$4),$B8:$K8-$L8:$U8))),2)</f>
        <v>0</v>
      </c>
      <c r="AE8" s="39" t="n">
        <f aca="false">ROUND(K8-U8-MIN(K8-U8,MAX(0,$AF8-SUMPRODUCT(--($B$4:$K$4&lt;K$4),$B8:$K8-$L8:$U8))),2)</f>
        <v>0</v>
      </c>
      <c r="AF8" s="39" t="n">
        <f aca="false">MAX(0,'Start Here'!$C$5-SUM($L8:$U8))</f>
        <v>770</v>
      </c>
      <c r="AG8" s="39" t="n">
        <f aca="false">SUM(V8:AE8)</f>
        <v>12738.8</v>
      </c>
      <c r="AH8" s="39" t="n">
        <f aca="false">SUM(B8:K8)-AG7</f>
        <v>134.609999999999</v>
      </c>
    </row>
    <row r="9" customFormat="false" ht="15" hidden="false" customHeight="false" outlineLevel="0" collapsed="false">
      <c r="A9" s="40" t="n">
        <f aca="false">DATE(YEAR('Start Here'!$C$6),MONTH('Start Here'!$C$6)+2,1)</f>
        <v>46357</v>
      </c>
      <c r="B9" s="39" t="n">
        <f aca="false">ROUND(V8*(1+N('My Debts'!$D$6)/12),2)</f>
        <v>0</v>
      </c>
      <c r="C9" s="39" t="n">
        <f aca="false">ROUND(W8*(1+N('My Debts'!$D$7)/12),2)</f>
        <v>3461.08</v>
      </c>
      <c r="D9" s="39" t="n">
        <f aca="false">ROUND(X8*(1+N('My Debts'!$D$8)/12),2)</f>
        <v>9395.1</v>
      </c>
      <c r="E9" s="39" t="n">
        <f aca="false">ROUND(Y8*(1+N('My Debts'!$D$9)/12),2)</f>
        <v>0</v>
      </c>
      <c r="F9" s="39" t="n">
        <f aca="false">ROUND(Z8*(1+N('My Debts'!$D$10)/12),2)</f>
        <v>0</v>
      </c>
      <c r="G9" s="39" t="n">
        <f aca="false">ROUND(AA8*(1+N('My Debts'!$D$11)/12),2)</f>
        <v>0</v>
      </c>
      <c r="H9" s="39" t="n">
        <f aca="false">ROUND(AB8*(1+N('My Debts'!$D$12)/12),2)</f>
        <v>0</v>
      </c>
      <c r="I9" s="39" t="n">
        <f aca="false">ROUND(AC8*(1+N('My Debts'!$D$13)/12),2)</f>
        <v>0</v>
      </c>
      <c r="J9" s="39" t="n">
        <f aca="false">ROUND(AD8*(1+N('My Debts'!$D$14)/12),2)</f>
        <v>0</v>
      </c>
      <c r="K9" s="39" t="n">
        <f aca="false">ROUND(AE8*(1+N('My Debts'!$D$15)/12),2)</f>
        <v>0</v>
      </c>
      <c r="L9" s="39" t="n">
        <f aca="false">MIN(N('My Debts'!$E$6),B9)</f>
        <v>0</v>
      </c>
      <c r="M9" s="39" t="n">
        <f aca="false">MIN(N('My Debts'!$E$7),C9)</f>
        <v>110</v>
      </c>
      <c r="N9" s="39" t="n">
        <f aca="false">MIN(N('My Debts'!$E$8),D9)</f>
        <v>285</v>
      </c>
      <c r="O9" s="39" t="n">
        <f aca="false">MIN(N('My Debts'!$E$9),E9)</f>
        <v>0</v>
      </c>
      <c r="P9" s="39" t="n">
        <f aca="false">MIN(N('My Debts'!$E$10),F9)</f>
        <v>0</v>
      </c>
      <c r="Q9" s="39" t="n">
        <f aca="false">MIN(N('My Debts'!$E$11),G9)</f>
        <v>0</v>
      </c>
      <c r="R9" s="39" t="n">
        <f aca="false">MIN(N('My Debts'!$E$12),H9)</f>
        <v>0</v>
      </c>
      <c r="S9" s="39" t="n">
        <f aca="false">MIN(N('My Debts'!$E$13),I9)</f>
        <v>0</v>
      </c>
      <c r="T9" s="39" t="n">
        <f aca="false">MIN(N('My Debts'!$E$14),J9)</f>
        <v>0</v>
      </c>
      <c r="U9" s="39" t="n">
        <f aca="false">MIN(N('My Debts'!$E$15),K9)</f>
        <v>0</v>
      </c>
      <c r="V9" s="39" t="n">
        <f aca="false">ROUND(B9-L9-MIN(B9-L9,MAX(0,$AF9-SUMPRODUCT(--($B$4:$K$4&lt;B$4),$B9:$K9-$L9:$U9))),2)</f>
        <v>0</v>
      </c>
      <c r="W9" s="39" t="n">
        <f aca="false">ROUND(C9-M9-MIN(C9-M9,MAX(0,$AF9-SUMPRODUCT(--($B$4:$K$4&lt;C$4),$B9:$K9-$L9:$U9))),2)</f>
        <v>2546.08</v>
      </c>
      <c r="X9" s="39" t="n">
        <f aca="false">ROUND(D9-N9-MIN(D9-N9,MAX(0,$AF9-SUMPRODUCT(--($B$4:$K$4&lt;D$4),$B9:$K9-$L9:$U9))),2)</f>
        <v>9110.1</v>
      </c>
      <c r="Y9" s="39" t="n">
        <f aca="false">ROUND(E9-O9-MIN(E9-O9,MAX(0,$AF9-SUMPRODUCT(--($B$4:$K$4&lt;E$4),$B9:$K9-$L9:$U9))),2)</f>
        <v>0</v>
      </c>
      <c r="Z9" s="39" t="n">
        <f aca="false">ROUND(F9-P9-MIN(F9-P9,MAX(0,$AF9-SUMPRODUCT(--($B$4:$K$4&lt;F$4),$B9:$K9-$L9:$U9))),2)</f>
        <v>0</v>
      </c>
      <c r="AA9" s="39" t="n">
        <f aca="false">ROUND(G9-Q9-MIN(G9-Q9,MAX(0,$AF9-SUMPRODUCT(--($B$4:$K$4&lt;G$4),$B9:$K9-$L9:$U9))),2)</f>
        <v>0</v>
      </c>
      <c r="AB9" s="39" t="n">
        <f aca="false">ROUND(H9-R9-MIN(H9-R9,MAX(0,$AF9-SUMPRODUCT(--($B$4:$K$4&lt;H$4),$B9:$K9-$L9:$U9))),2)</f>
        <v>0</v>
      </c>
      <c r="AC9" s="39" t="n">
        <f aca="false">ROUND(I9-S9-MIN(I9-S9,MAX(0,$AF9-SUMPRODUCT(--($B$4:$K$4&lt;I$4),$B9:$K9-$L9:$U9))),2)</f>
        <v>0</v>
      </c>
      <c r="AD9" s="39" t="n">
        <f aca="false">ROUND(J9-T9-MIN(J9-T9,MAX(0,$AF9-SUMPRODUCT(--($B$4:$K$4&lt;J$4),$B9:$K9-$L9:$U9))),2)</f>
        <v>0</v>
      </c>
      <c r="AE9" s="39" t="n">
        <f aca="false">ROUND(K9-U9-MIN(K9-U9,MAX(0,$AF9-SUMPRODUCT(--($B$4:$K$4&lt;K$4),$B9:$K9-$L9:$U9))),2)</f>
        <v>0</v>
      </c>
      <c r="AF9" s="39" t="n">
        <f aca="false">MAX(0,'Start Here'!$C$5-SUM($L9:$U9))</f>
        <v>805</v>
      </c>
      <c r="AG9" s="39" t="n">
        <f aca="false">SUM(V9:AE9)</f>
        <v>11656.18</v>
      </c>
      <c r="AH9" s="39" t="n">
        <f aca="false">SUM(B9:K9)-AG8</f>
        <v>117.380000000001</v>
      </c>
    </row>
    <row r="10" customFormat="false" ht="15" hidden="false" customHeight="false" outlineLevel="0" collapsed="false">
      <c r="A10" s="40" t="n">
        <f aca="false">DATE(YEAR('Start Here'!$C$6),MONTH('Start Here'!$C$6)+3,1)</f>
        <v>46388</v>
      </c>
      <c r="B10" s="39" t="n">
        <f aca="false">ROUND(V9*(1+N('My Debts'!$D$6)/12),2)</f>
        <v>0</v>
      </c>
      <c r="C10" s="39" t="n">
        <f aca="false">ROUND(W9*(1+N('My Debts'!$D$7)/12),2)</f>
        <v>2593.8</v>
      </c>
      <c r="D10" s="39" t="n">
        <f aca="false">ROUND(X9*(1+N('My Debts'!$D$8)/12),2)</f>
        <v>9162.48</v>
      </c>
      <c r="E10" s="39" t="n">
        <f aca="false">ROUND(Y9*(1+N('My Debts'!$D$9)/12),2)</f>
        <v>0</v>
      </c>
      <c r="F10" s="39" t="n">
        <f aca="false">ROUND(Z9*(1+N('My Debts'!$D$10)/12),2)</f>
        <v>0</v>
      </c>
      <c r="G10" s="39" t="n">
        <f aca="false">ROUND(AA9*(1+N('My Debts'!$D$11)/12),2)</f>
        <v>0</v>
      </c>
      <c r="H10" s="39" t="n">
        <f aca="false">ROUND(AB9*(1+N('My Debts'!$D$12)/12),2)</f>
        <v>0</v>
      </c>
      <c r="I10" s="39" t="n">
        <f aca="false">ROUND(AC9*(1+N('My Debts'!$D$13)/12),2)</f>
        <v>0</v>
      </c>
      <c r="J10" s="39" t="n">
        <f aca="false">ROUND(AD9*(1+N('My Debts'!$D$14)/12),2)</f>
        <v>0</v>
      </c>
      <c r="K10" s="39" t="n">
        <f aca="false">ROUND(AE9*(1+N('My Debts'!$D$15)/12),2)</f>
        <v>0</v>
      </c>
      <c r="L10" s="39" t="n">
        <f aca="false">MIN(N('My Debts'!$E$6),B10)</f>
        <v>0</v>
      </c>
      <c r="M10" s="39" t="n">
        <f aca="false">MIN(N('My Debts'!$E$7),C10)</f>
        <v>110</v>
      </c>
      <c r="N10" s="39" t="n">
        <f aca="false">MIN(N('My Debts'!$E$8),D10)</f>
        <v>285</v>
      </c>
      <c r="O10" s="39" t="n">
        <f aca="false">MIN(N('My Debts'!$E$9),E10)</f>
        <v>0</v>
      </c>
      <c r="P10" s="39" t="n">
        <f aca="false">MIN(N('My Debts'!$E$10),F10)</f>
        <v>0</v>
      </c>
      <c r="Q10" s="39" t="n">
        <f aca="false">MIN(N('My Debts'!$E$11),G10)</f>
        <v>0</v>
      </c>
      <c r="R10" s="39" t="n">
        <f aca="false">MIN(N('My Debts'!$E$12),H10)</f>
        <v>0</v>
      </c>
      <c r="S10" s="39" t="n">
        <f aca="false">MIN(N('My Debts'!$E$13),I10)</f>
        <v>0</v>
      </c>
      <c r="T10" s="39" t="n">
        <f aca="false">MIN(N('My Debts'!$E$14),J10)</f>
        <v>0</v>
      </c>
      <c r="U10" s="39" t="n">
        <f aca="false">MIN(N('My Debts'!$E$15),K10)</f>
        <v>0</v>
      </c>
      <c r="V10" s="39" t="n">
        <f aca="false">ROUND(B10-L10-MIN(B10-L10,MAX(0,$AF10-SUMPRODUCT(--($B$4:$K$4&lt;B$4),$B10:$K10-$L10:$U10))),2)</f>
        <v>0</v>
      </c>
      <c r="W10" s="39" t="n">
        <f aca="false">ROUND(C10-M10-MIN(C10-M10,MAX(0,$AF10-SUMPRODUCT(--($B$4:$K$4&lt;C$4),$B10:$K10-$L10:$U10))),2)</f>
        <v>1678.8</v>
      </c>
      <c r="X10" s="39" t="n">
        <f aca="false">ROUND(D10-N10-MIN(D10-N10,MAX(0,$AF10-SUMPRODUCT(--($B$4:$K$4&lt;D$4),$B10:$K10-$L10:$U10))),2)</f>
        <v>8877.48</v>
      </c>
      <c r="Y10" s="39" t="n">
        <f aca="false">ROUND(E10-O10-MIN(E10-O10,MAX(0,$AF10-SUMPRODUCT(--($B$4:$K$4&lt;E$4),$B10:$K10-$L10:$U10))),2)</f>
        <v>0</v>
      </c>
      <c r="Z10" s="39" t="n">
        <f aca="false">ROUND(F10-P10-MIN(F10-P10,MAX(0,$AF10-SUMPRODUCT(--($B$4:$K$4&lt;F$4),$B10:$K10-$L10:$U10))),2)</f>
        <v>0</v>
      </c>
      <c r="AA10" s="39" t="n">
        <f aca="false">ROUND(G10-Q10-MIN(G10-Q10,MAX(0,$AF10-SUMPRODUCT(--($B$4:$K$4&lt;G$4),$B10:$K10-$L10:$U10))),2)</f>
        <v>0</v>
      </c>
      <c r="AB10" s="39" t="n">
        <f aca="false">ROUND(H10-R10-MIN(H10-R10,MAX(0,$AF10-SUMPRODUCT(--($B$4:$K$4&lt;H$4),$B10:$K10-$L10:$U10))),2)</f>
        <v>0</v>
      </c>
      <c r="AC10" s="39" t="n">
        <f aca="false">ROUND(I10-S10-MIN(I10-S10,MAX(0,$AF10-SUMPRODUCT(--($B$4:$K$4&lt;I$4),$B10:$K10-$L10:$U10))),2)</f>
        <v>0</v>
      </c>
      <c r="AD10" s="39" t="n">
        <f aca="false">ROUND(J10-T10-MIN(J10-T10,MAX(0,$AF10-SUMPRODUCT(--($B$4:$K$4&lt;J$4),$B10:$K10-$L10:$U10))),2)</f>
        <v>0</v>
      </c>
      <c r="AE10" s="39" t="n">
        <f aca="false">ROUND(K10-U10-MIN(K10-U10,MAX(0,$AF10-SUMPRODUCT(--($B$4:$K$4&lt;K$4),$B10:$K10-$L10:$U10))),2)</f>
        <v>0</v>
      </c>
      <c r="AF10" s="39" t="n">
        <f aca="false">MAX(0,'Start Here'!$C$5-SUM($L10:$U10))</f>
        <v>805</v>
      </c>
      <c r="AG10" s="39" t="n">
        <f aca="false">SUM(V10:AE10)</f>
        <v>10556.28</v>
      </c>
      <c r="AH10" s="39" t="n">
        <f aca="false">SUM(B10:K10)-AG9</f>
        <v>100.099999999999</v>
      </c>
    </row>
    <row r="11" customFormat="false" ht="15" hidden="false" customHeight="false" outlineLevel="0" collapsed="false">
      <c r="A11" s="40" t="n">
        <f aca="false">DATE(YEAR('Start Here'!$C$6),MONTH('Start Here'!$C$6)+4,1)</f>
        <v>46419</v>
      </c>
      <c r="B11" s="39" t="n">
        <f aca="false">ROUND(V10*(1+N('My Debts'!$D$6)/12),2)</f>
        <v>0</v>
      </c>
      <c r="C11" s="39" t="n">
        <f aca="false">ROUND(W10*(1+N('My Debts'!$D$7)/12),2)</f>
        <v>1710.26</v>
      </c>
      <c r="D11" s="39" t="n">
        <f aca="false">ROUND(X10*(1+N('My Debts'!$D$8)/12),2)</f>
        <v>8928.53</v>
      </c>
      <c r="E11" s="39" t="n">
        <f aca="false">ROUND(Y10*(1+N('My Debts'!$D$9)/12),2)</f>
        <v>0</v>
      </c>
      <c r="F11" s="39" t="n">
        <f aca="false">ROUND(Z10*(1+N('My Debts'!$D$10)/12),2)</f>
        <v>0</v>
      </c>
      <c r="G11" s="39" t="n">
        <f aca="false">ROUND(AA10*(1+N('My Debts'!$D$11)/12),2)</f>
        <v>0</v>
      </c>
      <c r="H11" s="39" t="n">
        <f aca="false">ROUND(AB10*(1+N('My Debts'!$D$12)/12),2)</f>
        <v>0</v>
      </c>
      <c r="I11" s="39" t="n">
        <f aca="false">ROUND(AC10*(1+N('My Debts'!$D$13)/12),2)</f>
        <v>0</v>
      </c>
      <c r="J11" s="39" t="n">
        <f aca="false">ROUND(AD10*(1+N('My Debts'!$D$14)/12),2)</f>
        <v>0</v>
      </c>
      <c r="K11" s="39" t="n">
        <f aca="false">ROUND(AE10*(1+N('My Debts'!$D$15)/12),2)</f>
        <v>0</v>
      </c>
      <c r="L11" s="39" t="n">
        <f aca="false">MIN(N('My Debts'!$E$6),B11)</f>
        <v>0</v>
      </c>
      <c r="M11" s="39" t="n">
        <f aca="false">MIN(N('My Debts'!$E$7),C11)</f>
        <v>110</v>
      </c>
      <c r="N11" s="39" t="n">
        <f aca="false">MIN(N('My Debts'!$E$8),D11)</f>
        <v>285</v>
      </c>
      <c r="O11" s="39" t="n">
        <f aca="false">MIN(N('My Debts'!$E$9),E11)</f>
        <v>0</v>
      </c>
      <c r="P11" s="39" t="n">
        <f aca="false">MIN(N('My Debts'!$E$10),F11)</f>
        <v>0</v>
      </c>
      <c r="Q11" s="39" t="n">
        <f aca="false">MIN(N('My Debts'!$E$11),G11)</f>
        <v>0</v>
      </c>
      <c r="R11" s="39" t="n">
        <f aca="false">MIN(N('My Debts'!$E$12),H11)</f>
        <v>0</v>
      </c>
      <c r="S11" s="39" t="n">
        <f aca="false">MIN(N('My Debts'!$E$13),I11)</f>
        <v>0</v>
      </c>
      <c r="T11" s="39" t="n">
        <f aca="false">MIN(N('My Debts'!$E$14),J11)</f>
        <v>0</v>
      </c>
      <c r="U11" s="39" t="n">
        <f aca="false">MIN(N('My Debts'!$E$15),K11)</f>
        <v>0</v>
      </c>
      <c r="V11" s="39" t="n">
        <f aca="false">ROUND(B11-L11-MIN(B11-L11,MAX(0,$AF11-SUMPRODUCT(--($B$4:$K$4&lt;B$4),$B11:$K11-$L11:$U11))),2)</f>
        <v>0</v>
      </c>
      <c r="W11" s="39" t="n">
        <f aca="false">ROUND(C11-M11-MIN(C11-M11,MAX(0,$AF11-SUMPRODUCT(--($B$4:$K$4&lt;C$4),$B11:$K11-$L11:$U11))),2)</f>
        <v>795.26</v>
      </c>
      <c r="X11" s="39" t="n">
        <f aca="false">ROUND(D11-N11-MIN(D11-N11,MAX(0,$AF11-SUMPRODUCT(--($B$4:$K$4&lt;D$4),$B11:$K11-$L11:$U11))),2)</f>
        <v>8643.53</v>
      </c>
      <c r="Y11" s="39" t="n">
        <f aca="false">ROUND(E11-O11-MIN(E11-O11,MAX(0,$AF11-SUMPRODUCT(--($B$4:$K$4&lt;E$4),$B11:$K11-$L11:$U11))),2)</f>
        <v>0</v>
      </c>
      <c r="Z11" s="39" t="n">
        <f aca="false">ROUND(F11-P11-MIN(F11-P11,MAX(0,$AF11-SUMPRODUCT(--($B$4:$K$4&lt;F$4),$B11:$K11-$L11:$U11))),2)</f>
        <v>0</v>
      </c>
      <c r="AA11" s="39" t="n">
        <f aca="false">ROUND(G11-Q11-MIN(G11-Q11,MAX(0,$AF11-SUMPRODUCT(--($B$4:$K$4&lt;G$4),$B11:$K11-$L11:$U11))),2)</f>
        <v>0</v>
      </c>
      <c r="AB11" s="39" t="n">
        <f aca="false">ROUND(H11-R11-MIN(H11-R11,MAX(0,$AF11-SUMPRODUCT(--($B$4:$K$4&lt;H$4),$B11:$K11-$L11:$U11))),2)</f>
        <v>0</v>
      </c>
      <c r="AC11" s="39" t="n">
        <f aca="false">ROUND(I11-S11-MIN(I11-S11,MAX(0,$AF11-SUMPRODUCT(--($B$4:$K$4&lt;I$4),$B11:$K11-$L11:$U11))),2)</f>
        <v>0</v>
      </c>
      <c r="AD11" s="39" t="n">
        <f aca="false">ROUND(J11-T11-MIN(J11-T11,MAX(0,$AF11-SUMPRODUCT(--($B$4:$K$4&lt;J$4),$B11:$K11-$L11:$U11))),2)</f>
        <v>0</v>
      </c>
      <c r="AE11" s="39" t="n">
        <f aca="false">ROUND(K11-U11-MIN(K11-U11,MAX(0,$AF11-SUMPRODUCT(--($B$4:$K$4&lt;K$4),$B11:$K11-$L11:$U11))),2)</f>
        <v>0</v>
      </c>
      <c r="AF11" s="39" t="n">
        <f aca="false">MAX(0,'Start Here'!$C$5-SUM($L11:$U11))</f>
        <v>805</v>
      </c>
      <c r="AG11" s="39" t="n">
        <f aca="false">SUM(V11:AE11)</f>
        <v>9438.79</v>
      </c>
      <c r="AH11" s="39" t="n">
        <f aca="false">SUM(B11:K11)-AG10</f>
        <v>82.510000000002</v>
      </c>
    </row>
    <row r="12" customFormat="false" ht="15" hidden="false" customHeight="false" outlineLevel="0" collapsed="false">
      <c r="A12" s="40" t="n">
        <f aca="false">DATE(YEAR('Start Here'!$C$6),MONTH('Start Here'!$C$6)+5,1)</f>
        <v>46447</v>
      </c>
      <c r="B12" s="39" t="n">
        <f aca="false">ROUND(V11*(1+N('My Debts'!$D$6)/12),2)</f>
        <v>0</v>
      </c>
      <c r="C12" s="39" t="n">
        <f aca="false">ROUND(W11*(1+N('My Debts'!$D$7)/12),2)</f>
        <v>810.16</v>
      </c>
      <c r="D12" s="39" t="n">
        <f aca="false">ROUND(X11*(1+N('My Debts'!$D$8)/12),2)</f>
        <v>8693.23</v>
      </c>
      <c r="E12" s="39" t="n">
        <f aca="false">ROUND(Y11*(1+N('My Debts'!$D$9)/12),2)</f>
        <v>0</v>
      </c>
      <c r="F12" s="39" t="n">
        <f aca="false">ROUND(Z11*(1+N('My Debts'!$D$10)/12),2)</f>
        <v>0</v>
      </c>
      <c r="G12" s="39" t="n">
        <f aca="false">ROUND(AA11*(1+N('My Debts'!$D$11)/12),2)</f>
        <v>0</v>
      </c>
      <c r="H12" s="39" t="n">
        <f aca="false">ROUND(AB11*(1+N('My Debts'!$D$12)/12),2)</f>
        <v>0</v>
      </c>
      <c r="I12" s="39" t="n">
        <f aca="false">ROUND(AC11*(1+N('My Debts'!$D$13)/12),2)</f>
        <v>0</v>
      </c>
      <c r="J12" s="39" t="n">
        <f aca="false">ROUND(AD11*(1+N('My Debts'!$D$14)/12),2)</f>
        <v>0</v>
      </c>
      <c r="K12" s="39" t="n">
        <f aca="false">ROUND(AE11*(1+N('My Debts'!$D$15)/12),2)</f>
        <v>0</v>
      </c>
      <c r="L12" s="39" t="n">
        <f aca="false">MIN(N('My Debts'!$E$6),B12)</f>
        <v>0</v>
      </c>
      <c r="M12" s="39" t="n">
        <f aca="false">MIN(N('My Debts'!$E$7),C12)</f>
        <v>110</v>
      </c>
      <c r="N12" s="39" t="n">
        <f aca="false">MIN(N('My Debts'!$E$8),D12)</f>
        <v>285</v>
      </c>
      <c r="O12" s="39" t="n">
        <f aca="false">MIN(N('My Debts'!$E$9),E12)</f>
        <v>0</v>
      </c>
      <c r="P12" s="39" t="n">
        <f aca="false">MIN(N('My Debts'!$E$10),F12)</f>
        <v>0</v>
      </c>
      <c r="Q12" s="39" t="n">
        <f aca="false">MIN(N('My Debts'!$E$11),G12)</f>
        <v>0</v>
      </c>
      <c r="R12" s="39" t="n">
        <f aca="false">MIN(N('My Debts'!$E$12),H12)</f>
        <v>0</v>
      </c>
      <c r="S12" s="39" t="n">
        <f aca="false">MIN(N('My Debts'!$E$13),I12)</f>
        <v>0</v>
      </c>
      <c r="T12" s="39" t="n">
        <f aca="false">MIN(N('My Debts'!$E$14),J12)</f>
        <v>0</v>
      </c>
      <c r="U12" s="39" t="n">
        <f aca="false">MIN(N('My Debts'!$E$15),K12)</f>
        <v>0</v>
      </c>
      <c r="V12" s="39" t="n">
        <f aca="false">ROUND(B12-L12-MIN(B12-L12,MAX(0,$AF12-SUMPRODUCT(--($B$4:$K$4&lt;B$4),$B12:$K12-$L12:$U12))),2)</f>
        <v>0</v>
      </c>
      <c r="W12" s="39" t="n">
        <f aca="false">ROUND(C12-M12-MIN(C12-M12,MAX(0,$AF12-SUMPRODUCT(--($B$4:$K$4&lt;C$4),$B12:$K12-$L12:$U12))),2)</f>
        <v>0</v>
      </c>
      <c r="X12" s="39" t="n">
        <f aca="false">ROUND(D12-N12-MIN(D12-N12,MAX(0,$AF12-SUMPRODUCT(--($B$4:$K$4&lt;D$4),$B12:$K12-$L12:$U12))),2)</f>
        <v>8303.39</v>
      </c>
      <c r="Y12" s="39" t="n">
        <f aca="false">ROUND(E12-O12-MIN(E12-O12,MAX(0,$AF12-SUMPRODUCT(--($B$4:$K$4&lt;E$4),$B12:$K12-$L12:$U12))),2)</f>
        <v>0</v>
      </c>
      <c r="Z12" s="39" t="n">
        <f aca="false">ROUND(F12-P12-MIN(F12-P12,MAX(0,$AF12-SUMPRODUCT(--($B$4:$K$4&lt;F$4),$B12:$K12-$L12:$U12))),2)</f>
        <v>0</v>
      </c>
      <c r="AA12" s="39" t="n">
        <f aca="false">ROUND(G12-Q12-MIN(G12-Q12,MAX(0,$AF12-SUMPRODUCT(--($B$4:$K$4&lt;G$4),$B12:$K12-$L12:$U12))),2)</f>
        <v>0</v>
      </c>
      <c r="AB12" s="39" t="n">
        <f aca="false">ROUND(H12-R12-MIN(H12-R12,MAX(0,$AF12-SUMPRODUCT(--($B$4:$K$4&lt;H$4),$B12:$K12-$L12:$U12))),2)</f>
        <v>0</v>
      </c>
      <c r="AC12" s="39" t="n">
        <f aca="false">ROUND(I12-S12-MIN(I12-S12,MAX(0,$AF12-SUMPRODUCT(--($B$4:$K$4&lt;I$4),$B12:$K12-$L12:$U12))),2)</f>
        <v>0</v>
      </c>
      <c r="AD12" s="39" t="n">
        <f aca="false">ROUND(J12-T12-MIN(J12-T12,MAX(0,$AF12-SUMPRODUCT(--($B$4:$K$4&lt;J$4),$B12:$K12-$L12:$U12))),2)</f>
        <v>0</v>
      </c>
      <c r="AE12" s="39" t="n">
        <f aca="false">ROUND(K12-U12-MIN(K12-U12,MAX(0,$AF12-SUMPRODUCT(--($B$4:$K$4&lt;K$4),$B12:$K12-$L12:$U12))),2)</f>
        <v>0</v>
      </c>
      <c r="AF12" s="39" t="n">
        <f aca="false">MAX(0,'Start Here'!$C$5-SUM($L12:$U12))</f>
        <v>805</v>
      </c>
      <c r="AG12" s="39" t="n">
        <f aca="false">SUM(V12:AE12)</f>
        <v>8303.39</v>
      </c>
      <c r="AH12" s="39" t="n">
        <f aca="false">SUM(B12:K12)-AG11</f>
        <v>64.5999999999985</v>
      </c>
    </row>
    <row r="13" customFormat="false" ht="15" hidden="false" customHeight="false" outlineLevel="0" collapsed="false">
      <c r="A13" s="40" t="n">
        <f aca="false">DATE(YEAR('Start Here'!$C$6),MONTH('Start Here'!$C$6)+6,1)</f>
        <v>46478</v>
      </c>
      <c r="B13" s="39" t="n">
        <f aca="false">ROUND(V12*(1+N('My Debts'!$D$6)/12),2)</f>
        <v>0</v>
      </c>
      <c r="C13" s="39" t="n">
        <f aca="false">ROUND(W12*(1+N('My Debts'!$D$7)/12),2)</f>
        <v>0</v>
      </c>
      <c r="D13" s="39" t="n">
        <f aca="false">ROUND(X12*(1+N('My Debts'!$D$8)/12),2)</f>
        <v>8351.13</v>
      </c>
      <c r="E13" s="39" t="n">
        <f aca="false">ROUND(Y12*(1+N('My Debts'!$D$9)/12),2)</f>
        <v>0</v>
      </c>
      <c r="F13" s="39" t="n">
        <f aca="false">ROUND(Z12*(1+N('My Debts'!$D$10)/12),2)</f>
        <v>0</v>
      </c>
      <c r="G13" s="39" t="n">
        <f aca="false">ROUND(AA12*(1+N('My Debts'!$D$11)/12),2)</f>
        <v>0</v>
      </c>
      <c r="H13" s="39" t="n">
        <f aca="false">ROUND(AB12*(1+N('My Debts'!$D$12)/12),2)</f>
        <v>0</v>
      </c>
      <c r="I13" s="39" t="n">
        <f aca="false">ROUND(AC12*(1+N('My Debts'!$D$13)/12),2)</f>
        <v>0</v>
      </c>
      <c r="J13" s="39" t="n">
        <f aca="false">ROUND(AD12*(1+N('My Debts'!$D$14)/12),2)</f>
        <v>0</v>
      </c>
      <c r="K13" s="39" t="n">
        <f aca="false">ROUND(AE12*(1+N('My Debts'!$D$15)/12),2)</f>
        <v>0</v>
      </c>
      <c r="L13" s="39" t="n">
        <f aca="false">MIN(N('My Debts'!$E$6),B13)</f>
        <v>0</v>
      </c>
      <c r="M13" s="39" t="n">
        <f aca="false">MIN(N('My Debts'!$E$7),C13)</f>
        <v>0</v>
      </c>
      <c r="N13" s="39" t="n">
        <f aca="false">MIN(N('My Debts'!$E$8),D13)</f>
        <v>285</v>
      </c>
      <c r="O13" s="39" t="n">
        <f aca="false">MIN(N('My Debts'!$E$9),E13)</f>
        <v>0</v>
      </c>
      <c r="P13" s="39" t="n">
        <f aca="false">MIN(N('My Debts'!$E$10),F13)</f>
        <v>0</v>
      </c>
      <c r="Q13" s="39" t="n">
        <f aca="false">MIN(N('My Debts'!$E$11),G13)</f>
        <v>0</v>
      </c>
      <c r="R13" s="39" t="n">
        <f aca="false">MIN(N('My Debts'!$E$12),H13)</f>
        <v>0</v>
      </c>
      <c r="S13" s="39" t="n">
        <f aca="false">MIN(N('My Debts'!$E$13),I13)</f>
        <v>0</v>
      </c>
      <c r="T13" s="39" t="n">
        <f aca="false">MIN(N('My Debts'!$E$14),J13)</f>
        <v>0</v>
      </c>
      <c r="U13" s="39" t="n">
        <f aca="false">MIN(N('My Debts'!$E$15),K13)</f>
        <v>0</v>
      </c>
      <c r="V13" s="39" t="n">
        <f aca="false">ROUND(B13-L13-MIN(B13-L13,MAX(0,$AF13-SUMPRODUCT(--($B$4:$K$4&lt;B$4),$B13:$K13-$L13:$U13))),2)</f>
        <v>0</v>
      </c>
      <c r="W13" s="39" t="n">
        <f aca="false">ROUND(C13-M13-MIN(C13-M13,MAX(0,$AF13-SUMPRODUCT(--($B$4:$K$4&lt;C$4),$B13:$K13-$L13:$U13))),2)</f>
        <v>0</v>
      </c>
      <c r="X13" s="39" t="n">
        <f aca="false">ROUND(D13-N13-MIN(D13-N13,MAX(0,$AF13-SUMPRODUCT(--($B$4:$K$4&lt;D$4),$B13:$K13-$L13:$U13))),2)</f>
        <v>7151.13</v>
      </c>
      <c r="Y13" s="39" t="n">
        <f aca="false">ROUND(E13-O13-MIN(E13-O13,MAX(0,$AF13-SUMPRODUCT(--($B$4:$K$4&lt;E$4),$B13:$K13-$L13:$U13))),2)</f>
        <v>0</v>
      </c>
      <c r="Z13" s="39" t="n">
        <f aca="false">ROUND(F13-P13-MIN(F13-P13,MAX(0,$AF13-SUMPRODUCT(--($B$4:$K$4&lt;F$4),$B13:$K13-$L13:$U13))),2)</f>
        <v>0</v>
      </c>
      <c r="AA13" s="39" t="n">
        <f aca="false">ROUND(G13-Q13-MIN(G13-Q13,MAX(0,$AF13-SUMPRODUCT(--($B$4:$K$4&lt;G$4),$B13:$K13-$L13:$U13))),2)</f>
        <v>0</v>
      </c>
      <c r="AB13" s="39" t="n">
        <f aca="false">ROUND(H13-R13-MIN(H13-R13,MAX(0,$AF13-SUMPRODUCT(--($B$4:$K$4&lt;H$4),$B13:$K13-$L13:$U13))),2)</f>
        <v>0</v>
      </c>
      <c r="AC13" s="39" t="n">
        <f aca="false">ROUND(I13-S13-MIN(I13-S13,MAX(0,$AF13-SUMPRODUCT(--($B$4:$K$4&lt;I$4),$B13:$K13-$L13:$U13))),2)</f>
        <v>0</v>
      </c>
      <c r="AD13" s="39" t="n">
        <f aca="false">ROUND(J13-T13-MIN(J13-T13,MAX(0,$AF13-SUMPRODUCT(--($B$4:$K$4&lt;J$4),$B13:$K13-$L13:$U13))),2)</f>
        <v>0</v>
      </c>
      <c r="AE13" s="39" t="n">
        <f aca="false">ROUND(K13-U13-MIN(K13-U13,MAX(0,$AF13-SUMPRODUCT(--($B$4:$K$4&lt;K$4),$B13:$K13-$L13:$U13))),2)</f>
        <v>0</v>
      </c>
      <c r="AF13" s="39" t="n">
        <f aca="false">MAX(0,'Start Here'!$C$5-SUM($L13:$U13))</f>
        <v>915</v>
      </c>
      <c r="AG13" s="39" t="n">
        <f aca="false">SUM(V13:AE13)</f>
        <v>7151.13</v>
      </c>
      <c r="AH13" s="39" t="n">
        <f aca="false">SUM(B13:K13)-AG12</f>
        <v>47.7399999999998</v>
      </c>
    </row>
    <row r="14" customFormat="false" ht="15" hidden="false" customHeight="false" outlineLevel="0" collapsed="false">
      <c r="A14" s="40" t="n">
        <f aca="false">DATE(YEAR('Start Here'!$C$6),MONTH('Start Here'!$C$6)+7,1)</f>
        <v>46508</v>
      </c>
      <c r="B14" s="39" t="n">
        <f aca="false">ROUND(V13*(1+N('My Debts'!$D$6)/12),2)</f>
        <v>0</v>
      </c>
      <c r="C14" s="39" t="n">
        <f aca="false">ROUND(W13*(1+N('My Debts'!$D$7)/12),2)</f>
        <v>0</v>
      </c>
      <c r="D14" s="39" t="n">
        <f aca="false">ROUND(X13*(1+N('My Debts'!$D$8)/12),2)</f>
        <v>7192.25</v>
      </c>
      <c r="E14" s="39" t="n">
        <f aca="false">ROUND(Y13*(1+N('My Debts'!$D$9)/12),2)</f>
        <v>0</v>
      </c>
      <c r="F14" s="39" t="n">
        <f aca="false">ROUND(Z13*(1+N('My Debts'!$D$10)/12),2)</f>
        <v>0</v>
      </c>
      <c r="G14" s="39" t="n">
        <f aca="false">ROUND(AA13*(1+N('My Debts'!$D$11)/12),2)</f>
        <v>0</v>
      </c>
      <c r="H14" s="39" t="n">
        <f aca="false">ROUND(AB13*(1+N('My Debts'!$D$12)/12),2)</f>
        <v>0</v>
      </c>
      <c r="I14" s="39" t="n">
        <f aca="false">ROUND(AC13*(1+N('My Debts'!$D$13)/12),2)</f>
        <v>0</v>
      </c>
      <c r="J14" s="39" t="n">
        <f aca="false">ROUND(AD13*(1+N('My Debts'!$D$14)/12),2)</f>
        <v>0</v>
      </c>
      <c r="K14" s="39" t="n">
        <f aca="false">ROUND(AE13*(1+N('My Debts'!$D$15)/12),2)</f>
        <v>0</v>
      </c>
      <c r="L14" s="39" t="n">
        <f aca="false">MIN(N('My Debts'!$E$6),B14)</f>
        <v>0</v>
      </c>
      <c r="M14" s="39" t="n">
        <f aca="false">MIN(N('My Debts'!$E$7),C14)</f>
        <v>0</v>
      </c>
      <c r="N14" s="39" t="n">
        <f aca="false">MIN(N('My Debts'!$E$8),D14)</f>
        <v>285</v>
      </c>
      <c r="O14" s="39" t="n">
        <f aca="false">MIN(N('My Debts'!$E$9),E14)</f>
        <v>0</v>
      </c>
      <c r="P14" s="39" t="n">
        <f aca="false">MIN(N('My Debts'!$E$10),F14)</f>
        <v>0</v>
      </c>
      <c r="Q14" s="39" t="n">
        <f aca="false">MIN(N('My Debts'!$E$11),G14)</f>
        <v>0</v>
      </c>
      <c r="R14" s="39" t="n">
        <f aca="false">MIN(N('My Debts'!$E$12),H14)</f>
        <v>0</v>
      </c>
      <c r="S14" s="39" t="n">
        <f aca="false">MIN(N('My Debts'!$E$13),I14)</f>
        <v>0</v>
      </c>
      <c r="T14" s="39" t="n">
        <f aca="false">MIN(N('My Debts'!$E$14),J14)</f>
        <v>0</v>
      </c>
      <c r="U14" s="39" t="n">
        <f aca="false">MIN(N('My Debts'!$E$15),K14)</f>
        <v>0</v>
      </c>
      <c r="V14" s="39" t="n">
        <f aca="false">ROUND(B14-L14-MIN(B14-L14,MAX(0,$AF14-SUMPRODUCT(--($B$4:$K$4&lt;B$4),$B14:$K14-$L14:$U14))),2)</f>
        <v>0</v>
      </c>
      <c r="W14" s="39" t="n">
        <f aca="false">ROUND(C14-M14-MIN(C14-M14,MAX(0,$AF14-SUMPRODUCT(--($B$4:$K$4&lt;C$4),$B14:$K14-$L14:$U14))),2)</f>
        <v>0</v>
      </c>
      <c r="X14" s="39" t="n">
        <f aca="false">ROUND(D14-N14-MIN(D14-N14,MAX(0,$AF14-SUMPRODUCT(--($B$4:$K$4&lt;D$4),$B14:$K14-$L14:$U14))),2)</f>
        <v>5992.25</v>
      </c>
      <c r="Y14" s="39" t="n">
        <f aca="false">ROUND(E14-O14-MIN(E14-O14,MAX(0,$AF14-SUMPRODUCT(--($B$4:$K$4&lt;E$4),$B14:$K14-$L14:$U14))),2)</f>
        <v>0</v>
      </c>
      <c r="Z14" s="39" t="n">
        <f aca="false">ROUND(F14-P14-MIN(F14-P14,MAX(0,$AF14-SUMPRODUCT(--($B$4:$K$4&lt;F$4),$B14:$K14-$L14:$U14))),2)</f>
        <v>0</v>
      </c>
      <c r="AA14" s="39" t="n">
        <f aca="false">ROUND(G14-Q14-MIN(G14-Q14,MAX(0,$AF14-SUMPRODUCT(--($B$4:$K$4&lt;G$4),$B14:$K14-$L14:$U14))),2)</f>
        <v>0</v>
      </c>
      <c r="AB14" s="39" t="n">
        <f aca="false">ROUND(H14-R14-MIN(H14-R14,MAX(0,$AF14-SUMPRODUCT(--($B$4:$K$4&lt;H$4),$B14:$K14-$L14:$U14))),2)</f>
        <v>0</v>
      </c>
      <c r="AC14" s="39" t="n">
        <f aca="false">ROUND(I14-S14-MIN(I14-S14,MAX(0,$AF14-SUMPRODUCT(--($B$4:$K$4&lt;I$4),$B14:$K14-$L14:$U14))),2)</f>
        <v>0</v>
      </c>
      <c r="AD14" s="39" t="n">
        <f aca="false">ROUND(J14-T14-MIN(J14-T14,MAX(0,$AF14-SUMPRODUCT(--($B$4:$K$4&lt;J$4),$B14:$K14-$L14:$U14))),2)</f>
        <v>0</v>
      </c>
      <c r="AE14" s="39" t="n">
        <f aca="false">ROUND(K14-U14-MIN(K14-U14,MAX(0,$AF14-SUMPRODUCT(--($B$4:$K$4&lt;K$4),$B14:$K14-$L14:$U14))),2)</f>
        <v>0</v>
      </c>
      <c r="AF14" s="39" t="n">
        <f aca="false">MAX(0,'Start Here'!$C$5-SUM($L14:$U14))</f>
        <v>915</v>
      </c>
      <c r="AG14" s="39" t="n">
        <f aca="false">SUM(V14:AE14)</f>
        <v>5992.25</v>
      </c>
      <c r="AH14" s="39" t="n">
        <f aca="false">SUM(B14:K14)-AG13</f>
        <v>41.1199999999999</v>
      </c>
    </row>
    <row r="15" customFormat="false" ht="15" hidden="false" customHeight="false" outlineLevel="0" collapsed="false">
      <c r="A15" s="40" t="n">
        <f aca="false">DATE(YEAR('Start Here'!$C$6),MONTH('Start Here'!$C$6)+8,1)</f>
        <v>46539</v>
      </c>
      <c r="B15" s="39" t="n">
        <f aca="false">ROUND(V14*(1+N('My Debts'!$D$6)/12),2)</f>
        <v>0</v>
      </c>
      <c r="C15" s="39" t="n">
        <f aca="false">ROUND(W14*(1+N('My Debts'!$D$7)/12),2)</f>
        <v>0</v>
      </c>
      <c r="D15" s="39" t="n">
        <f aca="false">ROUND(X14*(1+N('My Debts'!$D$8)/12),2)</f>
        <v>6026.71</v>
      </c>
      <c r="E15" s="39" t="n">
        <f aca="false">ROUND(Y14*(1+N('My Debts'!$D$9)/12),2)</f>
        <v>0</v>
      </c>
      <c r="F15" s="39" t="n">
        <f aca="false">ROUND(Z14*(1+N('My Debts'!$D$10)/12),2)</f>
        <v>0</v>
      </c>
      <c r="G15" s="39" t="n">
        <f aca="false">ROUND(AA14*(1+N('My Debts'!$D$11)/12),2)</f>
        <v>0</v>
      </c>
      <c r="H15" s="39" t="n">
        <f aca="false">ROUND(AB14*(1+N('My Debts'!$D$12)/12),2)</f>
        <v>0</v>
      </c>
      <c r="I15" s="39" t="n">
        <f aca="false">ROUND(AC14*(1+N('My Debts'!$D$13)/12),2)</f>
        <v>0</v>
      </c>
      <c r="J15" s="39" t="n">
        <f aca="false">ROUND(AD14*(1+N('My Debts'!$D$14)/12),2)</f>
        <v>0</v>
      </c>
      <c r="K15" s="39" t="n">
        <f aca="false">ROUND(AE14*(1+N('My Debts'!$D$15)/12),2)</f>
        <v>0</v>
      </c>
      <c r="L15" s="39" t="n">
        <f aca="false">MIN(N('My Debts'!$E$6),B15)</f>
        <v>0</v>
      </c>
      <c r="M15" s="39" t="n">
        <f aca="false">MIN(N('My Debts'!$E$7),C15)</f>
        <v>0</v>
      </c>
      <c r="N15" s="39" t="n">
        <f aca="false">MIN(N('My Debts'!$E$8),D15)</f>
        <v>285</v>
      </c>
      <c r="O15" s="39" t="n">
        <f aca="false">MIN(N('My Debts'!$E$9),E15)</f>
        <v>0</v>
      </c>
      <c r="P15" s="39" t="n">
        <f aca="false">MIN(N('My Debts'!$E$10),F15)</f>
        <v>0</v>
      </c>
      <c r="Q15" s="39" t="n">
        <f aca="false">MIN(N('My Debts'!$E$11),G15)</f>
        <v>0</v>
      </c>
      <c r="R15" s="39" t="n">
        <f aca="false">MIN(N('My Debts'!$E$12),H15)</f>
        <v>0</v>
      </c>
      <c r="S15" s="39" t="n">
        <f aca="false">MIN(N('My Debts'!$E$13),I15)</f>
        <v>0</v>
      </c>
      <c r="T15" s="39" t="n">
        <f aca="false">MIN(N('My Debts'!$E$14),J15)</f>
        <v>0</v>
      </c>
      <c r="U15" s="39" t="n">
        <f aca="false">MIN(N('My Debts'!$E$15),K15)</f>
        <v>0</v>
      </c>
      <c r="V15" s="39" t="n">
        <f aca="false">ROUND(B15-L15-MIN(B15-L15,MAX(0,$AF15-SUMPRODUCT(--($B$4:$K$4&lt;B$4),$B15:$K15-$L15:$U15))),2)</f>
        <v>0</v>
      </c>
      <c r="W15" s="39" t="n">
        <f aca="false">ROUND(C15-M15-MIN(C15-M15,MAX(0,$AF15-SUMPRODUCT(--($B$4:$K$4&lt;C$4),$B15:$K15-$L15:$U15))),2)</f>
        <v>0</v>
      </c>
      <c r="X15" s="39" t="n">
        <f aca="false">ROUND(D15-N15-MIN(D15-N15,MAX(0,$AF15-SUMPRODUCT(--($B$4:$K$4&lt;D$4),$B15:$K15-$L15:$U15))),2)</f>
        <v>4826.71</v>
      </c>
      <c r="Y15" s="39" t="n">
        <f aca="false">ROUND(E15-O15-MIN(E15-O15,MAX(0,$AF15-SUMPRODUCT(--($B$4:$K$4&lt;E$4),$B15:$K15-$L15:$U15))),2)</f>
        <v>0</v>
      </c>
      <c r="Z15" s="39" t="n">
        <f aca="false">ROUND(F15-P15-MIN(F15-P15,MAX(0,$AF15-SUMPRODUCT(--($B$4:$K$4&lt;F$4),$B15:$K15-$L15:$U15))),2)</f>
        <v>0</v>
      </c>
      <c r="AA15" s="39" t="n">
        <f aca="false">ROUND(G15-Q15-MIN(G15-Q15,MAX(0,$AF15-SUMPRODUCT(--($B$4:$K$4&lt;G$4),$B15:$K15-$L15:$U15))),2)</f>
        <v>0</v>
      </c>
      <c r="AB15" s="39" t="n">
        <f aca="false">ROUND(H15-R15-MIN(H15-R15,MAX(0,$AF15-SUMPRODUCT(--($B$4:$K$4&lt;H$4),$B15:$K15-$L15:$U15))),2)</f>
        <v>0</v>
      </c>
      <c r="AC15" s="39" t="n">
        <f aca="false">ROUND(I15-S15-MIN(I15-S15,MAX(0,$AF15-SUMPRODUCT(--($B$4:$K$4&lt;I$4),$B15:$K15-$L15:$U15))),2)</f>
        <v>0</v>
      </c>
      <c r="AD15" s="39" t="n">
        <f aca="false">ROUND(J15-T15-MIN(J15-T15,MAX(0,$AF15-SUMPRODUCT(--($B$4:$K$4&lt;J$4),$B15:$K15-$L15:$U15))),2)</f>
        <v>0</v>
      </c>
      <c r="AE15" s="39" t="n">
        <f aca="false">ROUND(K15-U15-MIN(K15-U15,MAX(0,$AF15-SUMPRODUCT(--($B$4:$K$4&lt;K$4),$B15:$K15-$L15:$U15))),2)</f>
        <v>0</v>
      </c>
      <c r="AF15" s="39" t="n">
        <f aca="false">MAX(0,'Start Here'!$C$5-SUM($L15:$U15))</f>
        <v>915</v>
      </c>
      <c r="AG15" s="39" t="n">
        <f aca="false">SUM(V15:AE15)</f>
        <v>4826.71</v>
      </c>
      <c r="AH15" s="39" t="n">
        <f aca="false">SUM(B15:K15)-AG14</f>
        <v>34.46</v>
      </c>
    </row>
    <row r="16" customFormat="false" ht="15" hidden="false" customHeight="false" outlineLevel="0" collapsed="false">
      <c r="A16" s="40" t="n">
        <f aca="false">DATE(YEAR('Start Here'!$C$6),MONTH('Start Here'!$C$6)+9,1)</f>
        <v>46569</v>
      </c>
      <c r="B16" s="39" t="n">
        <f aca="false">ROUND(V15*(1+N('My Debts'!$D$6)/12),2)</f>
        <v>0</v>
      </c>
      <c r="C16" s="39" t="n">
        <f aca="false">ROUND(W15*(1+N('My Debts'!$D$7)/12),2)</f>
        <v>0</v>
      </c>
      <c r="D16" s="39" t="n">
        <f aca="false">ROUND(X15*(1+N('My Debts'!$D$8)/12),2)</f>
        <v>4854.46</v>
      </c>
      <c r="E16" s="39" t="n">
        <f aca="false">ROUND(Y15*(1+N('My Debts'!$D$9)/12),2)</f>
        <v>0</v>
      </c>
      <c r="F16" s="39" t="n">
        <f aca="false">ROUND(Z15*(1+N('My Debts'!$D$10)/12),2)</f>
        <v>0</v>
      </c>
      <c r="G16" s="39" t="n">
        <f aca="false">ROUND(AA15*(1+N('My Debts'!$D$11)/12),2)</f>
        <v>0</v>
      </c>
      <c r="H16" s="39" t="n">
        <f aca="false">ROUND(AB15*(1+N('My Debts'!$D$12)/12),2)</f>
        <v>0</v>
      </c>
      <c r="I16" s="39" t="n">
        <f aca="false">ROUND(AC15*(1+N('My Debts'!$D$13)/12),2)</f>
        <v>0</v>
      </c>
      <c r="J16" s="39" t="n">
        <f aca="false">ROUND(AD15*(1+N('My Debts'!$D$14)/12),2)</f>
        <v>0</v>
      </c>
      <c r="K16" s="39" t="n">
        <f aca="false">ROUND(AE15*(1+N('My Debts'!$D$15)/12),2)</f>
        <v>0</v>
      </c>
      <c r="L16" s="39" t="n">
        <f aca="false">MIN(N('My Debts'!$E$6),B16)</f>
        <v>0</v>
      </c>
      <c r="M16" s="39" t="n">
        <f aca="false">MIN(N('My Debts'!$E$7),C16)</f>
        <v>0</v>
      </c>
      <c r="N16" s="39" t="n">
        <f aca="false">MIN(N('My Debts'!$E$8),D16)</f>
        <v>285</v>
      </c>
      <c r="O16" s="39" t="n">
        <f aca="false">MIN(N('My Debts'!$E$9),E16)</f>
        <v>0</v>
      </c>
      <c r="P16" s="39" t="n">
        <f aca="false">MIN(N('My Debts'!$E$10),F16)</f>
        <v>0</v>
      </c>
      <c r="Q16" s="39" t="n">
        <f aca="false">MIN(N('My Debts'!$E$11),G16)</f>
        <v>0</v>
      </c>
      <c r="R16" s="39" t="n">
        <f aca="false">MIN(N('My Debts'!$E$12),H16)</f>
        <v>0</v>
      </c>
      <c r="S16" s="39" t="n">
        <f aca="false">MIN(N('My Debts'!$E$13),I16)</f>
        <v>0</v>
      </c>
      <c r="T16" s="39" t="n">
        <f aca="false">MIN(N('My Debts'!$E$14),J16)</f>
        <v>0</v>
      </c>
      <c r="U16" s="39" t="n">
        <f aca="false">MIN(N('My Debts'!$E$15),K16)</f>
        <v>0</v>
      </c>
      <c r="V16" s="39" t="n">
        <f aca="false">ROUND(B16-L16-MIN(B16-L16,MAX(0,$AF16-SUMPRODUCT(--($B$4:$K$4&lt;B$4),$B16:$K16-$L16:$U16))),2)</f>
        <v>0</v>
      </c>
      <c r="W16" s="39" t="n">
        <f aca="false">ROUND(C16-M16-MIN(C16-M16,MAX(0,$AF16-SUMPRODUCT(--($B$4:$K$4&lt;C$4),$B16:$K16-$L16:$U16))),2)</f>
        <v>0</v>
      </c>
      <c r="X16" s="39" t="n">
        <f aca="false">ROUND(D16-N16-MIN(D16-N16,MAX(0,$AF16-SUMPRODUCT(--($B$4:$K$4&lt;D$4),$B16:$K16-$L16:$U16))),2)</f>
        <v>3654.46</v>
      </c>
      <c r="Y16" s="39" t="n">
        <f aca="false">ROUND(E16-O16-MIN(E16-O16,MAX(0,$AF16-SUMPRODUCT(--($B$4:$K$4&lt;E$4),$B16:$K16-$L16:$U16))),2)</f>
        <v>0</v>
      </c>
      <c r="Z16" s="39" t="n">
        <f aca="false">ROUND(F16-P16-MIN(F16-P16,MAX(0,$AF16-SUMPRODUCT(--($B$4:$K$4&lt;F$4),$B16:$K16-$L16:$U16))),2)</f>
        <v>0</v>
      </c>
      <c r="AA16" s="39" t="n">
        <f aca="false">ROUND(G16-Q16-MIN(G16-Q16,MAX(0,$AF16-SUMPRODUCT(--($B$4:$K$4&lt;G$4),$B16:$K16-$L16:$U16))),2)</f>
        <v>0</v>
      </c>
      <c r="AB16" s="39" t="n">
        <f aca="false">ROUND(H16-R16-MIN(H16-R16,MAX(0,$AF16-SUMPRODUCT(--($B$4:$K$4&lt;H$4),$B16:$K16-$L16:$U16))),2)</f>
        <v>0</v>
      </c>
      <c r="AC16" s="39" t="n">
        <f aca="false">ROUND(I16-S16-MIN(I16-S16,MAX(0,$AF16-SUMPRODUCT(--($B$4:$K$4&lt;I$4),$B16:$K16-$L16:$U16))),2)</f>
        <v>0</v>
      </c>
      <c r="AD16" s="39" t="n">
        <f aca="false">ROUND(J16-T16-MIN(J16-T16,MAX(0,$AF16-SUMPRODUCT(--($B$4:$K$4&lt;J$4),$B16:$K16-$L16:$U16))),2)</f>
        <v>0</v>
      </c>
      <c r="AE16" s="39" t="n">
        <f aca="false">ROUND(K16-U16-MIN(K16-U16,MAX(0,$AF16-SUMPRODUCT(--($B$4:$K$4&lt;K$4),$B16:$K16-$L16:$U16))),2)</f>
        <v>0</v>
      </c>
      <c r="AF16" s="39" t="n">
        <f aca="false">MAX(0,'Start Here'!$C$5-SUM($L16:$U16))</f>
        <v>915</v>
      </c>
      <c r="AG16" s="39" t="n">
        <f aca="false">SUM(V16:AE16)</f>
        <v>3654.46</v>
      </c>
      <c r="AH16" s="39" t="n">
        <f aca="false">SUM(B16:K16)-AG15</f>
        <v>27.75</v>
      </c>
    </row>
    <row r="17" customFormat="false" ht="15" hidden="false" customHeight="false" outlineLevel="0" collapsed="false">
      <c r="A17" s="40" t="n">
        <f aca="false">DATE(YEAR('Start Here'!$C$6),MONTH('Start Here'!$C$6)+10,1)</f>
        <v>46600</v>
      </c>
      <c r="B17" s="39" t="n">
        <f aca="false">ROUND(V16*(1+N('My Debts'!$D$6)/12),2)</f>
        <v>0</v>
      </c>
      <c r="C17" s="39" t="n">
        <f aca="false">ROUND(W16*(1+N('My Debts'!$D$7)/12),2)</f>
        <v>0</v>
      </c>
      <c r="D17" s="39" t="n">
        <f aca="false">ROUND(X16*(1+N('My Debts'!$D$8)/12),2)</f>
        <v>3675.47</v>
      </c>
      <c r="E17" s="39" t="n">
        <f aca="false">ROUND(Y16*(1+N('My Debts'!$D$9)/12),2)</f>
        <v>0</v>
      </c>
      <c r="F17" s="39" t="n">
        <f aca="false">ROUND(Z16*(1+N('My Debts'!$D$10)/12),2)</f>
        <v>0</v>
      </c>
      <c r="G17" s="39" t="n">
        <f aca="false">ROUND(AA16*(1+N('My Debts'!$D$11)/12),2)</f>
        <v>0</v>
      </c>
      <c r="H17" s="39" t="n">
        <f aca="false">ROUND(AB16*(1+N('My Debts'!$D$12)/12),2)</f>
        <v>0</v>
      </c>
      <c r="I17" s="39" t="n">
        <f aca="false">ROUND(AC16*(1+N('My Debts'!$D$13)/12),2)</f>
        <v>0</v>
      </c>
      <c r="J17" s="39" t="n">
        <f aca="false">ROUND(AD16*(1+N('My Debts'!$D$14)/12),2)</f>
        <v>0</v>
      </c>
      <c r="K17" s="39" t="n">
        <f aca="false">ROUND(AE16*(1+N('My Debts'!$D$15)/12),2)</f>
        <v>0</v>
      </c>
      <c r="L17" s="39" t="n">
        <f aca="false">MIN(N('My Debts'!$E$6),B17)</f>
        <v>0</v>
      </c>
      <c r="M17" s="39" t="n">
        <f aca="false">MIN(N('My Debts'!$E$7),C17)</f>
        <v>0</v>
      </c>
      <c r="N17" s="39" t="n">
        <f aca="false">MIN(N('My Debts'!$E$8),D17)</f>
        <v>285</v>
      </c>
      <c r="O17" s="39" t="n">
        <f aca="false">MIN(N('My Debts'!$E$9),E17)</f>
        <v>0</v>
      </c>
      <c r="P17" s="39" t="n">
        <f aca="false">MIN(N('My Debts'!$E$10),F17)</f>
        <v>0</v>
      </c>
      <c r="Q17" s="39" t="n">
        <f aca="false">MIN(N('My Debts'!$E$11),G17)</f>
        <v>0</v>
      </c>
      <c r="R17" s="39" t="n">
        <f aca="false">MIN(N('My Debts'!$E$12),H17)</f>
        <v>0</v>
      </c>
      <c r="S17" s="39" t="n">
        <f aca="false">MIN(N('My Debts'!$E$13),I17)</f>
        <v>0</v>
      </c>
      <c r="T17" s="39" t="n">
        <f aca="false">MIN(N('My Debts'!$E$14),J17)</f>
        <v>0</v>
      </c>
      <c r="U17" s="39" t="n">
        <f aca="false">MIN(N('My Debts'!$E$15),K17)</f>
        <v>0</v>
      </c>
      <c r="V17" s="39" t="n">
        <f aca="false">ROUND(B17-L17-MIN(B17-L17,MAX(0,$AF17-SUMPRODUCT(--($B$4:$K$4&lt;B$4),$B17:$K17-$L17:$U17))),2)</f>
        <v>0</v>
      </c>
      <c r="W17" s="39" t="n">
        <f aca="false">ROUND(C17-M17-MIN(C17-M17,MAX(0,$AF17-SUMPRODUCT(--($B$4:$K$4&lt;C$4),$B17:$K17-$L17:$U17))),2)</f>
        <v>0</v>
      </c>
      <c r="X17" s="39" t="n">
        <f aca="false">ROUND(D17-N17-MIN(D17-N17,MAX(0,$AF17-SUMPRODUCT(--($B$4:$K$4&lt;D$4),$B17:$K17-$L17:$U17))),2)</f>
        <v>2475.47</v>
      </c>
      <c r="Y17" s="39" t="n">
        <f aca="false">ROUND(E17-O17-MIN(E17-O17,MAX(0,$AF17-SUMPRODUCT(--($B$4:$K$4&lt;E$4),$B17:$K17-$L17:$U17))),2)</f>
        <v>0</v>
      </c>
      <c r="Z17" s="39" t="n">
        <f aca="false">ROUND(F17-P17-MIN(F17-P17,MAX(0,$AF17-SUMPRODUCT(--($B$4:$K$4&lt;F$4),$B17:$K17-$L17:$U17))),2)</f>
        <v>0</v>
      </c>
      <c r="AA17" s="39" t="n">
        <f aca="false">ROUND(G17-Q17-MIN(G17-Q17,MAX(0,$AF17-SUMPRODUCT(--($B$4:$K$4&lt;G$4),$B17:$K17-$L17:$U17))),2)</f>
        <v>0</v>
      </c>
      <c r="AB17" s="39" t="n">
        <f aca="false">ROUND(H17-R17-MIN(H17-R17,MAX(0,$AF17-SUMPRODUCT(--($B$4:$K$4&lt;H$4),$B17:$K17-$L17:$U17))),2)</f>
        <v>0</v>
      </c>
      <c r="AC17" s="39" t="n">
        <f aca="false">ROUND(I17-S17-MIN(I17-S17,MAX(0,$AF17-SUMPRODUCT(--($B$4:$K$4&lt;I$4),$B17:$K17-$L17:$U17))),2)</f>
        <v>0</v>
      </c>
      <c r="AD17" s="39" t="n">
        <f aca="false">ROUND(J17-T17-MIN(J17-T17,MAX(0,$AF17-SUMPRODUCT(--($B$4:$K$4&lt;J$4),$B17:$K17-$L17:$U17))),2)</f>
        <v>0</v>
      </c>
      <c r="AE17" s="39" t="n">
        <f aca="false">ROUND(K17-U17-MIN(K17-U17,MAX(0,$AF17-SUMPRODUCT(--($B$4:$K$4&lt;K$4),$B17:$K17-$L17:$U17))),2)</f>
        <v>0</v>
      </c>
      <c r="AF17" s="39" t="n">
        <f aca="false">MAX(0,'Start Here'!$C$5-SUM($L17:$U17))</f>
        <v>915</v>
      </c>
      <c r="AG17" s="39" t="n">
        <f aca="false">SUM(V17:AE17)</f>
        <v>2475.47</v>
      </c>
      <c r="AH17" s="39" t="n">
        <f aca="false">SUM(B17:K17)-AG16</f>
        <v>21.0099999999998</v>
      </c>
    </row>
    <row r="18" customFormat="false" ht="15" hidden="false" customHeight="false" outlineLevel="0" collapsed="false">
      <c r="A18" s="40" t="n">
        <f aca="false">DATE(YEAR('Start Here'!$C$6),MONTH('Start Here'!$C$6)+11,1)</f>
        <v>46631</v>
      </c>
      <c r="B18" s="39" t="n">
        <f aca="false">ROUND(V17*(1+N('My Debts'!$D$6)/12),2)</f>
        <v>0</v>
      </c>
      <c r="C18" s="39" t="n">
        <f aca="false">ROUND(W17*(1+N('My Debts'!$D$7)/12),2)</f>
        <v>0</v>
      </c>
      <c r="D18" s="39" t="n">
        <f aca="false">ROUND(X17*(1+N('My Debts'!$D$8)/12),2)</f>
        <v>2489.7</v>
      </c>
      <c r="E18" s="39" t="n">
        <f aca="false">ROUND(Y17*(1+N('My Debts'!$D$9)/12),2)</f>
        <v>0</v>
      </c>
      <c r="F18" s="39" t="n">
        <f aca="false">ROUND(Z17*(1+N('My Debts'!$D$10)/12),2)</f>
        <v>0</v>
      </c>
      <c r="G18" s="39" t="n">
        <f aca="false">ROUND(AA17*(1+N('My Debts'!$D$11)/12),2)</f>
        <v>0</v>
      </c>
      <c r="H18" s="39" t="n">
        <f aca="false">ROUND(AB17*(1+N('My Debts'!$D$12)/12),2)</f>
        <v>0</v>
      </c>
      <c r="I18" s="39" t="n">
        <f aca="false">ROUND(AC17*(1+N('My Debts'!$D$13)/12),2)</f>
        <v>0</v>
      </c>
      <c r="J18" s="39" t="n">
        <f aca="false">ROUND(AD17*(1+N('My Debts'!$D$14)/12),2)</f>
        <v>0</v>
      </c>
      <c r="K18" s="39" t="n">
        <f aca="false">ROUND(AE17*(1+N('My Debts'!$D$15)/12),2)</f>
        <v>0</v>
      </c>
      <c r="L18" s="39" t="n">
        <f aca="false">MIN(N('My Debts'!$E$6),B18)</f>
        <v>0</v>
      </c>
      <c r="M18" s="39" t="n">
        <f aca="false">MIN(N('My Debts'!$E$7),C18)</f>
        <v>0</v>
      </c>
      <c r="N18" s="39" t="n">
        <f aca="false">MIN(N('My Debts'!$E$8),D18)</f>
        <v>285</v>
      </c>
      <c r="O18" s="39" t="n">
        <f aca="false">MIN(N('My Debts'!$E$9),E18)</f>
        <v>0</v>
      </c>
      <c r="P18" s="39" t="n">
        <f aca="false">MIN(N('My Debts'!$E$10),F18)</f>
        <v>0</v>
      </c>
      <c r="Q18" s="39" t="n">
        <f aca="false">MIN(N('My Debts'!$E$11),G18)</f>
        <v>0</v>
      </c>
      <c r="R18" s="39" t="n">
        <f aca="false">MIN(N('My Debts'!$E$12),H18)</f>
        <v>0</v>
      </c>
      <c r="S18" s="39" t="n">
        <f aca="false">MIN(N('My Debts'!$E$13),I18)</f>
        <v>0</v>
      </c>
      <c r="T18" s="39" t="n">
        <f aca="false">MIN(N('My Debts'!$E$14),J18)</f>
        <v>0</v>
      </c>
      <c r="U18" s="39" t="n">
        <f aca="false">MIN(N('My Debts'!$E$15),K18)</f>
        <v>0</v>
      </c>
      <c r="V18" s="39" t="n">
        <f aca="false">ROUND(B18-L18-MIN(B18-L18,MAX(0,$AF18-SUMPRODUCT(--($B$4:$K$4&lt;B$4),$B18:$K18-$L18:$U18))),2)</f>
        <v>0</v>
      </c>
      <c r="W18" s="39" t="n">
        <f aca="false">ROUND(C18-M18-MIN(C18-M18,MAX(0,$AF18-SUMPRODUCT(--($B$4:$K$4&lt;C$4),$B18:$K18-$L18:$U18))),2)</f>
        <v>0</v>
      </c>
      <c r="X18" s="39" t="n">
        <f aca="false">ROUND(D18-N18-MIN(D18-N18,MAX(0,$AF18-SUMPRODUCT(--($B$4:$K$4&lt;D$4),$B18:$K18-$L18:$U18))),2)</f>
        <v>1289.7</v>
      </c>
      <c r="Y18" s="39" t="n">
        <f aca="false">ROUND(E18-O18-MIN(E18-O18,MAX(0,$AF18-SUMPRODUCT(--($B$4:$K$4&lt;E$4),$B18:$K18-$L18:$U18))),2)</f>
        <v>0</v>
      </c>
      <c r="Z18" s="39" t="n">
        <f aca="false">ROUND(F18-P18-MIN(F18-P18,MAX(0,$AF18-SUMPRODUCT(--($B$4:$K$4&lt;F$4),$B18:$K18-$L18:$U18))),2)</f>
        <v>0</v>
      </c>
      <c r="AA18" s="39" t="n">
        <f aca="false">ROUND(G18-Q18-MIN(G18-Q18,MAX(0,$AF18-SUMPRODUCT(--($B$4:$K$4&lt;G$4),$B18:$K18-$L18:$U18))),2)</f>
        <v>0</v>
      </c>
      <c r="AB18" s="39" t="n">
        <f aca="false">ROUND(H18-R18-MIN(H18-R18,MAX(0,$AF18-SUMPRODUCT(--($B$4:$K$4&lt;H$4),$B18:$K18-$L18:$U18))),2)</f>
        <v>0</v>
      </c>
      <c r="AC18" s="39" t="n">
        <f aca="false">ROUND(I18-S18-MIN(I18-S18,MAX(0,$AF18-SUMPRODUCT(--($B$4:$K$4&lt;I$4),$B18:$K18-$L18:$U18))),2)</f>
        <v>0</v>
      </c>
      <c r="AD18" s="39" t="n">
        <f aca="false">ROUND(J18-T18-MIN(J18-T18,MAX(0,$AF18-SUMPRODUCT(--($B$4:$K$4&lt;J$4),$B18:$K18-$L18:$U18))),2)</f>
        <v>0</v>
      </c>
      <c r="AE18" s="39" t="n">
        <f aca="false">ROUND(K18-U18-MIN(K18-U18,MAX(0,$AF18-SUMPRODUCT(--($B$4:$K$4&lt;K$4),$B18:$K18-$L18:$U18))),2)</f>
        <v>0</v>
      </c>
      <c r="AF18" s="39" t="n">
        <f aca="false">MAX(0,'Start Here'!$C$5-SUM($L18:$U18))</f>
        <v>915</v>
      </c>
      <c r="AG18" s="39" t="n">
        <f aca="false">SUM(V18:AE18)</f>
        <v>1289.7</v>
      </c>
      <c r="AH18" s="39" t="n">
        <f aca="false">SUM(B18:K18)-AG17</f>
        <v>14.23</v>
      </c>
    </row>
    <row r="19" customFormat="false" ht="15" hidden="false" customHeight="false" outlineLevel="0" collapsed="false">
      <c r="A19" s="40" t="n">
        <f aca="false">DATE(YEAR('Start Here'!$C$6),MONTH('Start Here'!$C$6)+12,1)</f>
        <v>46661</v>
      </c>
      <c r="B19" s="39" t="n">
        <f aca="false">ROUND(V18*(1+N('My Debts'!$D$6)/12),2)</f>
        <v>0</v>
      </c>
      <c r="C19" s="39" t="n">
        <f aca="false">ROUND(W18*(1+N('My Debts'!$D$7)/12),2)</f>
        <v>0</v>
      </c>
      <c r="D19" s="39" t="n">
        <f aca="false">ROUND(X18*(1+N('My Debts'!$D$8)/12),2)</f>
        <v>1297.12</v>
      </c>
      <c r="E19" s="39" t="n">
        <f aca="false">ROUND(Y18*(1+N('My Debts'!$D$9)/12),2)</f>
        <v>0</v>
      </c>
      <c r="F19" s="39" t="n">
        <f aca="false">ROUND(Z18*(1+N('My Debts'!$D$10)/12),2)</f>
        <v>0</v>
      </c>
      <c r="G19" s="39" t="n">
        <f aca="false">ROUND(AA18*(1+N('My Debts'!$D$11)/12),2)</f>
        <v>0</v>
      </c>
      <c r="H19" s="39" t="n">
        <f aca="false">ROUND(AB18*(1+N('My Debts'!$D$12)/12),2)</f>
        <v>0</v>
      </c>
      <c r="I19" s="39" t="n">
        <f aca="false">ROUND(AC18*(1+N('My Debts'!$D$13)/12),2)</f>
        <v>0</v>
      </c>
      <c r="J19" s="39" t="n">
        <f aca="false">ROUND(AD18*(1+N('My Debts'!$D$14)/12),2)</f>
        <v>0</v>
      </c>
      <c r="K19" s="39" t="n">
        <f aca="false">ROUND(AE18*(1+N('My Debts'!$D$15)/12),2)</f>
        <v>0</v>
      </c>
      <c r="L19" s="39" t="n">
        <f aca="false">MIN(N('My Debts'!$E$6),B19)</f>
        <v>0</v>
      </c>
      <c r="M19" s="39" t="n">
        <f aca="false">MIN(N('My Debts'!$E$7),C19)</f>
        <v>0</v>
      </c>
      <c r="N19" s="39" t="n">
        <f aca="false">MIN(N('My Debts'!$E$8),D19)</f>
        <v>285</v>
      </c>
      <c r="O19" s="39" t="n">
        <f aca="false">MIN(N('My Debts'!$E$9),E19)</f>
        <v>0</v>
      </c>
      <c r="P19" s="39" t="n">
        <f aca="false">MIN(N('My Debts'!$E$10),F19)</f>
        <v>0</v>
      </c>
      <c r="Q19" s="39" t="n">
        <f aca="false">MIN(N('My Debts'!$E$11),G19)</f>
        <v>0</v>
      </c>
      <c r="R19" s="39" t="n">
        <f aca="false">MIN(N('My Debts'!$E$12),H19)</f>
        <v>0</v>
      </c>
      <c r="S19" s="39" t="n">
        <f aca="false">MIN(N('My Debts'!$E$13),I19)</f>
        <v>0</v>
      </c>
      <c r="T19" s="39" t="n">
        <f aca="false">MIN(N('My Debts'!$E$14),J19)</f>
        <v>0</v>
      </c>
      <c r="U19" s="39" t="n">
        <f aca="false">MIN(N('My Debts'!$E$15),K19)</f>
        <v>0</v>
      </c>
      <c r="V19" s="39" t="n">
        <f aca="false">ROUND(B19-L19-MIN(B19-L19,MAX(0,$AF19-SUMPRODUCT(--($B$4:$K$4&lt;B$4),$B19:$K19-$L19:$U19))),2)</f>
        <v>0</v>
      </c>
      <c r="W19" s="39" t="n">
        <f aca="false">ROUND(C19-M19-MIN(C19-M19,MAX(0,$AF19-SUMPRODUCT(--($B$4:$K$4&lt;C$4),$B19:$K19-$L19:$U19))),2)</f>
        <v>0</v>
      </c>
      <c r="X19" s="39" t="n">
        <f aca="false">ROUND(D19-N19-MIN(D19-N19,MAX(0,$AF19-SUMPRODUCT(--($B$4:$K$4&lt;D$4),$B19:$K19-$L19:$U19))),2)</f>
        <v>97.12</v>
      </c>
      <c r="Y19" s="39" t="n">
        <f aca="false">ROUND(E19-O19-MIN(E19-O19,MAX(0,$AF19-SUMPRODUCT(--($B$4:$K$4&lt;E$4),$B19:$K19-$L19:$U19))),2)</f>
        <v>0</v>
      </c>
      <c r="Z19" s="39" t="n">
        <f aca="false">ROUND(F19-P19-MIN(F19-P19,MAX(0,$AF19-SUMPRODUCT(--($B$4:$K$4&lt;F$4),$B19:$K19-$L19:$U19))),2)</f>
        <v>0</v>
      </c>
      <c r="AA19" s="39" t="n">
        <f aca="false">ROUND(G19-Q19-MIN(G19-Q19,MAX(0,$AF19-SUMPRODUCT(--($B$4:$K$4&lt;G$4),$B19:$K19-$L19:$U19))),2)</f>
        <v>0</v>
      </c>
      <c r="AB19" s="39" t="n">
        <f aca="false">ROUND(H19-R19-MIN(H19-R19,MAX(0,$AF19-SUMPRODUCT(--($B$4:$K$4&lt;H$4),$B19:$K19-$L19:$U19))),2)</f>
        <v>0</v>
      </c>
      <c r="AC19" s="39" t="n">
        <f aca="false">ROUND(I19-S19-MIN(I19-S19,MAX(0,$AF19-SUMPRODUCT(--($B$4:$K$4&lt;I$4),$B19:$K19-$L19:$U19))),2)</f>
        <v>0</v>
      </c>
      <c r="AD19" s="39" t="n">
        <f aca="false">ROUND(J19-T19-MIN(J19-T19,MAX(0,$AF19-SUMPRODUCT(--($B$4:$K$4&lt;J$4),$B19:$K19-$L19:$U19))),2)</f>
        <v>0</v>
      </c>
      <c r="AE19" s="39" t="n">
        <f aca="false">ROUND(K19-U19-MIN(K19-U19,MAX(0,$AF19-SUMPRODUCT(--($B$4:$K$4&lt;K$4),$B19:$K19-$L19:$U19))),2)</f>
        <v>0</v>
      </c>
      <c r="AF19" s="39" t="n">
        <f aca="false">MAX(0,'Start Here'!$C$5-SUM($L19:$U19))</f>
        <v>915</v>
      </c>
      <c r="AG19" s="39" t="n">
        <f aca="false">SUM(V19:AE19)</f>
        <v>97.12</v>
      </c>
      <c r="AH19" s="39" t="n">
        <f aca="false">SUM(B19:K19)-AG18</f>
        <v>7.41999999999985</v>
      </c>
    </row>
    <row r="20" customFormat="false" ht="15" hidden="false" customHeight="false" outlineLevel="0" collapsed="false">
      <c r="A20" s="40" t="n">
        <f aca="false">DATE(YEAR('Start Here'!$C$6),MONTH('Start Here'!$C$6)+13,1)</f>
        <v>46692</v>
      </c>
      <c r="B20" s="39" t="n">
        <f aca="false">ROUND(V19*(1+N('My Debts'!$D$6)/12),2)</f>
        <v>0</v>
      </c>
      <c r="C20" s="39" t="n">
        <f aca="false">ROUND(W19*(1+N('My Debts'!$D$7)/12),2)</f>
        <v>0</v>
      </c>
      <c r="D20" s="39" t="n">
        <f aca="false">ROUND(X19*(1+N('My Debts'!$D$8)/12),2)</f>
        <v>97.68</v>
      </c>
      <c r="E20" s="39" t="n">
        <f aca="false">ROUND(Y19*(1+N('My Debts'!$D$9)/12),2)</f>
        <v>0</v>
      </c>
      <c r="F20" s="39" t="n">
        <f aca="false">ROUND(Z19*(1+N('My Debts'!$D$10)/12),2)</f>
        <v>0</v>
      </c>
      <c r="G20" s="39" t="n">
        <f aca="false">ROUND(AA19*(1+N('My Debts'!$D$11)/12),2)</f>
        <v>0</v>
      </c>
      <c r="H20" s="39" t="n">
        <f aca="false">ROUND(AB19*(1+N('My Debts'!$D$12)/12),2)</f>
        <v>0</v>
      </c>
      <c r="I20" s="39" t="n">
        <f aca="false">ROUND(AC19*(1+N('My Debts'!$D$13)/12),2)</f>
        <v>0</v>
      </c>
      <c r="J20" s="39" t="n">
        <f aca="false">ROUND(AD19*(1+N('My Debts'!$D$14)/12),2)</f>
        <v>0</v>
      </c>
      <c r="K20" s="39" t="n">
        <f aca="false">ROUND(AE19*(1+N('My Debts'!$D$15)/12),2)</f>
        <v>0</v>
      </c>
      <c r="L20" s="39" t="n">
        <f aca="false">MIN(N('My Debts'!$E$6),B20)</f>
        <v>0</v>
      </c>
      <c r="M20" s="39" t="n">
        <f aca="false">MIN(N('My Debts'!$E$7),C20)</f>
        <v>0</v>
      </c>
      <c r="N20" s="39" t="n">
        <f aca="false">MIN(N('My Debts'!$E$8),D20)</f>
        <v>97.68</v>
      </c>
      <c r="O20" s="39" t="n">
        <f aca="false">MIN(N('My Debts'!$E$9),E20)</f>
        <v>0</v>
      </c>
      <c r="P20" s="39" t="n">
        <f aca="false">MIN(N('My Debts'!$E$10),F20)</f>
        <v>0</v>
      </c>
      <c r="Q20" s="39" t="n">
        <f aca="false">MIN(N('My Debts'!$E$11),G20)</f>
        <v>0</v>
      </c>
      <c r="R20" s="39" t="n">
        <f aca="false">MIN(N('My Debts'!$E$12),H20)</f>
        <v>0</v>
      </c>
      <c r="S20" s="39" t="n">
        <f aca="false">MIN(N('My Debts'!$E$13),I20)</f>
        <v>0</v>
      </c>
      <c r="T20" s="39" t="n">
        <f aca="false">MIN(N('My Debts'!$E$14),J20)</f>
        <v>0</v>
      </c>
      <c r="U20" s="39" t="n">
        <f aca="false">MIN(N('My Debts'!$E$15),K20)</f>
        <v>0</v>
      </c>
      <c r="V20" s="39" t="n">
        <f aca="false">ROUND(B20-L20-MIN(B20-L20,MAX(0,$AF20-SUMPRODUCT(--($B$4:$K$4&lt;B$4),$B20:$K20-$L20:$U20))),2)</f>
        <v>0</v>
      </c>
      <c r="W20" s="39" t="n">
        <f aca="false">ROUND(C20-M20-MIN(C20-M20,MAX(0,$AF20-SUMPRODUCT(--($B$4:$K$4&lt;C$4),$B20:$K20-$L20:$U20))),2)</f>
        <v>0</v>
      </c>
      <c r="X20" s="39" t="n">
        <f aca="false">ROUND(D20-N20-MIN(D20-N20,MAX(0,$AF20-SUMPRODUCT(--($B$4:$K$4&lt;D$4),$B20:$K20-$L20:$U20))),2)</f>
        <v>0</v>
      </c>
      <c r="Y20" s="39" t="n">
        <f aca="false">ROUND(E20-O20-MIN(E20-O20,MAX(0,$AF20-SUMPRODUCT(--($B$4:$K$4&lt;E$4),$B20:$K20-$L20:$U20))),2)</f>
        <v>0</v>
      </c>
      <c r="Z20" s="39" t="n">
        <f aca="false">ROUND(F20-P20-MIN(F20-P20,MAX(0,$AF20-SUMPRODUCT(--($B$4:$K$4&lt;F$4),$B20:$K20-$L20:$U20))),2)</f>
        <v>0</v>
      </c>
      <c r="AA20" s="39" t="n">
        <f aca="false">ROUND(G20-Q20-MIN(G20-Q20,MAX(0,$AF20-SUMPRODUCT(--($B$4:$K$4&lt;G$4),$B20:$K20-$L20:$U20))),2)</f>
        <v>0</v>
      </c>
      <c r="AB20" s="39" t="n">
        <f aca="false">ROUND(H20-R20-MIN(H20-R20,MAX(0,$AF20-SUMPRODUCT(--($B$4:$K$4&lt;H$4),$B20:$K20-$L20:$U20))),2)</f>
        <v>0</v>
      </c>
      <c r="AC20" s="39" t="n">
        <f aca="false">ROUND(I20-S20-MIN(I20-S20,MAX(0,$AF20-SUMPRODUCT(--($B$4:$K$4&lt;I$4),$B20:$K20-$L20:$U20))),2)</f>
        <v>0</v>
      </c>
      <c r="AD20" s="39" t="n">
        <f aca="false">ROUND(J20-T20-MIN(J20-T20,MAX(0,$AF20-SUMPRODUCT(--($B$4:$K$4&lt;J$4),$B20:$K20-$L20:$U20))),2)</f>
        <v>0</v>
      </c>
      <c r="AE20" s="39" t="n">
        <f aca="false">ROUND(K20-U20-MIN(K20-U20,MAX(0,$AF20-SUMPRODUCT(--($B$4:$K$4&lt;K$4),$B20:$K20-$L20:$U20))),2)</f>
        <v>0</v>
      </c>
      <c r="AF20" s="39" t="n">
        <f aca="false">MAX(0,'Start Here'!$C$5-SUM($L20:$U20))</f>
        <v>1102.32</v>
      </c>
      <c r="AG20" s="39" t="n">
        <f aca="false">SUM(V20:AE20)</f>
        <v>0</v>
      </c>
      <c r="AH20" s="39" t="n">
        <f aca="false">SUM(B20:K20)-AG19</f>
        <v>0.560000000000002</v>
      </c>
    </row>
    <row r="21" customFormat="false" ht="15" hidden="false" customHeight="false" outlineLevel="0" collapsed="false">
      <c r="A21" s="40" t="n">
        <f aca="false">DATE(YEAR('Start Here'!$C$6),MONTH('Start Here'!$C$6)+14,1)</f>
        <v>46722</v>
      </c>
      <c r="B21" s="39" t="n">
        <f aca="false">ROUND(V20*(1+N('My Debts'!$D$6)/12),2)</f>
        <v>0</v>
      </c>
      <c r="C21" s="39" t="n">
        <f aca="false">ROUND(W20*(1+N('My Debts'!$D$7)/12),2)</f>
        <v>0</v>
      </c>
      <c r="D21" s="39" t="n">
        <f aca="false">ROUND(X20*(1+N('My Debts'!$D$8)/12),2)</f>
        <v>0</v>
      </c>
      <c r="E21" s="39" t="n">
        <f aca="false">ROUND(Y20*(1+N('My Debts'!$D$9)/12),2)</f>
        <v>0</v>
      </c>
      <c r="F21" s="39" t="n">
        <f aca="false">ROUND(Z20*(1+N('My Debts'!$D$10)/12),2)</f>
        <v>0</v>
      </c>
      <c r="G21" s="39" t="n">
        <f aca="false">ROUND(AA20*(1+N('My Debts'!$D$11)/12),2)</f>
        <v>0</v>
      </c>
      <c r="H21" s="39" t="n">
        <f aca="false">ROUND(AB20*(1+N('My Debts'!$D$12)/12),2)</f>
        <v>0</v>
      </c>
      <c r="I21" s="39" t="n">
        <f aca="false">ROUND(AC20*(1+N('My Debts'!$D$13)/12),2)</f>
        <v>0</v>
      </c>
      <c r="J21" s="39" t="n">
        <f aca="false">ROUND(AD20*(1+N('My Debts'!$D$14)/12),2)</f>
        <v>0</v>
      </c>
      <c r="K21" s="39" t="n">
        <f aca="false">ROUND(AE20*(1+N('My Debts'!$D$15)/12),2)</f>
        <v>0</v>
      </c>
      <c r="L21" s="39" t="n">
        <f aca="false">MIN(N('My Debts'!$E$6),B21)</f>
        <v>0</v>
      </c>
      <c r="M21" s="39" t="n">
        <f aca="false">MIN(N('My Debts'!$E$7),C21)</f>
        <v>0</v>
      </c>
      <c r="N21" s="39" t="n">
        <f aca="false">MIN(N('My Debts'!$E$8),D21)</f>
        <v>0</v>
      </c>
      <c r="O21" s="39" t="n">
        <f aca="false">MIN(N('My Debts'!$E$9),E21)</f>
        <v>0</v>
      </c>
      <c r="P21" s="39" t="n">
        <f aca="false">MIN(N('My Debts'!$E$10),F21)</f>
        <v>0</v>
      </c>
      <c r="Q21" s="39" t="n">
        <f aca="false">MIN(N('My Debts'!$E$11),G21)</f>
        <v>0</v>
      </c>
      <c r="R21" s="39" t="n">
        <f aca="false">MIN(N('My Debts'!$E$12),H21)</f>
        <v>0</v>
      </c>
      <c r="S21" s="39" t="n">
        <f aca="false">MIN(N('My Debts'!$E$13),I21)</f>
        <v>0</v>
      </c>
      <c r="T21" s="39" t="n">
        <f aca="false">MIN(N('My Debts'!$E$14),J21)</f>
        <v>0</v>
      </c>
      <c r="U21" s="39" t="n">
        <f aca="false">MIN(N('My Debts'!$E$15),K21)</f>
        <v>0</v>
      </c>
      <c r="V21" s="39" t="n">
        <f aca="false">ROUND(B21-L21-MIN(B21-L21,MAX(0,$AF21-SUMPRODUCT(--($B$4:$K$4&lt;B$4),$B21:$K21-$L21:$U21))),2)</f>
        <v>0</v>
      </c>
      <c r="W21" s="39" t="n">
        <f aca="false">ROUND(C21-M21-MIN(C21-M21,MAX(0,$AF21-SUMPRODUCT(--($B$4:$K$4&lt;C$4),$B21:$K21-$L21:$U21))),2)</f>
        <v>0</v>
      </c>
      <c r="X21" s="39" t="n">
        <f aca="false">ROUND(D21-N21-MIN(D21-N21,MAX(0,$AF21-SUMPRODUCT(--($B$4:$K$4&lt;D$4),$B21:$K21-$L21:$U21))),2)</f>
        <v>0</v>
      </c>
      <c r="Y21" s="39" t="n">
        <f aca="false">ROUND(E21-O21-MIN(E21-O21,MAX(0,$AF21-SUMPRODUCT(--($B$4:$K$4&lt;E$4),$B21:$K21-$L21:$U21))),2)</f>
        <v>0</v>
      </c>
      <c r="Z21" s="39" t="n">
        <f aca="false">ROUND(F21-P21-MIN(F21-P21,MAX(0,$AF21-SUMPRODUCT(--($B$4:$K$4&lt;F$4),$B21:$K21-$L21:$U21))),2)</f>
        <v>0</v>
      </c>
      <c r="AA21" s="39" t="n">
        <f aca="false">ROUND(G21-Q21-MIN(G21-Q21,MAX(0,$AF21-SUMPRODUCT(--($B$4:$K$4&lt;G$4),$B21:$K21-$L21:$U21))),2)</f>
        <v>0</v>
      </c>
      <c r="AB21" s="39" t="n">
        <f aca="false">ROUND(H21-R21-MIN(H21-R21,MAX(0,$AF21-SUMPRODUCT(--($B$4:$K$4&lt;H$4),$B21:$K21-$L21:$U21))),2)</f>
        <v>0</v>
      </c>
      <c r="AC21" s="39" t="n">
        <f aca="false">ROUND(I21-S21-MIN(I21-S21,MAX(0,$AF21-SUMPRODUCT(--($B$4:$K$4&lt;I$4),$B21:$K21-$L21:$U21))),2)</f>
        <v>0</v>
      </c>
      <c r="AD21" s="39" t="n">
        <f aca="false">ROUND(J21-T21-MIN(J21-T21,MAX(0,$AF21-SUMPRODUCT(--($B$4:$K$4&lt;J$4),$B21:$K21-$L21:$U21))),2)</f>
        <v>0</v>
      </c>
      <c r="AE21" s="39" t="n">
        <f aca="false">ROUND(K21-U21-MIN(K21-U21,MAX(0,$AF21-SUMPRODUCT(--($B$4:$K$4&lt;K$4),$B21:$K21-$L21:$U21))),2)</f>
        <v>0</v>
      </c>
      <c r="AF21" s="39" t="n">
        <f aca="false">MAX(0,'Start Here'!$C$5-SUM($L21:$U21))</f>
        <v>1200</v>
      </c>
      <c r="AG21" s="39" t="n">
        <f aca="false">SUM(V21:AE21)</f>
        <v>0</v>
      </c>
      <c r="AH21" s="39" t="n">
        <f aca="false">SUM(B21:K21)-AG20</f>
        <v>0</v>
      </c>
    </row>
    <row r="22" customFormat="false" ht="15" hidden="false" customHeight="false" outlineLevel="0" collapsed="false">
      <c r="A22" s="40" t="n">
        <f aca="false">DATE(YEAR('Start Here'!$C$6),MONTH('Start Here'!$C$6)+15,1)</f>
        <v>46753</v>
      </c>
      <c r="B22" s="39" t="n">
        <f aca="false">ROUND(V21*(1+N('My Debts'!$D$6)/12),2)</f>
        <v>0</v>
      </c>
      <c r="C22" s="39" t="n">
        <f aca="false">ROUND(W21*(1+N('My Debts'!$D$7)/12),2)</f>
        <v>0</v>
      </c>
      <c r="D22" s="39" t="n">
        <f aca="false">ROUND(X21*(1+N('My Debts'!$D$8)/12),2)</f>
        <v>0</v>
      </c>
      <c r="E22" s="39" t="n">
        <f aca="false">ROUND(Y21*(1+N('My Debts'!$D$9)/12),2)</f>
        <v>0</v>
      </c>
      <c r="F22" s="39" t="n">
        <f aca="false">ROUND(Z21*(1+N('My Debts'!$D$10)/12),2)</f>
        <v>0</v>
      </c>
      <c r="G22" s="39" t="n">
        <f aca="false">ROUND(AA21*(1+N('My Debts'!$D$11)/12),2)</f>
        <v>0</v>
      </c>
      <c r="H22" s="39" t="n">
        <f aca="false">ROUND(AB21*(1+N('My Debts'!$D$12)/12),2)</f>
        <v>0</v>
      </c>
      <c r="I22" s="39" t="n">
        <f aca="false">ROUND(AC21*(1+N('My Debts'!$D$13)/12),2)</f>
        <v>0</v>
      </c>
      <c r="J22" s="39" t="n">
        <f aca="false">ROUND(AD21*(1+N('My Debts'!$D$14)/12),2)</f>
        <v>0</v>
      </c>
      <c r="K22" s="39" t="n">
        <f aca="false">ROUND(AE21*(1+N('My Debts'!$D$15)/12),2)</f>
        <v>0</v>
      </c>
      <c r="L22" s="39" t="n">
        <f aca="false">MIN(N('My Debts'!$E$6),B22)</f>
        <v>0</v>
      </c>
      <c r="M22" s="39" t="n">
        <f aca="false">MIN(N('My Debts'!$E$7),C22)</f>
        <v>0</v>
      </c>
      <c r="N22" s="39" t="n">
        <f aca="false">MIN(N('My Debts'!$E$8),D22)</f>
        <v>0</v>
      </c>
      <c r="O22" s="39" t="n">
        <f aca="false">MIN(N('My Debts'!$E$9),E22)</f>
        <v>0</v>
      </c>
      <c r="P22" s="39" t="n">
        <f aca="false">MIN(N('My Debts'!$E$10),F22)</f>
        <v>0</v>
      </c>
      <c r="Q22" s="39" t="n">
        <f aca="false">MIN(N('My Debts'!$E$11),G22)</f>
        <v>0</v>
      </c>
      <c r="R22" s="39" t="n">
        <f aca="false">MIN(N('My Debts'!$E$12),H22)</f>
        <v>0</v>
      </c>
      <c r="S22" s="39" t="n">
        <f aca="false">MIN(N('My Debts'!$E$13),I22)</f>
        <v>0</v>
      </c>
      <c r="T22" s="39" t="n">
        <f aca="false">MIN(N('My Debts'!$E$14),J22)</f>
        <v>0</v>
      </c>
      <c r="U22" s="39" t="n">
        <f aca="false">MIN(N('My Debts'!$E$15),K22)</f>
        <v>0</v>
      </c>
      <c r="V22" s="39" t="n">
        <f aca="false">ROUND(B22-L22-MIN(B22-L22,MAX(0,$AF22-SUMPRODUCT(--($B$4:$K$4&lt;B$4),$B22:$K22-$L22:$U22))),2)</f>
        <v>0</v>
      </c>
      <c r="W22" s="39" t="n">
        <f aca="false">ROUND(C22-M22-MIN(C22-M22,MAX(0,$AF22-SUMPRODUCT(--($B$4:$K$4&lt;C$4),$B22:$K22-$L22:$U22))),2)</f>
        <v>0</v>
      </c>
      <c r="X22" s="39" t="n">
        <f aca="false">ROUND(D22-N22-MIN(D22-N22,MAX(0,$AF22-SUMPRODUCT(--($B$4:$K$4&lt;D$4),$B22:$K22-$L22:$U22))),2)</f>
        <v>0</v>
      </c>
      <c r="Y22" s="39" t="n">
        <f aca="false">ROUND(E22-O22-MIN(E22-O22,MAX(0,$AF22-SUMPRODUCT(--($B$4:$K$4&lt;E$4),$B22:$K22-$L22:$U22))),2)</f>
        <v>0</v>
      </c>
      <c r="Z22" s="39" t="n">
        <f aca="false">ROUND(F22-P22-MIN(F22-P22,MAX(0,$AF22-SUMPRODUCT(--($B$4:$K$4&lt;F$4),$B22:$K22-$L22:$U22))),2)</f>
        <v>0</v>
      </c>
      <c r="AA22" s="39" t="n">
        <f aca="false">ROUND(G22-Q22-MIN(G22-Q22,MAX(0,$AF22-SUMPRODUCT(--($B$4:$K$4&lt;G$4),$B22:$K22-$L22:$U22))),2)</f>
        <v>0</v>
      </c>
      <c r="AB22" s="39" t="n">
        <f aca="false">ROUND(H22-R22-MIN(H22-R22,MAX(0,$AF22-SUMPRODUCT(--($B$4:$K$4&lt;H$4),$B22:$K22-$L22:$U22))),2)</f>
        <v>0</v>
      </c>
      <c r="AC22" s="39" t="n">
        <f aca="false">ROUND(I22-S22-MIN(I22-S22,MAX(0,$AF22-SUMPRODUCT(--($B$4:$K$4&lt;I$4),$B22:$K22-$L22:$U22))),2)</f>
        <v>0</v>
      </c>
      <c r="AD22" s="39" t="n">
        <f aca="false">ROUND(J22-T22-MIN(J22-T22,MAX(0,$AF22-SUMPRODUCT(--($B$4:$K$4&lt;J$4),$B22:$K22-$L22:$U22))),2)</f>
        <v>0</v>
      </c>
      <c r="AE22" s="39" t="n">
        <f aca="false">ROUND(K22-U22-MIN(K22-U22,MAX(0,$AF22-SUMPRODUCT(--($B$4:$K$4&lt;K$4),$B22:$K22-$L22:$U22))),2)</f>
        <v>0</v>
      </c>
      <c r="AF22" s="39" t="n">
        <f aca="false">MAX(0,'Start Here'!$C$5-SUM($L22:$U22))</f>
        <v>1200</v>
      </c>
      <c r="AG22" s="39" t="n">
        <f aca="false">SUM(V22:AE22)</f>
        <v>0</v>
      </c>
      <c r="AH22" s="39" t="n">
        <f aca="false">SUM(B22:K22)-AG21</f>
        <v>0</v>
      </c>
    </row>
    <row r="23" customFormat="false" ht="15" hidden="false" customHeight="false" outlineLevel="0" collapsed="false">
      <c r="A23" s="40" t="n">
        <f aca="false">DATE(YEAR('Start Here'!$C$6),MONTH('Start Here'!$C$6)+16,1)</f>
        <v>46784</v>
      </c>
      <c r="B23" s="39" t="n">
        <f aca="false">ROUND(V22*(1+N('My Debts'!$D$6)/12),2)</f>
        <v>0</v>
      </c>
      <c r="C23" s="39" t="n">
        <f aca="false">ROUND(W22*(1+N('My Debts'!$D$7)/12),2)</f>
        <v>0</v>
      </c>
      <c r="D23" s="39" t="n">
        <f aca="false">ROUND(X22*(1+N('My Debts'!$D$8)/12),2)</f>
        <v>0</v>
      </c>
      <c r="E23" s="39" t="n">
        <f aca="false">ROUND(Y22*(1+N('My Debts'!$D$9)/12),2)</f>
        <v>0</v>
      </c>
      <c r="F23" s="39" t="n">
        <f aca="false">ROUND(Z22*(1+N('My Debts'!$D$10)/12),2)</f>
        <v>0</v>
      </c>
      <c r="G23" s="39" t="n">
        <f aca="false">ROUND(AA22*(1+N('My Debts'!$D$11)/12),2)</f>
        <v>0</v>
      </c>
      <c r="H23" s="39" t="n">
        <f aca="false">ROUND(AB22*(1+N('My Debts'!$D$12)/12),2)</f>
        <v>0</v>
      </c>
      <c r="I23" s="39" t="n">
        <f aca="false">ROUND(AC22*(1+N('My Debts'!$D$13)/12),2)</f>
        <v>0</v>
      </c>
      <c r="J23" s="39" t="n">
        <f aca="false">ROUND(AD22*(1+N('My Debts'!$D$14)/12),2)</f>
        <v>0</v>
      </c>
      <c r="K23" s="39" t="n">
        <f aca="false">ROUND(AE22*(1+N('My Debts'!$D$15)/12),2)</f>
        <v>0</v>
      </c>
      <c r="L23" s="39" t="n">
        <f aca="false">MIN(N('My Debts'!$E$6),B23)</f>
        <v>0</v>
      </c>
      <c r="M23" s="39" t="n">
        <f aca="false">MIN(N('My Debts'!$E$7),C23)</f>
        <v>0</v>
      </c>
      <c r="N23" s="39" t="n">
        <f aca="false">MIN(N('My Debts'!$E$8),D23)</f>
        <v>0</v>
      </c>
      <c r="O23" s="39" t="n">
        <f aca="false">MIN(N('My Debts'!$E$9),E23)</f>
        <v>0</v>
      </c>
      <c r="P23" s="39" t="n">
        <f aca="false">MIN(N('My Debts'!$E$10),F23)</f>
        <v>0</v>
      </c>
      <c r="Q23" s="39" t="n">
        <f aca="false">MIN(N('My Debts'!$E$11),G23)</f>
        <v>0</v>
      </c>
      <c r="R23" s="39" t="n">
        <f aca="false">MIN(N('My Debts'!$E$12),H23)</f>
        <v>0</v>
      </c>
      <c r="S23" s="39" t="n">
        <f aca="false">MIN(N('My Debts'!$E$13),I23)</f>
        <v>0</v>
      </c>
      <c r="T23" s="39" t="n">
        <f aca="false">MIN(N('My Debts'!$E$14),J23)</f>
        <v>0</v>
      </c>
      <c r="U23" s="39" t="n">
        <f aca="false">MIN(N('My Debts'!$E$15),K23)</f>
        <v>0</v>
      </c>
      <c r="V23" s="39" t="n">
        <f aca="false">ROUND(B23-L23-MIN(B23-L23,MAX(0,$AF23-SUMPRODUCT(--($B$4:$K$4&lt;B$4),$B23:$K23-$L23:$U23))),2)</f>
        <v>0</v>
      </c>
      <c r="W23" s="39" t="n">
        <f aca="false">ROUND(C23-M23-MIN(C23-M23,MAX(0,$AF23-SUMPRODUCT(--($B$4:$K$4&lt;C$4),$B23:$K23-$L23:$U23))),2)</f>
        <v>0</v>
      </c>
      <c r="X23" s="39" t="n">
        <f aca="false">ROUND(D23-N23-MIN(D23-N23,MAX(0,$AF23-SUMPRODUCT(--($B$4:$K$4&lt;D$4),$B23:$K23-$L23:$U23))),2)</f>
        <v>0</v>
      </c>
      <c r="Y23" s="39" t="n">
        <f aca="false">ROUND(E23-O23-MIN(E23-O23,MAX(0,$AF23-SUMPRODUCT(--($B$4:$K$4&lt;E$4),$B23:$K23-$L23:$U23))),2)</f>
        <v>0</v>
      </c>
      <c r="Z23" s="39" t="n">
        <f aca="false">ROUND(F23-P23-MIN(F23-P23,MAX(0,$AF23-SUMPRODUCT(--($B$4:$K$4&lt;F$4),$B23:$K23-$L23:$U23))),2)</f>
        <v>0</v>
      </c>
      <c r="AA23" s="39" t="n">
        <f aca="false">ROUND(G23-Q23-MIN(G23-Q23,MAX(0,$AF23-SUMPRODUCT(--($B$4:$K$4&lt;G$4),$B23:$K23-$L23:$U23))),2)</f>
        <v>0</v>
      </c>
      <c r="AB23" s="39" t="n">
        <f aca="false">ROUND(H23-R23-MIN(H23-R23,MAX(0,$AF23-SUMPRODUCT(--($B$4:$K$4&lt;H$4),$B23:$K23-$L23:$U23))),2)</f>
        <v>0</v>
      </c>
      <c r="AC23" s="39" t="n">
        <f aca="false">ROUND(I23-S23-MIN(I23-S23,MAX(0,$AF23-SUMPRODUCT(--($B$4:$K$4&lt;I$4),$B23:$K23-$L23:$U23))),2)</f>
        <v>0</v>
      </c>
      <c r="AD23" s="39" t="n">
        <f aca="false">ROUND(J23-T23-MIN(J23-T23,MAX(0,$AF23-SUMPRODUCT(--($B$4:$K$4&lt;J$4),$B23:$K23-$L23:$U23))),2)</f>
        <v>0</v>
      </c>
      <c r="AE23" s="39" t="n">
        <f aca="false">ROUND(K23-U23-MIN(K23-U23,MAX(0,$AF23-SUMPRODUCT(--($B$4:$K$4&lt;K$4),$B23:$K23-$L23:$U23))),2)</f>
        <v>0</v>
      </c>
      <c r="AF23" s="39" t="n">
        <f aca="false">MAX(0,'Start Here'!$C$5-SUM($L23:$U23))</f>
        <v>1200</v>
      </c>
      <c r="AG23" s="39" t="n">
        <f aca="false">SUM(V23:AE23)</f>
        <v>0</v>
      </c>
      <c r="AH23" s="39" t="n">
        <f aca="false">SUM(B23:K23)-AG22</f>
        <v>0</v>
      </c>
    </row>
    <row r="24" customFormat="false" ht="15" hidden="false" customHeight="false" outlineLevel="0" collapsed="false">
      <c r="A24" s="40" t="n">
        <f aca="false">DATE(YEAR('Start Here'!$C$6),MONTH('Start Here'!$C$6)+17,1)</f>
        <v>46813</v>
      </c>
      <c r="B24" s="39" t="n">
        <f aca="false">ROUND(V23*(1+N('My Debts'!$D$6)/12),2)</f>
        <v>0</v>
      </c>
      <c r="C24" s="39" t="n">
        <f aca="false">ROUND(W23*(1+N('My Debts'!$D$7)/12),2)</f>
        <v>0</v>
      </c>
      <c r="D24" s="39" t="n">
        <f aca="false">ROUND(X23*(1+N('My Debts'!$D$8)/12),2)</f>
        <v>0</v>
      </c>
      <c r="E24" s="39" t="n">
        <f aca="false">ROUND(Y23*(1+N('My Debts'!$D$9)/12),2)</f>
        <v>0</v>
      </c>
      <c r="F24" s="39" t="n">
        <f aca="false">ROUND(Z23*(1+N('My Debts'!$D$10)/12),2)</f>
        <v>0</v>
      </c>
      <c r="G24" s="39" t="n">
        <f aca="false">ROUND(AA23*(1+N('My Debts'!$D$11)/12),2)</f>
        <v>0</v>
      </c>
      <c r="H24" s="39" t="n">
        <f aca="false">ROUND(AB23*(1+N('My Debts'!$D$12)/12),2)</f>
        <v>0</v>
      </c>
      <c r="I24" s="39" t="n">
        <f aca="false">ROUND(AC23*(1+N('My Debts'!$D$13)/12),2)</f>
        <v>0</v>
      </c>
      <c r="J24" s="39" t="n">
        <f aca="false">ROUND(AD23*(1+N('My Debts'!$D$14)/12),2)</f>
        <v>0</v>
      </c>
      <c r="K24" s="39" t="n">
        <f aca="false">ROUND(AE23*(1+N('My Debts'!$D$15)/12),2)</f>
        <v>0</v>
      </c>
      <c r="L24" s="39" t="n">
        <f aca="false">MIN(N('My Debts'!$E$6),B24)</f>
        <v>0</v>
      </c>
      <c r="M24" s="39" t="n">
        <f aca="false">MIN(N('My Debts'!$E$7),C24)</f>
        <v>0</v>
      </c>
      <c r="N24" s="39" t="n">
        <f aca="false">MIN(N('My Debts'!$E$8),D24)</f>
        <v>0</v>
      </c>
      <c r="O24" s="39" t="n">
        <f aca="false">MIN(N('My Debts'!$E$9),E24)</f>
        <v>0</v>
      </c>
      <c r="P24" s="39" t="n">
        <f aca="false">MIN(N('My Debts'!$E$10),F24)</f>
        <v>0</v>
      </c>
      <c r="Q24" s="39" t="n">
        <f aca="false">MIN(N('My Debts'!$E$11),G24)</f>
        <v>0</v>
      </c>
      <c r="R24" s="39" t="n">
        <f aca="false">MIN(N('My Debts'!$E$12),H24)</f>
        <v>0</v>
      </c>
      <c r="S24" s="39" t="n">
        <f aca="false">MIN(N('My Debts'!$E$13),I24)</f>
        <v>0</v>
      </c>
      <c r="T24" s="39" t="n">
        <f aca="false">MIN(N('My Debts'!$E$14),J24)</f>
        <v>0</v>
      </c>
      <c r="U24" s="39" t="n">
        <f aca="false">MIN(N('My Debts'!$E$15),K24)</f>
        <v>0</v>
      </c>
      <c r="V24" s="39" t="n">
        <f aca="false">ROUND(B24-L24-MIN(B24-L24,MAX(0,$AF24-SUMPRODUCT(--($B$4:$K$4&lt;B$4),$B24:$K24-$L24:$U24))),2)</f>
        <v>0</v>
      </c>
      <c r="W24" s="39" t="n">
        <f aca="false">ROUND(C24-M24-MIN(C24-M24,MAX(0,$AF24-SUMPRODUCT(--($B$4:$K$4&lt;C$4),$B24:$K24-$L24:$U24))),2)</f>
        <v>0</v>
      </c>
      <c r="X24" s="39" t="n">
        <f aca="false">ROUND(D24-N24-MIN(D24-N24,MAX(0,$AF24-SUMPRODUCT(--($B$4:$K$4&lt;D$4),$B24:$K24-$L24:$U24))),2)</f>
        <v>0</v>
      </c>
      <c r="Y24" s="39" t="n">
        <f aca="false">ROUND(E24-O24-MIN(E24-O24,MAX(0,$AF24-SUMPRODUCT(--($B$4:$K$4&lt;E$4),$B24:$K24-$L24:$U24))),2)</f>
        <v>0</v>
      </c>
      <c r="Z24" s="39" t="n">
        <f aca="false">ROUND(F24-P24-MIN(F24-P24,MAX(0,$AF24-SUMPRODUCT(--($B$4:$K$4&lt;F$4),$B24:$K24-$L24:$U24))),2)</f>
        <v>0</v>
      </c>
      <c r="AA24" s="39" t="n">
        <f aca="false">ROUND(G24-Q24-MIN(G24-Q24,MAX(0,$AF24-SUMPRODUCT(--($B$4:$K$4&lt;G$4),$B24:$K24-$L24:$U24))),2)</f>
        <v>0</v>
      </c>
      <c r="AB24" s="39" t="n">
        <f aca="false">ROUND(H24-R24-MIN(H24-R24,MAX(0,$AF24-SUMPRODUCT(--($B$4:$K$4&lt;H$4),$B24:$K24-$L24:$U24))),2)</f>
        <v>0</v>
      </c>
      <c r="AC24" s="39" t="n">
        <f aca="false">ROUND(I24-S24-MIN(I24-S24,MAX(0,$AF24-SUMPRODUCT(--($B$4:$K$4&lt;I$4),$B24:$K24-$L24:$U24))),2)</f>
        <v>0</v>
      </c>
      <c r="AD24" s="39" t="n">
        <f aca="false">ROUND(J24-T24-MIN(J24-T24,MAX(0,$AF24-SUMPRODUCT(--($B$4:$K$4&lt;J$4),$B24:$K24-$L24:$U24))),2)</f>
        <v>0</v>
      </c>
      <c r="AE24" s="39" t="n">
        <f aca="false">ROUND(K24-U24-MIN(K24-U24,MAX(0,$AF24-SUMPRODUCT(--($B$4:$K$4&lt;K$4),$B24:$K24-$L24:$U24))),2)</f>
        <v>0</v>
      </c>
      <c r="AF24" s="39" t="n">
        <f aca="false">MAX(0,'Start Here'!$C$5-SUM($L24:$U24))</f>
        <v>1200</v>
      </c>
      <c r="AG24" s="39" t="n">
        <f aca="false">SUM(V24:AE24)</f>
        <v>0</v>
      </c>
      <c r="AH24" s="39" t="n">
        <f aca="false">SUM(B24:K24)-AG23</f>
        <v>0</v>
      </c>
    </row>
    <row r="25" customFormat="false" ht="15" hidden="false" customHeight="false" outlineLevel="0" collapsed="false">
      <c r="A25" s="40" t="n">
        <f aca="false">DATE(YEAR('Start Here'!$C$6),MONTH('Start Here'!$C$6)+18,1)</f>
        <v>46844</v>
      </c>
      <c r="B25" s="39" t="n">
        <f aca="false">ROUND(V24*(1+N('My Debts'!$D$6)/12),2)</f>
        <v>0</v>
      </c>
      <c r="C25" s="39" t="n">
        <f aca="false">ROUND(W24*(1+N('My Debts'!$D$7)/12),2)</f>
        <v>0</v>
      </c>
      <c r="D25" s="39" t="n">
        <f aca="false">ROUND(X24*(1+N('My Debts'!$D$8)/12),2)</f>
        <v>0</v>
      </c>
      <c r="E25" s="39" t="n">
        <f aca="false">ROUND(Y24*(1+N('My Debts'!$D$9)/12),2)</f>
        <v>0</v>
      </c>
      <c r="F25" s="39" t="n">
        <f aca="false">ROUND(Z24*(1+N('My Debts'!$D$10)/12),2)</f>
        <v>0</v>
      </c>
      <c r="G25" s="39" t="n">
        <f aca="false">ROUND(AA24*(1+N('My Debts'!$D$11)/12),2)</f>
        <v>0</v>
      </c>
      <c r="H25" s="39" t="n">
        <f aca="false">ROUND(AB24*(1+N('My Debts'!$D$12)/12),2)</f>
        <v>0</v>
      </c>
      <c r="I25" s="39" t="n">
        <f aca="false">ROUND(AC24*(1+N('My Debts'!$D$13)/12),2)</f>
        <v>0</v>
      </c>
      <c r="J25" s="39" t="n">
        <f aca="false">ROUND(AD24*(1+N('My Debts'!$D$14)/12),2)</f>
        <v>0</v>
      </c>
      <c r="K25" s="39" t="n">
        <f aca="false">ROUND(AE24*(1+N('My Debts'!$D$15)/12),2)</f>
        <v>0</v>
      </c>
      <c r="L25" s="39" t="n">
        <f aca="false">MIN(N('My Debts'!$E$6),B25)</f>
        <v>0</v>
      </c>
      <c r="M25" s="39" t="n">
        <f aca="false">MIN(N('My Debts'!$E$7),C25)</f>
        <v>0</v>
      </c>
      <c r="N25" s="39" t="n">
        <f aca="false">MIN(N('My Debts'!$E$8),D25)</f>
        <v>0</v>
      </c>
      <c r="O25" s="39" t="n">
        <f aca="false">MIN(N('My Debts'!$E$9),E25)</f>
        <v>0</v>
      </c>
      <c r="P25" s="39" t="n">
        <f aca="false">MIN(N('My Debts'!$E$10),F25)</f>
        <v>0</v>
      </c>
      <c r="Q25" s="39" t="n">
        <f aca="false">MIN(N('My Debts'!$E$11),G25)</f>
        <v>0</v>
      </c>
      <c r="R25" s="39" t="n">
        <f aca="false">MIN(N('My Debts'!$E$12),H25)</f>
        <v>0</v>
      </c>
      <c r="S25" s="39" t="n">
        <f aca="false">MIN(N('My Debts'!$E$13),I25)</f>
        <v>0</v>
      </c>
      <c r="T25" s="39" t="n">
        <f aca="false">MIN(N('My Debts'!$E$14),J25)</f>
        <v>0</v>
      </c>
      <c r="U25" s="39" t="n">
        <f aca="false">MIN(N('My Debts'!$E$15),K25)</f>
        <v>0</v>
      </c>
      <c r="V25" s="39" t="n">
        <f aca="false">ROUND(B25-L25-MIN(B25-L25,MAX(0,$AF25-SUMPRODUCT(--($B$4:$K$4&lt;B$4),$B25:$K25-$L25:$U25))),2)</f>
        <v>0</v>
      </c>
      <c r="W25" s="39" t="n">
        <f aca="false">ROUND(C25-M25-MIN(C25-M25,MAX(0,$AF25-SUMPRODUCT(--($B$4:$K$4&lt;C$4),$B25:$K25-$L25:$U25))),2)</f>
        <v>0</v>
      </c>
      <c r="X25" s="39" t="n">
        <f aca="false">ROUND(D25-N25-MIN(D25-N25,MAX(0,$AF25-SUMPRODUCT(--($B$4:$K$4&lt;D$4),$B25:$K25-$L25:$U25))),2)</f>
        <v>0</v>
      </c>
      <c r="Y25" s="39" t="n">
        <f aca="false">ROUND(E25-O25-MIN(E25-O25,MAX(0,$AF25-SUMPRODUCT(--($B$4:$K$4&lt;E$4),$B25:$K25-$L25:$U25))),2)</f>
        <v>0</v>
      </c>
      <c r="Z25" s="39" t="n">
        <f aca="false">ROUND(F25-P25-MIN(F25-P25,MAX(0,$AF25-SUMPRODUCT(--($B$4:$K$4&lt;F$4),$B25:$K25-$L25:$U25))),2)</f>
        <v>0</v>
      </c>
      <c r="AA25" s="39" t="n">
        <f aca="false">ROUND(G25-Q25-MIN(G25-Q25,MAX(0,$AF25-SUMPRODUCT(--($B$4:$K$4&lt;G$4),$B25:$K25-$L25:$U25))),2)</f>
        <v>0</v>
      </c>
      <c r="AB25" s="39" t="n">
        <f aca="false">ROUND(H25-R25-MIN(H25-R25,MAX(0,$AF25-SUMPRODUCT(--($B$4:$K$4&lt;H$4),$B25:$K25-$L25:$U25))),2)</f>
        <v>0</v>
      </c>
      <c r="AC25" s="39" t="n">
        <f aca="false">ROUND(I25-S25-MIN(I25-S25,MAX(0,$AF25-SUMPRODUCT(--($B$4:$K$4&lt;I$4),$B25:$K25-$L25:$U25))),2)</f>
        <v>0</v>
      </c>
      <c r="AD25" s="39" t="n">
        <f aca="false">ROUND(J25-T25-MIN(J25-T25,MAX(0,$AF25-SUMPRODUCT(--($B$4:$K$4&lt;J$4),$B25:$K25-$L25:$U25))),2)</f>
        <v>0</v>
      </c>
      <c r="AE25" s="39" t="n">
        <f aca="false">ROUND(K25-U25-MIN(K25-U25,MAX(0,$AF25-SUMPRODUCT(--($B$4:$K$4&lt;K$4),$B25:$K25-$L25:$U25))),2)</f>
        <v>0</v>
      </c>
      <c r="AF25" s="39" t="n">
        <f aca="false">MAX(0,'Start Here'!$C$5-SUM($L25:$U25))</f>
        <v>1200</v>
      </c>
      <c r="AG25" s="39" t="n">
        <f aca="false">SUM(V25:AE25)</f>
        <v>0</v>
      </c>
      <c r="AH25" s="39" t="n">
        <f aca="false">SUM(B25:K25)-AG24</f>
        <v>0</v>
      </c>
    </row>
    <row r="26" customFormat="false" ht="15" hidden="false" customHeight="false" outlineLevel="0" collapsed="false">
      <c r="A26" s="40" t="n">
        <f aca="false">DATE(YEAR('Start Here'!$C$6),MONTH('Start Here'!$C$6)+19,1)</f>
        <v>46874</v>
      </c>
      <c r="B26" s="39" t="n">
        <f aca="false">ROUND(V25*(1+N('My Debts'!$D$6)/12),2)</f>
        <v>0</v>
      </c>
      <c r="C26" s="39" t="n">
        <f aca="false">ROUND(W25*(1+N('My Debts'!$D$7)/12),2)</f>
        <v>0</v>
      </c>
      <c r="D26" s="39" t="n">
        <f aca="false">ROUND(X25*(1+N('My Debts'!$D$8)/12),2)</f>
        <v>0</v>
      </c>
      <c r="E26" s="39" t="n">
        <f aca="false">ROUND(Y25*(1+N('My Debts'!$D$9)/12),2)</f>
        <v>0</v>
      </c>
      <c r="F26" s="39" t="n">
        <f aca="false">ROUND(Z25*(1+N('My Debts'!$D$10)/12),2)</f>
        <v>0</v>
      </c>
      <c r="G26" s="39" t="n">
        <f aca="false">ROUND(AA25*(1+N('My Debts'!$D$11)/12),2)</f>
        <v>0</v>
      </c>
      <c r="H26" s="39" t="n">
        <f aca="false">ROUND(AB25*(1+N('My Debts'!$D$12)/12),2)</f>
        <v>0</v>
      </c>
      <c r="I26" s="39" t="n">
        <f aca="false">ROUND(AC25*(1+N('My Debts'!$D$13)/12),2)</f>
        <v>0</v>
      </c>
      <c r="J26" s="39" t="n">
        <f aca="false">ROUND(AD25*(1+N('My Debts'!$D$14)/12),2)</f>
        <v>0</v>
      </c>
      <c r="K26" s="39" t="n">
        <f aca="false">ROUND(AE25*(1+N('My Debts'!$D$15)/12),2)</f>
        <v>0</v>
      </c>
      <c r="L26" s="39" t="n">
        <f aca="false">MIN(N('My Debts'!$E$6),B26)</f>
        <v>0</v>
      </c>
      <c r="M26" s="39" t="n">
        <f aca="false">MIN(N('My Debts'!$E$7),C26)</f>
        <v>0</v>
      </c>
      <c r="N26" s="39" t="n">
        <f aca="false">MIN(N('My Debts'!$E$8),D26)</f>
        <v>0</v>
      </c>
      <c r="O26" s="39" t="n">
        <f aca="false">MIN(N('My Debts'!$E$9),E26)</f>
        <v>0</v>
      </c>
      <c r="P26" s="39" t="n">
        <f aca="false">MIN(N('My Debts'!$E$10),F26)</f>
        <v>0</v>
      </c>
      <c r="Q26" s="39" t="n">
        <f aca="false">MIN(N('My Debts'!$E$11),G26)</f>
        <v>0</v>
      </c>
      <c r="R26" s="39" t="n">
        <f aca="false">MIN(N('My Debts'!$E$12),H26)</f>
        <v>0</v>
      </c>
      <c r="S26" s="39" t="n">
        <f aca="false">MIN(N('My Debts'!$E$13),I26)</f>
        <v>0</v>
      </c>
      <c r="T26" s="39" t="n">
        <f aca="false">MIN(N('My Debts'!$E$14),J26)</f>
        <v>0</v>
      </c>
      <c r="U26" s="39" t="n">
        <f aca="false">MIN(N('My Debts'!$E$15),K26)</f>
        <v>0</v>
      </c>
      <c r="V26" s="39" t="n">
        <f aca="false">ROUND(B26-L26-MIN(B26-L26,MAX(0,$AF26-SUMPRODUCT(--($B$4:$K$4&lt;B$4),$B26:$K26-$L26:$U26))),2)</f>
        <v>0</v>
      </c>
      <c r="W26" s="39" t="n">
        <f aca="false">ROUND(C26-M26-MIN(C26-M26,MAX(0,$AF26-SUMPRODUCT(--($B$4:$K$4&lt;C$4),$B26:$K26-$L26:$U26))),2)</f>
        <v>0</v>
      </c>
      <c r="X26" s="39" t="n">
        <f aca="false">ROUND(D26-N26-MIN(D26-N26,MAX(0,$AF26-SUMPRODUCT(--($B$4:$K$4&lt;D$4),$B26:$K26-$L26:$U26))),2)</f>
        <v>0</v>
      </c>
      <c r="Y26" s="39" t="n">
        <f aca="false">ROUND(E26-O26-MIN(E26-O26,MAX(0,$AF26-SUMPRODUCT(--($B$4:$K$4&lt;E$4),$B26:$K26-$L26:$U26))),2)</f>
        <v>0</v>
      </c>
      <c r="Z26" s="39" t="n">
        <f aca="false">ROUND(F26-P26-MIN(F26-P26,MAX(0,$AF26-SUMPRODUCT(--($B$4:$K$4&lt;F$4),$B26:$K26-$L26:$U26))),2)</f>
        <v>0</v>
      </c>
      <c r="AA26" s="39" t="n">
        <f aca="false">ROUND(G26-Q26-MIN(G26-Q26,MAX(0,$AF26-SUMPRODUCT(--($B$4:$K$4&lt;G$4),$B26:$K26-$L26:$U26))),2)</f>
        <v>0</v>
      </c>
      <c r="AB26" s="39" t="n">
        <f aca="false">ROUND(H26-R26-MIN(H26-R26,MAX(0,$AF26-SUMPRODUCT(--($B$4:$K$4&lt;H$4),$B26:$K26-$L26:$U26))),2)</f>
        <v>0</v>
      </c>
      <c r="AC26" s="39" t="n">
        <f aca="false">ROUND(I26-S26-MIN(I26-S26,MAX(0,$AF26-SUMPRODUCT(--($B$4:$K$4&lt;I$4),$B26:$K26-$L26:$U26))),2)</f>
        <v>0</v>
      </c>
      <c r="AD26" s="39" t="n">
        <f aca="false">ROUND(J26-T26-MIN(J26-T26,MAX(0,$AF26-SUMPRODUCT(--($B$4:$K$4&lt;J$4),$B26:$K26-$L26:$U26))),2)</f>
        <v>0</v>
      </c>
      <c r="AE26" s="39" t="n">
        <f aca="false">ROUND(K26-U26-MIN(K26-U26,MAX(0,$AF26-SUMPRODUCT(--($B$4:$K$4&lt;K$4),$B26:$K26-$L26:$U26))),2)</f>
        <v>0</v>
      </c>
      <c r="AF26" s="39" t="n">
        <f aca="false">MAX(0,'Start Here'!$C$5-SUM($L26:$U26))</f>
        <v>1200</v>
      </c>
      <c r="AG26" s="39" t="n">
        <f aca="false">SUM(V26:AE26)</f>
        <v>0</v>
      </c>
      <c r="AH26" s="39" t="n">
        <f aca="false">SUM(B26:K26)-AG25</f>
        <v>0</v>
      </c>
    </row>
    <row r="27" customFormat="false" ht="15" hidden="false" customHeight="false" outlineLevel="0" collapsed="false">
      <c r="A27" s="40" t="n">
        <f aca="false">DATE(YEAR('Start Here'!$C$6),MONTH('Start Here'!$C$6)+20,1)</f>
        <v>46905</v>
      </c>
      <c r="B27" s="39" t="n">
        <f aca="false">ROUND(V26*(1+N('My Debts'!$D$6)/12),2)</f>
        <v>0</v>
      </c>
      <c r="C27" s="39" t="n">
        <f aca="false">ROUND(W26*(1+N('My Debts'!$D$7)/12),2)</f>
        <v>0</v>
      </c>
      <c r="D27" s="39" t="n">
        <f aca="false">ROUND(X26*(1+N('My Debts'!$D$8)/12),2)</f>
        <v>0</v>
      </c>
      <c r="E27" s="39" t="n">
        <f aca="false">ROUND(Y26*(1+N('My Debts'!$D$9)/12),2)</f>
        <v>0</v>
      </c>
      <c r="F27" s="39" t="n">
        <f aca="false">ROUND(Z26*(1+N('My Debts'!$D$10)/12),2)</f>
        <v>0</v>
      </c>
      <c r="G27" s="39" t="n">
        <f aca="false">ROUND(AA26*(1+N('My Debts'!$D$11)/12),2)</f>
        <v>0</v>
      </c>
      <c r="H27" s="39" t="n">
        <f aca="false">ROUND(AB26*(1+N('My Debts'!$D$12)/12),2)</f>
        <v>0</v>
      </c>
      <c r="I27" s="39" t="n">
        <f aca="false">ROUND(AC26*(1+N('My Debts'!$D$13)/12),2)</f>
        <v>0</v>
      </c>
      <c r="J27" s="39" t="n">
        <f aca="false">ROUND(AD26*(1+N('My Debts'!$D$14)/12),2)</f>
        <v>0</v>
      </c>
      <c r="K27" s="39" t="n">
        <f aca="false">ROUND(AE26*(1+N('My Debts'!$D$15)/12),2)</f>
        <v>0</v>
      </c>
      <c r="L27" s="39" t="n">
        <f aca="false">MIN(N('My Debts'!$E$6),B27)</f>
        <v>0</v>
      </c>
      <c r="M27" s="39" t="n">
        <f aca="false">MIN(N('My Debts'!$E$7),C27)</f>
        <v>0</v>
      </c>
      <c r="N27" s="39" t="n">
        <f aca="false">MIN(N('My Debts'!$E$8),D27)</f>
        <v>0</v>
      </c>
      <c r="O27" s="39" t="n">
        <f aca="false">MIN(N('My Debts'!$E$9),E27)</f>
        <v>0</v>
      </c>
      <c r="P27" s="39" t="n">
        <f aca="false">MIN(N('My Debts'!$E$10),F27)</f>
        <v>0</v>
      </c>
      <c r="Q27" s="39" t="n">
        <f aca="false">MIN(N('My Debts'!$E$11),G27)</f>
        <v>0</v>
      </c>
      <c r="R27" s="39" t="n">
        <f aca="false">MIN(N('My Debts'!$E$12),H27)</f>
        <v>0</v>
      </c>
      <c r="S27" s="39" t="n">
        <f aca="false">MIN(N('My Debts'!$E$13),I27)</f>
        <v>0</v>
      </c>
      <c r="T27" s="39" t="n">
        <f aca="false">MIN(N('My Debts'!$E$14),J27)</f>
        <v>0</v>
      </c>
      <c r="U27" s="39" t="n">
        <f aca="false">MIN(N('My Debts'!$E$15),K27)</f>
        <v>0</v>
      </c>
      <c r="V27" s="39" t="n">
        <f aca="false">ROUND(B27-L27-MIN(B27-L27,MAX(0,$AF27-SUMPRODUCT(--($B$4:$K$4&lt;B$4),$B27:$K27-$L27:$U27))),2)</f>
        <v>0</v>
      </c>
      <c r="W27" s="39" t="n">
        <f aca="false">ROUND(C27-M27-MIN(C27-M27,MAX(0,$AF27-SUMPRODUCT(--($B$4:$K$4&lt;C$4),$B27:$K27-$L27:$U27))),2)</f>
        <v>0</v>
      </c>
      <c r="X27" s="39" t="n">
        <f aca="false">ROUND(D27-N27-MIN(D27-N27,MAX(0,$AF27-SUMPRODUCT(--($B$4:$K$4&lt;D$4),$B27:$K27-$L27:$U27))),2)</f>
        <v>0</v>
      </c>
      <c r="Y27" s="39" t="n">
        <f aca="false">ROUND(E27-O27-MIN(E27-O27,MAX(0,$AF27-SUMPRODUCT(--($B$4:$K$4&lt;E$4),$B27:$K27-$L27:$U27))),2)</f>
        <v>0</v>
      </c>
      <c r="Z27" s="39" t="n">
        <f aca="false">ROUND(F27-P27-MIN(F27-P27,MAX(0,$AF27-SUMPRODUCT(--($B$4:$K$4&lt;F$4),$B27:$K27-$L27:$U27))),2)</f>
        <v>0</v>
      </c>
      <c r="AA27" s="39" t="n">
        <f aca="false">ROUND(G27-Q27-MIN(G27-Q27,MAX(0,$AF27-SUMPRODUCT(--($B$4:$K$4&lt;G$4),$B27:$K27-$L27:$U27))),2)</f>
        <v>0</v>
      </c>
      <c r="AB27" s="39" t="n">
        <f aca="false">ROUND(H27-R27-MIN(H27-R27,MAX(0,$AF27-SUMPRODUCT(--($B$4:$K$4&lt;H$4),$B27:$K27-$L27:$U27))),2)</f>
        <v>0</v>
      </c>
      <c r="AC27" s="39" t="n">
        <f aca="false">ROUND(I27-S27-MIN(I27-S27,MAX(0,$AF27-SUMPRODUCT(--($B$4:$K$4&lt;I$4),$B27:$K27-$L27:$U27))),2)</f>
        <v>0</v>
      </c>
      <c r="AD27" s="39" t="n">
        <f aca="false">ROUND(J27-T27-MIN(J27-T27,MAX(0,$AF27-SUMPRODUCT(--($B$4:$K$4&lt;J$4),$B27:$K27-$L27:$U27))),2)</f>
        <v>0</v>
      </c>
      <c r="AE27" s="39" t="n">
        <f aca="false">ROUND(K27-U27-MIN(K27-U27,MAX(0,$AF27-SUMPRODUCT(--($B$4:$K$4&lt;K$4),$B27:$K27-$L27:$U27))),2)</f>
        <v>0</v>
      </c>
      <c r="AF27" s="39" t="n">
        <f aca="false">MAX(0,'Start Here'!$C$5-SUM($L27:$U27))</f>
        <v>1200</v>
      </c>
      <c r="AG27" s="39" t="n">
        <f aca="false">SUM(V27:AE27)</f>
        <v>0</v>
      </c>
      <c r="AH27" s="39" t="n">
        <f aca="false">SUM(B27:K27)-AG26</f>
        <v>0</v>
      </c>
    </row>
    <row r="28" customFormat="false" ht="15" hidden="false" customHeight="false" outlineLevel="0" collapsed="false">
      <c r="A28" s="40" t="n">
        <f aca="false">DATE(YEAR('Start Here'!$C$6),MONTH('Start Here'!$C$6)+21,1)</f>
        <v>46935</v>
      </c>
      <c r="B28" s="39" t="n">
        <f aca="false">ROUND(V27*(1+N('My Debts'!$D$6)/12),2)</f>
        <v>0</v>
      </c>
      <c r="C28" s="39" t="n">
        <f aca="false">ROUND(W27*(1+N('My Debts'!$D$7)/12),2)</f>
        <v>0</v>
      </c>
      <c r="D28" s="39" t="n">
        <f aca="false">ROUND(X27*(1+N('My Debts'!$D$8)/12),2)</f>
        <v>0</v>
      </c>
      <c r="E28" s="39" t="n">
        <f aca="false">ROUND(Y27*(1+N('My Debts'!$D$9)/12),2)</f>
        <v>0</v>
      </c>
      <c r="F28" s="39" t="n">
        <f aca="false">ROUND(Z27*(1+N('My Debts'!$D$10)/12),2)</f>
        <v>0</v>
      </c>
      <c r="G28" s="39" t="n">
        <f aca="false">ROUND(AA27*(1+N('My Debts'!$D$11)/12),2)</f>
        <v>0</v>
      </c>
      <c r="H28" s="39" t="n">
        <f aca="false">ROUND(AB27*(1+N('My Debts'!$D$12)/12),2)</f>
        <v>0</v>
      </c>
      <c r="I28" s="39" t="n">
        <f aca="false">ROUND(AC27*(1+N('My Debts'!$D$13)/12),2)</f>
        <v>0</v>
      </c>
      <c r="J28" s="39" t="n">
        <f aca="false">ROUND(AD27*(1+N('My Debts'!$D$14)/12),2)</f>
        <v>0</v>
      </c>
      <c r="K28" s="39" t="n">
        <f aca="false">ROUND(AE27*(1+N('My Debts'!$D$15)/12),2)</f>
        <v>0</v>
      </c>
      <c r="L28" s="39" t="n">
        <f aca="false">MIN(N('My Debts'!$E$6),B28)</f>
        <v>0</v>
      </c>
      <c r="M28" s="39" t="n">
        <f aca="false">MIN(N('My Debts'!$E$7),C28)</f>
        <v>0</v>
      </c>
      <c r="N28" s="39" t="n">
        <f aca="false">MIN(N('My Debts'!$E$8),D28)</f>
        <v>0</v>
      </c>
      <c r="O28" s="39" t="n">
        <f aca="false">MIN(N('My Debts'!$E$9),E28)</f>
        <v>0</v>
      </c>
      <c r="P28" s="39" t="n">
        <f aca="false">MIN(N('My Debts'!$E$10),F28)</f>
        <v>0</v>
      </c>
      <c r="Q28" s="39" t="n">
        <f aca="false">MIN(N('My Debts'!$E$11),G28)</f>
        <v>0</v>
      </c>
      <c r="R28" s="39" t="n">
        <f aca="false">MIN(N('My Debts'!$E$12),H28)</f>
        <v>0</v>
      </c>
      <c r="S28" s="39" t="n">
        <f aca="false">MIN(N('My Debts'!$E$13),I28)</f>
        <v>0</v>
      </c>
      <c r="T28" s="39" t="n">
        <f aca="false">MIN(N('My Debts'!$E$14),J28)</f>
        <v>0</v>
      </c>
      <c r="U28" s="39" t="n">
        <f aca="false">MIN(N('My Debts'!$E$15),K28)</f>
        <v>0</v>
      </c>
      <c r="V28" s="39" t="n">
        <f aca="false">ROUND(B28-L28-MIN(B28-L28,MAX(0,$AF28-SUMPRODUCT(--($B$4:$K$4&lt;B$4),$B28:$K28-$L28:$U28))),2)</f>
        <v>0</v>
      </c>
      <c r="W28" s="39" t="n">
        <f aca="false">ROUND(C28-M28-MIN(C28-M28,MAX(0,$AF28-SUMPRODUCT(--($B$4:$K$4&lt;C$4),$B28:$K28-$L28:$U28))),2)</f>
        <v>0</v>
      </c>
      <c r="X28" s="39" t="n">
        <f aca="false">ROUND(D28-N28-MIN(D28-N28,MAX(0,$AF28-SUMPRODUCT(--($B$4:$K$4&lt;D$4),$B28:$K28-$L28:$U28))),2)</f>
        <v>0</v>
      </c>
      <c r="Y28" s="39" t="n">
        <f aca="false">ROUND(E28-O28-MIN(E28-O28,MAX(0,$AF28-SUMPRODUCT(--($B$4:$K$4&lt;E$4),$B28:$K28-$L28:$U28))),2)</f>
        <v>0</v>
      </c>
      <c r="Z28" s="39" t="n">
        <f aca="false">ROUND(F28-P28-MIN(F28-P28,MAX(0,$AF28-SUMPRODUCT(--($B$4:$K$4&lt;F$4),$B28:$K28-$L28:$U28))),2)</f>
        <v>0</v>
      </c>
      <c r="AA28" s="39" t="n">
        <f aca="false">ROUND(G28-Q28-MIN(G28-Q28,MAX(0,$AF28-SUMPRODUCT(--($B$4:$K$4&lt;G$4),$B28:$K28-$L28:$U28))),2)</f>
        <v>0</v>
      </c>
      <c r="AB28" s="39" t="n">
        <f aca="false">ROUND(H28-R28-MIN(H28-R28,MAX(0,$AF28-SUMPRODUCT(--($B$4:$K$4&lt;H$4),$B28:$K28-$L28:$U28))),2)</f>
        <v>0</v>
      </c>
      <c r="AC28" s="39" t="n">
        <f aca="false">ROUND(I28-S28-MIN(I28-S28,MAX(0,$AF28-SUMPRODUCT(--($B$4:$K$4&lt;I$4),$B28:$K28-$L28:$U28))),2)</f>
        <v>0</v>
      </c>
      <c r="AD28" s="39" t="n">
        <f aca="false">ROUND(J28-T28-MIN(J28-T28,MAX(0,$AF28-SUMPRODUCT(--($B$4:$K$4&lt;J$4),$B28:$K28-$L28:$U28))),2)</f>
        <v>0</v>
      </c>
      <c r="AE28" s="39" t="n">
        <f aca="false">ROUND(K28-U28-MIN(K28-U28,MAX(0,$AF28-SUMPRODUCT(--($B$4:$K$4&lt;K$4),$B28:$K28-$L28:$U28))),2)</f>
        <v>0</v>
      </c>
      <c r="AF28" s="39" t="n">
        <f aca="false">MAX(0,'Start Here'!$C$5-SUM($L28:$U28))</f>
        <v>1200</v>
      </c>
      <c r="AG28" s="39" t="n">
        <f aca="false">SUM(V28:AE28)</f>
        <v>0</v>
      </c>
      <c r="AH28" s="39" t="n">
        <f aca="false">SUM(B28:K28)-AG27</f>
        <v>0</v>
      </c>
    </row>
    <row r="29" customFormat="false" ht="15" hidden="false" customHeight="false" outlineLevel="0" collapsed="false">
      <c r="A29" s="40" t="n">
        <f aca="false">DATE(YEAR('Start Here'!$C$6),MONTH('Start Here'!$C$6)+22,1)</f>
        <v>46966</v>
      </c>
      <c r="B29" s="39" t="n">
        <f aca="false">ROUND(V28*(1+N('My Debts'!$D$6)/12),2)</f>
        <v>0</v>
      </c>
      <c r="C29" s="39" t="n">
        <f aca="false">ROUND(W28*(1+N('My Debts'!$D$7)/12),2)</f>
        <v>0</v>
      </c>
      <c r="D29" s="39" t="n">
        <f aca="false">ROUND(X28*(1+N('My Debts'!$D$8)/12),2)</f>
        <v>0</v>
      </c>
      <c r="E29" s="39" t="n">
        <f aca="false">ROUND(Y28*(1+N('My Debts'!$D$9)/12),2)</f>
        <v>0</v>
      </c>
      <c r="F29" s="39" t="n">
        <f aca="false">ROUND(Z28*(1+N('My Debts'!$D$10)/12),2)</f>
        <v>0</v>
      </c>
      <c r="G29" s="39" t="n">
        <f aca="false">ROUND(AA28*(1+N('My Debts'!$D$11)/12),2)</f>
        <v>0</v>
      </c>
      <c r="H29" s="39" t="n">
        <f aca="false">ROUND(AB28*(1+N('My Debts'!$D$12)/12),2)</f>
        <v>0</v>
      </c>
      <c r="I29" s="39" t="n">
        <f aca="false">ROUND(AC28*(1+N('My Debts'!$D$13)/12),2)</f>
        <v>0</v>
      </c>
      <c r="J29" s="39" t="n">
        <f aca="false">ROUND(AD28*(1+N('My Debts'!$D$14)/12),2)</f>
        <v>0</v>
      </c>
      <c r="K29" s="39" t="n">
        <f aca="false">ROUND(AE28*(1+N('My Debts'!$D$15)/12),2)</f>
        <v>0</v>
      </c>
      <c r="L29" s="39" t="n">
        <f aca="false">MIN(N('My Debts'!$E$6),B29)</f>
        <v>0</v>
      </c>
      <c r="M29" s="39" t="n">
        <f aca="false">MIN(N('My Debts'!$E$7),C29)</f>
        <v>0</v>
      </c>
      <c r="N29" s="39" t="n">
        <f aca="false">MIN(N('My Debts'!$E$8),D29)</f>
        <v>0</v>
      </c>
      <c r="O29" s="39" t="n">
        <f aca="false">MIN(N('My Debts'!$E$9),E29)</f>
        <v>0</v>
      </c>
      <c r="P29" s="39" t="n">
        <f aca="false">MIN(N('My Debts'!$E$10),F29)</f>
        <v>0</v>
      </c>
      <c r="Q29" s="39" t="n">
        <f aca="false">MIN(N('My Debts'!$E$11),G29)</f>
        <v>0</v>
      </c>
      <c r="R29" s="39" t="n">
        <f aca="false">MIN(N('My Debts'!$E$12),H29)</f>
        <v>0</v>
      </c>
      <c r="S29" s="39" t="n">
        <f aca="false">MIN(N('My Debts'!$E$13),I29)</f>
        <v>0</v>
      </c>
      <c r="T29" s="39" t="n">
        <f aca="false">MIN(N('My Debts'!$E$14),J29)</f>
        <v>0</v>
      </c>
      <c r="U29" s="39" t="n">
        <f aca="false">MIN(N('My Debts'!$E$15),K29)</f>
        <v>0</v>
      </c>
      <c r="V29" s="39" t="n">
        <f aca="false">ROUND(B29-L29-MIN(B29-L29,MAX(0,$AF29-SUMPRODUCT(--($B$4:$K$4&lt;B$4),$B29:$K29-$L29:$U29))),2)</f>
        <v>0</v>
      </c>
      <c r="W29" s="39" t="n">
        <f aca="false">ROUND(C29-M29-MIN(C29-M29,MAX(0,$AF29-SUMPRODUCT(--($B$4:$K$4&lt;C$4),$B29:$K29-$L29:$U29))),2)</f>
        <v>0</v>
      </c>
      <c r="X29" s="39" t="n">
        <f aca="false">ROUND(D29-N29-MIN(D29-N29,MAX(0,$AF29-SUMPRODUCT(--($B$4:$K$4&lt;D$4),$B29:$K29-$L29:$U29))),2)</f>
        <v>0</v>
      </c>
      <c r="Y29" s="39" t="n">
        <f aca="false">ROUND(E29-O29-MIN(E29-O29,MAX(0,$AF29-SUMPRODUCT(--($B$4:$K$4&lt;E$4),$B29:$K29-$L29:$U29))),2)</f>
        <v>0</v>
      </c>
      <c r="Z29" s="39" t="n">
        <f aca="false">ROUND(F29-P29-MIN(F29-P29,MAX(0,$AF29-SUMPRODUCT(--($B$4:$K$4&lt;F$4),$B29:$K29-$L29:$U29))),2)</f>
        <v>0</v>
      </c>
      <c r="AA29" s="39" t="n">
        <f aca="false">ROUND(G29-Q29-MIN(G29-Q29,MAX(0,$AF29-SUMPRODUCT(--($B$4:$K$4&lt;G$4),$B29:$K29-$L29:$U29))),2)</f>
        <v>0</v>
      </c>
      <c r="AB29" s="39" t="n">
        <f aca="false">ROUND(H29-R29-MIN(H29-R29,MAX(0,$AF29-SUMPRODUCT(--($B$4:$K$4&lt;H$4),$B29:$K29-$L29:$U29))),2)</f>
        <v>0</v>
      </c>
      <c r="AC29" s="39" t="n">
        <f aca="false">ROUND(I29-S29-MIN(I29-S29,MAX(0,$AF29-SUMPRODUCT(--($B$4:$K$4&lt;I$4),$B29:$K29-$L29:$U29))),2)</f>
        <v>0</v>
      </c>
      <c r="AD29" s="39" t="n">
        <f aca="false">ROUND(J29-T29-MIN(J29-T29,MAX(0,$AF29-SUMPRODUCT(--($B$4:$K$4&lt;J$4),$B29:$K29-$L29:$U29))),2)</f>
        <v>0</v>
      </c>
      <c r="AE29" s="39" t="n">
        <f aca="false">ROUND(K29-U29-MIN(K29-U29,MAX(0,$AF29-SUMPRODUCT(--($B$4:$K$4&lt;K$4),$B29:$K29-$L29:$U29))),2)</f>
        <v>0</v>
      </c>
      <c r="AF29" s="39" t="n">
        <f aca="false">MAX(0,'Start Here'!$C$5-SUM($L29:$U29))</f>
        <v>1200</v>
      </c>
      <c r="AG29" s="39" t="n">
        <f aca="false">SUM(V29:AE29)</f>
        <v>0</v>
      </c>
      <c r="AH29" s="39" t="n">
        <f aca="false">SUM(B29:K29)-AG28</f>
        <v>0</v>
      </c>
    </row>
    <row r="30" customFormat="false" ht="15" hidden="false" customHeight="false" outlineLevel="0" collapsed="false">
      <c r="A30" s="40" t="n">
        <f aca="false">DATE(YEAR('Start Here'!$C$6),MONTH('Start Here'!$C$6)+23,1)</f>
        <v>46997</v>
      </c>
      <c r="B30" s="39" t="n">
        <f aca="false">ROUND(V29*(1+N('My Debts'!$D$6)/12),2)</f>
        <v>0</v>
      </c>
      <c r="C30" s="39" t="n">
        <f aca="false">ROUND(W29*(1+N('My Debts'!$D$7)/12),2)</f>
        <v>0</v>
      </c>
      <c r="D30" s="39" t="n">
        <f aca="false">ROUND(X29*(1+N('My Debts'!$D$8)/12),2)</f>
        <v>0</v>
      </c>
      <c r="E30" s="39" t="n">
        <f aca="false">ROUND(Y29*(1+N('My Debts'!$D$9)/12),2)</f>
        <v>0</v>
      </c>
      <c r="F30" s="39" t="n">
        <f aca="false">ROUND(Z29*(1+N('My Debts'!$D$10)/12),2)</f>
        <v>0</v>
      </c>
      <c r="G30" s="39" t="n">
        <f aca="false">ROUND(AA29*(1+N('My Debts'!$D$11)/12),2)</f>
        <v>0</v>
      </c>
      <c r="H30" s="39" t="n">
        <f aca="false">ROUND(AB29*(1+N('My Debts'!$D$12)/12),2)</f>
        <v>0</v>
      </c>
      <c r="I30" s="39" t="n">
        <f aca="false">ROUND(AC29*(1+N('My Debts'!$D$13)/12),2)</f>
        <v>0</v>
      </c>
      <c r="J30" s="39" t="n">
        <f aca="false">ROUND(AD29*(1+N('My Debts'!$D$14)/12),2)</f>
        <v>0</v>
      </c>
      <c r="K30" s="39" t="n">
        <f aca="false">ROUND(AE29*(1+N('My Debts'!$D$15)/12),2)</f>
        <v>0</v>
      </c>
      <c r="L30" s="39" t="n">
        <f aca="false">MIN(N('My Debts'!$E$6),B30)</f>
        <v>0</v>
      </c>
      <c r="M30" s="39" t="n">
        <f aca="false">MIN(N('My Debts'!$E$7),C30)</f>
        <v>0</v>
      </c>
      <c r="N30" s="39" t="n">
        <f aca="false">MIN(N('My Debts'!$E$8),D30)</f>
        <v>0</v>
      </c>
      <c r="O30" s="39" t="n">
        <f aca="false">MIN(N('My Debts'!$E$9),E30)</f>
        <v>0</v>
      </c>
      <c r="P30" s="39" t="n">
        <f aca="false">MIN(N('My Debts'!$E$10),F30)</f>
        <v>0</v>
      </c>
      <c r="Q30" s="39" t="n">
        <f aca="false">MIN(N('My Debts'!$E$11),G30)</f>
        <v>0</v>
      </c>
      <c r="R30" s="39" t="n">
        <f aca="false">MIN(N('My Debts'!$E$12),H30)</f>
        <v>0</v>
      </c>
      <c r="S30" s="39" t="n">
        <f aca="false">MIN(N('My Debts'!$E$13),I30)</f>
        <v>0</v>
      </c>
      <c r="T30" s="39" t="n">
        <f aca="false">MIN(N('My Debts'!$E$14),J30)</f>
        <v>0</v>
      </c>
      <c r="U30" s="39" t="n">
        <f aca="false">MIN(N('My Debts'!$E$15),K30)</f>
        <v>0</v>
      </c>
      <c r="V30" s="39" t="n">
        <f aca="false">ROUND(B30-L30-MIN(B30-L30,MAX(0,$AF30-SUMPRODUCT(--($B$4:$K$4&lt;B$4),$B30:$K30-$L30:$U30))),2)</f>
        <v>0</v>
      </c>
      <c r="W30" s="39" t="n">
        <f aca="false">ROUND(C30-M30-MIN(C30-M30,MAX(0,$AF30-SUMPRODUCT(--($B$4:$K$4&lt;C$4),$B30:$K30-$L30:$U30))),2)</f>
        <v>0</v>
      </c>
      <c r="X30" s="39" t="n">
        <f aca="false">ROUND(D30-N30-MIN(D30-N30,MAX(0,$AF30-SUMPRODUCT(--($B$4:$K$4&lt;D$4),$B30:$K30-$L30:$U30))),2)</f>
        <v>0</v>
      </c>
      <c r="Y30" s="39" t="n">
        <f aca="false">ROUND(E30-O30-MIN(E30-O30,MAX(0,$AF30-SUMPRODUCT(--($B$4:$K$4&lt;E$4),$B30:$K30-$L30:$U30))),2)</f>
        <v>0</v>
      </c>
      <c r="Z30" s="39" t="n">
        <f aca="false">ROUND(F30-P30-MIN(F30-P30,MAX(0,$AF30-SUMPRODUCT(--($B$4:$K$4&lt;F$4),$B30:$K30-$L30:$U30))),2)</f>
        <v>0</v>
      </c>
      <c r="AA30" s="39" t="n">
        <f aca="false">ROUND(G30-Q30-MIN(G30-Q30,MAX(0,$AF30-SUMPRODUCT(--($B$4:$K$4&lt;G$4),$B30:$K30-$L30:$U30))),2)</f>
        <v>0</v>
      </c>
      <c r="AB30" s="39" t="n">
        <f aca="false">ROUND(H30-R30-MIN(H30-R30,MAX(0,$AF30-SUMPRODUCT(--($B$4:$K$4&lt;H$4),$B30:$K30-$L30:$U30))),2)</f>
        <v>0</v>
      </c>
      <c r="AC30" s="39" t="n">
        <f aca="false">ROUND(I30-S30-MIN(I30-S30,MAX(0,$AF30-SUMPRODUCT(--($B$4:$K$4&lt;I$4),$B30:$K30-$L30:$U30))),2)</f>
        <v>0</v>
      </c>
      <c r="AD30" s="39" t="n">
        <f aca="false">ROUND(J30-T30-MIN(J30-T30,MAX(0,$AF30-SUMPRODUCT(--($B$4:$K$4&lt;J$4),$B30:$K30-$L30:$U30))),2)</f>
        <v>0</v>
      </c>
      <c r="AE30" s="39" t="n">
        <f aca="false">ROUND(K30-U30-MIN(K30-U30,MAX(0,$AF30-SUMPRODUCT(--($B$4:$K$4&lt;K$4),$B30:$K30-$L30:$U30))),2)</f>
        <v>0</v>
      </c>
      <c r="AF30" s="39" t="n">
        <f aca="false">MAX(0,'Start Here'!$C$5-SUM($L30:$U30))</f>
        <v>1200</v>
      </c>
      <c r="AG30" s="39" t="n">
        <f aca="false">SUM(V30:AE30)</f>
        <v>0</v>
      </c>
      <c r="AH30" s="39" t="n">
        <f aca="false">SUM(B30:K30)-AG29</f>
        <v>0</v>
      </c>
    </row>
    <row r="31" customFormat="false" ht="15" hidden="false" customHeight="false" outlineLevel="0" collapsed="false">
      <c r="A31" s="40" t="n">
        <f aca="false">DATE(YEAR('Start Here'!$C$6),MONTH('Start Here'!$C$6)+24,1)</f>
        <v>47027</v>
      </c>
      <c r="B31" s="39" t="n">
        <f aca="false">ROUND(V30*(1+N('My Debts'!$D$6)/12),2)</f>
        <v>0</v>
      </c>
      <c r="C31" s="39" t="n">
        <f aca="false">ROUND(W30*(1+N('My Debts'!$D$7)/12),2)</f>
        <v>0</v>
      </c>
      <c r="D31" s="39" t="n">
        <f aca="false">ROUND(X30*(1+N('My Debts'!$D$8)/12),2)</f>
        <v>0</v>
      </c>
      <c r="E31" s="39" t="n">
        <f aca="false">ROUND(Y30*(1+N('My Debts'!$D$9)/12),2)</f>
        <v>0</v>
      </c>
      <c r="F31" s="39" t="n">
        <f aca="false">ROUND(Z30*(1+N('My Debts'!$D$10)/12),2)</f>
        <v>0</v>
      </c>
      <c r="G31" s="39" t="n">
        <f aca="false">ROUND(AA30*(1+N('My Debts'!$D$11)/12),2)</f>
        <v>0</v>
      </c>
      <c r="H31" s="39" t="n">
        <f aca="false">ROUND(AB30*(1+N('My Debts'!$D$12)/12),2)</f>
        <v>0</v>
      </c>
      <c r="I31" s="39" t="n">
        <f aca="false">ROUND(AC30*(1+N('My Debts'!$D$13)/12),2)</f>
        <v>0</v>
      </c>
      <c r="J31" s="39" t="n">
        <f aca="false">ROUND(AD30*(1+N('My Debts'!$D$14)/12),2)</f>
        <v>0</v>
      </c>
      <c r="K31" s="39" t="n">
        <f aca="false">ROUND(AE30*(1+N('My Debts'!$D$15)/12),2)</f>
        <v>0</v>
      </c>
      <c r="L31" s="39" t="n">
        <f aca="false">MIN(N('My Debts'!$E$6),B31)</f>
        <v>0</v>
      </c>
      <c r="M31" s="39" t="n">
        <f aca="false">MIN(N('My Debts'!$E$7),C31)</f>
        <v>0</v>
      </c>
      <c r="N31" s="39" t="n">
        <f aca="false">MIN(N('My Debts'!$E$8),D31)</f>
        <v>0</v>
      </c>
      <c r="O31" s="39" t="n">
        <f aca="false">MIN(N('My Debts'!$E$9),E31)</f>
        <v>0</v>
      </c>
      <c r="P31" s="39" t="n">
        <f aca="false">MIN(N('My Debts'!$E$10),F31)</f>
        <v>0</v>
      </c>
      <c r="Q31" s="39" t="n">
        <f aca="false">MIN(N('My Debts'!$E$11),G31)</f>
        <v>0</v>
      </c>
      <c r="R31" s="39" t="n">
        <f aca="false">MIN(N('My Debts'!$E$12),H31)</f>
        <v>0</v>
      </c>
      <c r="S31" s="39" t="n">
        <f aca="false">MIN(N('My Debts'!$E$13),I31)</f>
        <v>0</v>
      </c>
      <c r="T31" s="39" t="n">
        <f aca="false">MIN(N('My Debts'!$E$14),J31)</f>
        <v>0</v>
      </c>
      <c r="U31" s="39" t="n">
        <f aca="false">MIN(N('My Debts'!$E$15),K31)</f>
        <v>0</v>
      </c>
      <c r="V31" s="39" t="n">
        <f aca="false">ROUND(B31-L31-MIN(B31-L31,MAX(0,$AF31-SUMPRODUCT(--($B$4:$K$4&lt;B$4),$B31:$K31-$L31:$U31))),2)</f>
        <v>0</v>
      </c>
      <c r="W31" s="39" t="n">
        <f aca="false">ROUND(C31-M31-MIN(C31-M31,MAX(0,$AF31-SUMPRODUCT(--($B$4:$K$4&lt;C$4),$B31:$K31-$L31:$U31))),2)</f>
        <v>0</v>
      </c>
      <c r="X31" s="39" t="n">
        <f aca="false">ROUND(D31-N31-MIN(D31-N31,MAX(0,$AF31-SUMPRODUCT(--($B$4:$K$4&lt;D$4),$B31:$K31-$L31:$U31))),2)</f>
        <v>0</v>
      </c>
      <c r="Y31" s="39" t="n">
        <f aca="false">ROUND(E31-O31-MIN(E31-O31,MAX(0,$AF31-SUMPRODUCT(--($B$4:$K$4&lt;E$4),$B31:$K31-$L31:$U31))),2)</f>
        <v>0</v>
      </c>
      <c r="Z31" s="39" t="n">
        <f aca="false">ROUND(F31-P31-MIN(F31-P31,MAX(0,$AF31-SUMPRODUCT(--($B$4:$K$4&lt;F$4),$B31:$K31-$L31:$U31))),2)</f>
        <v>0</v>
      </c>
      <c r="AA31" s="39" t="n">
        <f aca="false">ROUND(G31-Q31-MIN(G31-Q31,MAX(0,$AF31-SUMPRODUCT(--($B$4:$K$4&lt;G$4),$B31:$K31-$L31:$U31))),2)</f>
        <v>0</v>
      </c>
      <c r="AB31" s="39" t="n">
        <f aca="false">ROUND(H31-R31-MIN(H31-R31,MAX(0,$AF31-SUMPRODUCT(--($B$4:$K$4&lt;H$4),$B31:$K31-$L31:$U31))),2)</f>
        <v>0</v>
      </c>
      <c r="AC31" s="39" t="n">
        <f aca="false">ROUND(I31-S31-MIN(I31-S31,MAX(0,$AF31-SUMPRODUCT(--($B$4:$K$4&lt;I$4),$B31:$K31-$L31:$U31))),2)</f>
        <v>0</v>
      </c>
      <c r="AD31" s="39" t="n">
        <f aca="false">ROUND(J31-T31-MIN(J31-T31,MAX(0,$AF31-SUMPRODUCT(--($B$4:$K$4&lt;J$4),$B31:$K31-$L31:$U31))),2)</f>
        <v>0</v>
      </c>
      <c r="AE31" s="39" t="n">
        <f aca="false">ROUND(K31-U31-MIN(K31-U31,MAX(0,$AF31-SUMPRODUCT(--($B$4:$K$4&lt;K$4),$B31:$K31-$L31:$U31))),2)</f>
        <v>0</v>
      </c>
      <c r="AF31" s="39" t="n">
        <f aca="false">MAX(0,'Start Here'!$C$5-SUM($L31:$U31))</f>
        <v>1200</v>
      </c>
      <c r="AG31" s="39" t="n">
        <f aca="false">SUM(V31:AE31)</f>
        <v>0</v>
      </c>
      <c r="AH31" s="39" t="n">
        <f aca="false">SUM(B31:K31)-AG30</f>
        <v>0</v>
      </c>
    </row>
    <row r="32" customFormat="false" ht="15" hidden="false" customHeight="false" outlineLevel="0" collapsed="false">
      <c r="A32" s="40" t="n">
        <f aca="false">DATE(YEAR('Start Here'!$C$6),MONTH('Start Here'!$C$6)+25,1)</f>
        <v>47058</v>
      </c>
      <c r="B32" s="39" t="n">
        <f aca="false">ROUND(V31*(1+N('My Debts'!$D$6)/12),2)</f>
        <v>0</v>
      </c>
      <c r="C32" s="39" t="n">
        <f aca="false">ROUND(W31*(1+N('My Debts'!$D$7)/12),2)</f>
        <v>0</v>
      </c>
      <c r="D32" s="39" t="n">
        <f aca="false">ROUND(X31*(1+N('My Debts'!$D$8)/12),2)</f>
        <v>0</v>
      </c>
      <c r="E32" s="39" t="n">
        <f aca="false">ROUND(Y31*(1+N('My Debts'!$D$9)/12),2)</f>
        <v>0</v>
      </c>
      <c r="F32" s="39" t="n">
        <f aca="false">ROUND(Z31*(1+N('My Debts'!$D$10)/12),2)</f>
        <v>0</v>
      </c>
      <c r="G32" s="39" t="n">
        <f aca="false">ROUND(AA31*(1+N('My Debts'!$D$11)/12),2)</f>
        <v>0</v>
      </c>
      <c r="H32" s="39" t="n">
        <f aca="false">ROUND(AB31*(1+N('My Debts'!$D$12)/12),2)</f>
        <v>0</v>
      </c>
      <c r="I32" s="39" t="n">
        <f aca="false">ROUND(AC31*(1+N('My Debts'!$D$13)/12),2)</f>
        <v>0</v>
      </c>
      <c r="J32" s="39" t="n">
        <f aca="false">ROUND(AD31*(1+N('My Debts'!$D$14)/12),2)</f>
        <v>0</v>
      </c>
      <c r="K32" s="39" t="n">
        <f aca="false">ROUND(AE31*(1+N('My Debts'!$D$15)/12),2)</f>
        <v>0</v>
      </c>
      <c r="L32" s="39" t="n">
        <f aca="false">MIN(N('My Debts'!$E$6),B32)</f>
        <v>0</v>
      </c>
      <c r="M32" s="39" t="n">
        <f aca="false">MIN(N('My Debts'!$E$7),C32)</f>
        <v>0</v>
      </c>
      <c r="N32" s="39" t="n">
        <f aca="false">MIN(N('My Debts'!$E$8),D32)</f>
        <v>0</v>
      </c>
      <c r="O32" s="39" t="n">
        <f aca="false">MIN(N('My Debts'!$E$9),E32)</f>
        <v>0</v>
      </c>
      <c r="P32" s="39" t="n">
        <f aca="false">MIN(N('My Debts'!$E$10),F32)</f>
        <v>0</v>
      </c>
      <c r="Q32" s="39" t="n">
        <f aca="false">MIN(N('My Debts'!$E$11),G32)</f>
        <v>0</v>
      </c>
      <c r="R32" s="39" t="n">
        <f aca="false">MIN(N('My Debts'!$E$12),H32)</f>
        <v>0</v>
      </c>
      <c r="S32" s="39" t="n">
        <f aca="false">MIN(N('My Debts'!$E$13),I32)</f>
        <v>0</v>
      </c>
      <c r="T32" s="39" t="n">
        <f aca="false">MIN(N('My Debts'!$E$14),J32)</f>
        <v>0</v>
      </c>
      <c r="U32" s="39" t="n">
        <f aca="false">MIN(N('My Debts'!$E$15),K32)</f>
        <v>0</v>
      </c>
      <c r="V32" s="39" t="n">
        <f aca="false">ROUND(B32-L32-MIN(B32-L32,MAX(0,$AF32-SUMPRODUCT(--($B$4:$K$4&lt;B$4),$B32:$K32-$L32:$U32))),2)</f>
        <v>0</v>
      </c>
      <c r="W32" s="39" t="n">
        <f aca="false">ROUND(C32-M32-MIN(C32-M32,MAX(0,$AF32-SUMPRODUCT(--($B$4:$K$4&lt;C$4),$B32:$K32-$L32:$U32))),2)</f>
        <v>0</v>
      </c>
      <c r="X32" s="39" t="n">
        <f aca="false">ROUND(D32-N32-MIN(D32-N32,MAX(0,$AF32-SUMPRODUCT(--($B$4:$K$4&lt;D$4),$B32:$K32-$L32:$U32))),2)</f>
        <v>0</v>
      </c>
      <c r="Y32" s="39" t="n">
        <f aca="false">ROUND(E32-O32-MIN(E32-O32,MAX(0,$AF32-SUMPRODUCT(--($B$4:$K$4&lt;E$4),$B32:$K32-$L32:$U32))),2)</f>
        <v>0</v>
      </c>
      <c r="Z32" s="39" t="n">
        <f aca="false">ROUND(F32-P32-MIN(F32-P32,MAX(0,$AF32-SUMPRODUCT(--($B$4:$K$4&lt;F$4),$B32:$K32-$L32:$U32))),2)</f>
        <v>0</v>
      </c>
      <c r="AA32" s="39" t="n">
        <f aca="false">ROUND(G32-Q32-MIN(G32-Q32,MAX(0,$AF32-SUMPRODUCT(--($B$4:$K$4&lt;G$4),$B32:$K32-$L32:$U32))),2)</f>
        <v>0</v>
      </c>
      <c r="AB32" s="39" t="n">
        <f aca="false">ROUND(H32-R32-MIN(H32-R32,MAX(0,$AF32-SUMPRODUCT(--($B$4:$K$4&lt;H$4),$B32:$K32-$L32:$U32))),2)</f>
        <v>0</v>
      </c>
      <c r="AC32" s="39" t="n">
        <f aca="false">ROUND(I32-S32-MIN(I32-S32,MAX(0,$AF32-SUMPRODUCT(--($B$4:$K$4&lt;I$4),$B32:$K32-$L32:$U32))),2)</f>
        <v>0</v>
      </c>
      <c r="AD32" s="39" t="n">
        <f aca="false">ROUND(J32-T32-MIN(J32-T32,MAX(0,$AF32-SUMPRODUCT(--($B$4:$K$4&lt;J$4),$B32:$K32-$L32:$U32))),2)</f>
        <v>0</v>
      </c>
      <c r="AE32" s="39" t="n">
        <f aca="false">ROUND(K32-U32-MIN(K32-U32,MAX(0,$AF32-SUMPRODUCT(--($B$4:$K$4&lt;K$4),$B32:$K32-$L32:$U32))),2)</f>
        <v>0</v>
      </c>
      <c r="AF32" s="39" t="n">
        <f aca="false">MAX(0,'Start Here'!$C$5-SUM($L32:$U32))</f>
        <v>1200</v>
      </c>
      <c r="AG32" s="39" t="n">
        <f aca="false">SUM(V32:AE32)</f>
        <v>0</v>
      </c>
      <c r="AH32" s="39" t="n">
        <f aca="false">SUM(B32:K32)-AG31</f>
        <v>0</v>
      </c>
    </row>
    <row r="33" customFormat="false" ht="15" hidden="false" customHeight="false" outlineLevel="0" collapsed="false">
      <c r="A33" s="40" t="n">
        <f aca="false">DATE(YEAR('Start Here'!$C$6),MONTH('Start Here'!$C$6)+26,1)</f>
        <v>47088</v>
      </c>
      <c r="B33" s="39" t="n">
        <f aca="false">ROUND(V32*(1+N('My Debts'!$D$6)/12),2)</f>
        <v>0</v>
      </c>
      <c r="C33" s="39" t="n">
        <f aca="false">ROUND(W32*(1+N('My Debts'!$D$7)/12),2)</f>
        <v>0</v>
      </c>
      <c r="D33" s="39" t="n">
        <f aca="false">ROUND(X32*(1+N('My Debts'!$D$8)/12),2)</f>
        <v>0</v>
      </c>
      <c r="E33" s="39" t="n">
        <f aca="false">ROUND(Y32*(1+N('My Debts'!$D$9)/12),2)</f>
        <v>0</v>
      </c>
      <c r="F33" s="39" t="n">
        <f aca="false">ROUND(Z32*(1+N('My Debts'!$D$10)/12),2)</f>
        <v>0</v>
      </c>
      <c r="G33" s="39" t="n">
        <f aca="false">ROUND(AA32*(1+N('My Debts'!$D$11)/12),2)</f>
        <v>0</v>
      </c>
      <c r="H33" s="39" t="n">
        <f aca="false">ROUND(AB32*(1+N('My Debts'!$D$12)/12),2)</f>
        <v>0</v>
      </c>
      <c r="I33" s="39" t="n">
        <f aca="false">ROUND(AC32*(1+N('My Debts'!$D$13)/12),2)</f>
        <v>0</v>
      </c>
      <c r="J33" s="39" t="n">
        <f aca="false">ROUND(AD32*(1+N('My Debts'!$D$14)/12),2)</f>
        <v>0</v>
      </c>
      <c r="K33" s="39" t="n">
        <f aca="false">ROUND(AE32*(1+N('My Debts'!$D$15)/12),2)</f>
        <v>0</v>
      </c>
      <c r="L33" s="39" t="n">
        <f aca="false">MIN(N('My Debts'!$E$6),B33)</f>
        <v>0</v>
      </c>
      <c r="M33" s="39" t="n">
        <f aca="false">MIN(N('My Debts'!$E$7),C33)</f>
        <v>0</v>
      </c>
      <c r="N33" s="39" t="n">
        <f aca="false">MIN(N('My Debts'!$E$8),D33)</f>
        <v>0</v>
      </c>
      <c r="O33" s="39" t="n">
        <f aca="false">MIN(N('My Debts'!$E$9),E33)</f>
        <v>0</v>
      </c>
      <c r="P33" s="39" t="n">
        <f aca="false">MIN(N('My Debts'!$E$10),F33)</f>
        <v>0</v>
      </c>
      <c r="Q33" s="39" t="n">
        <f aca="false">MIN(N('My Debts'!$E$11),G33)</f>
        <v>0</v>
      </c>
      <c r="R33" s="39" t="n">
        <f aca="false">MIN(N('My Debts'!$E$12),H33)</f>
        <v>0</v>
      </c>
      <c r="S33" s="39" t="n">
        <f aca="false">MIN(N('My Debts'!$E$13),I33)</f>
        <v>0</v>
      </c>
      <c r="T33" s="39" t="n">
        <f aca="false">MIN(N('My Debts'!$E$14),J33)</f>
        <v>0</v>
      </c>
      <c r="U33" s="39" t="n">
        <f aca="false">MIN(N('My Debts'!$E$15),K33)</f>
        <v>0</v>
      </c>
      <c r="V33" s="39" t="n">
        <f aca="false">ROUND(B33-L33-MIN(B33-L33,MAX(0,$AF33-SUMPRODUCT(--($B$4:$K$4&lt;B$4),$B33:$K33-$L33:$U33))),2)</f>
        <v>0</v>
      </c>
      <c r="W33" s="39" t="n">
        <f aca="false">ROUND(C33-M33-MIN(C33-M33,MAX(0,$AF33-SUMPRODUCT(--($B$4:$K$4&lt;C$4),$B33:$K33-$L33:$U33))),2)</f>
        <v>0</v>
      </c>
      <c r="X33" s="39" t="n">
        <f aca="false">ROUND(D33-N33-MIN(D33-N33,MAX(0,$AF33-SUMPRODUCT(--($B$4:$K$4&lt;D$4),$B33:$K33-$L33:$U33))),2)</f>
        <v>0</v>
      </c>
      <c r="Y33" s="39" t="n">
        <f aca="false">ROUND(E33-O33-MIN(E33-O33,MAX(0,$AF33-SUMPRODUCT(--($B$4:$K$4&lt;E$4),$B33:$K33-$L33:$U33))),2)</f>
        <v>0</v>
      </c>
      <c r="Z33" s="39" t="n">
        <f aca="false">ROUND(F33-P33-MIN(F33-P33,MAX(0,$AF33-SUMPRODUCT(--($B$4:$K$4&lt;F$4),$B33:$K33-$L33:$U33))),2)</f>
        <v>0</v>
      </c>
      <c r="AA33" s="39" t="n">
        <f aca="false">ROUND(G33-Q33-MIN(G33-Q33,MAX(0,$AF33-SUMPRODUCT(--($B$4:$K$4&lt;G$4),$B33:$K33-$L33:$U33))),2)</f>
        <v>0</v>
      </c>
      <c r="AB33" s="39" t="n">
        <f aca="false">ROUND(H33-R33-MIN(H33-R33,MAX(0,$AF33-SUMPRODUCT(--($B$4:$K$4&lt;H$4),$B33:$K33-$L33:$U33))),2)</f>
        <v>0</v>
      </c>
      <c r="AC33" s="39" t="n">
        <f aca="false">ROUND(I33-S33-MIN(I33-S33,MAX(0,$AF33-SUMPRODUCT(--($B$4:$K$4&lt;I$4),$B33:$K33-$L33:$U33))),2)</f>
        <v>0</v>
      </c>
      <c r="AD33" s="39" t="n">
        <f aca="false">ROUND(J33-T33-MIN(J33-T33,MAX(0,$AF33-SUMPRODUCT(--($B$4:$K$4&lt;J$4),$B33:$K33-$L33:$U33))),2)</f>
        <v>0</v>
      </c>
      <c r="AE33" s="39" t="n">
        <f aca="false">ROUND(K33-U33-MIN(K33-U33,MAX(0,$AF33-SUMPRODUCT(--($B$4:$K$4&lt;K$4),$B33:$K33-$L33:$U33))),2)</f>
        <v>0</v>
      </c>
      <c r="AF33" s="39" t="n">
        <f aca="false">MAX(0,'Start Here'!$C$5-SUM($L33:$U33))</f>
        <v>1200</v>
      </c>
      <c r="AG33" s="39" t="n">
        <f aca="false">SUM(V33:AE33)</f>
        <v>0</v>
      </c>
      <c r="AH33" s="39" t="n">
        <f aca="false">SUM(B33:K33)-AG32</f>
        <v>0</v>
      </c>
    </row>
    <row r="34" customFormat="false" ht="15" hidden="false" customHeight="false" outlineLevel="0" collapsed="false">
      <c r="A34" s="40" t="n">
        <f aca="false">DATE(YEAR('Start Here'!$C$6),MONTH('Start Here'!$C$6)+27,1)</f>
        <v>47119</v>
      </c>
      <c r="B34" s="39" t="n">
        <f aca="false">ROUND(V33*(1+N('My Debts'!$D$6)/12),2)</f>
        <v>0</v>
      </c>
      <c r="C34" s="39" t="n">
        <f aca="false">ROUND(W33*(1+N('My Debts'!$D$7)/12),2)</f>
        <v>0</v>
      </c>
      <c r="D34" s="39" t="n">
        <f aca="false">ROUND(X33*(1+N('My Debts'!$D$8)/12),2)</f>
        <v>0</v>
      </c>
      <c r="E34" s="39" t="n">
        <f aca="false">ROUND(Y33*(1+N('My Debts'!$D$9)/12),2)</f>
        <v>0</v>
      </c>
      <c r="F34" s="39" t="n">
        <f aca="false">ROUND(Z33*(1+N('My Debts'!$D$10)/12),2)</f>
        <v>0</v>
      </c>
      <c r="G34" s="39" t="n">
        <f aca="false">ROUND(AA33*(1+N('My Debts'!$D$11)/12),2)</f>
        <v>0</v>
      </c>
      <c r="H34" s="39" t="n">
        <f aca="false">ROUND(AB33*(1+N('My Debts'!$D$12)/12),2)</f>
        <v>0</v>
      </c>
      <c r="I34" s="39" t="n">
        <f aca="false">ROUND(AC33*(1+N('My Debts'!$D$13)/12),2)</f>
        <v>0</v>
      </c>
      <c r="J34" s="39" t="n">
        <f aca="false">ROUND(AD33*(1+N('My Debts'!$D$14)/12),2)</f>
        <v>0</v>
      </c>
      <c r="K34" s="39" t="n">
        <f aca="false">ROUND(AE33*(1+N('My Debts'!$D$15)/12),2)</f>
        <v>0</v>
      </c>
      <c r="L34" s="39" t="n">
        <f aca="false">MIN(N('My Debts'!$E$6),B34)</f>
        <v>0</v>
      </c>
      <c r="M34" s="39" t="n">
        <f aca="false">MIN(N('My Debts'!$E$7),C34)</f>
        <v>0</v>
      </c>
      <c r="N34" s="39" t="n">
        <f aca="false">MIN(N('My Debts'!$E$8),D34)</f>
        <v>0</v>
      </c>
      <c r="O34" s="39" t="n">
        <f aca="false">MIN(N('My Debts'!$E$9),E34)</f>
        <v>0</v>
      </c>
      <c r="P34" s="39" t="n">
        <f aca="false">MIN(N('My Debts'!$E$10),F34)</f>
        <v>0</v>
      </c>
      <c r="Q34" s="39" t="n">
        <f aca="false">MIN(N('My Debts'!$E$11),G34)</f>
        <v>0</v>
      </c>
      <c r="R34" s="39" t="n">
        <f aca="false">MIN(N('My Debts'!$E$12),H34)</f>
        <v>0</v>
      </c>
      <c r="S34" s="39" t="n">
        <f aca="false">MIN(N('My Debts'!$E$13),I34)</f>
        <v>0</v>
      </c>
      <c r="T34" s="39" t="n">
        <f aca="false">MIN(N('My Debts'!$E$14),J34)</f>
        <v>0</v>
      </c>
      <c r="U34" s="39" t="n">
        <f aca="false">MIN(N('My Debts'!$E$15),K34)</f>
        <v>0</v>
      </c>
      <c r="V34" s="39" t="n">
        <f aca="false">ROUND(B34-L34-MIN(B34-L34,MAX(0,$AF34-SUMPRODUCT(--($B$4:$K$4&lt;B$4),$B34:$K34-$L34:$U34))),2)</f>
        <v>0</v>
      </c>
      <c r="W34" s="39" t="n">
        <f aca="false">ROUND(C34-M34-MIN(C34-M34,MAX(0,$AF34-SUMPRODUCT(--($B$4:$K$4&lt;C$4),$B34:$K34-$L34:$U34))),2)</f>
        <v>0</v>
      </c>
      <c r="X34" s="39" t="n">
        <f aca="false">ROUND(D34-N34-MIN(D34-N34,MAX(0,$AF34-SUMPRODUCT(--($B$4:$K$4&lt;D$4),$B34:$K34-$L34:$U34))),2)</f>
        <v>0</v>
      </c>
      <c r="Y34" s="39" t="n">
        <f aca="false">ROUND(E34-O34-MIN(E34-O34,MAX(0,$AF34-SUMPRODUCT(--($B$4:$K$4&lt;E$4),$B34:$K34-$L34:$U34))),2)</f>
        <v>0</v>
      </c>
      <c r="Z34" s="39" t="n">
        <f aca="false">ROUND(F34-P34-MIN(F34-P34,MAX(0,$AF34-SUMPRODUCT(--($B$4:$K$4&lt;F$4),$B34:$K34-$L34:$U34))),2)</f>
        <v>0</v>
      </c>
      <c r="AA34" s="39" t="n">
        <f aca="false">ROUND(G34-Q34-MIN(G34-Q34,MAX(0,$AF34-SUMPRODUCT(--($B$4:$K$4&lt;G$4),$B34:$K34-$L34:$U34))),2)</f>
        <v>0</v>
      </c>
      <c r="AB34" s="39" t="n">
        <f aca="false">ROUND(H34-R34-MIN(H34-R34,MAX(0,$AF34-SUMPRODUCT(--($B$4:$K$4&lt;H$4),$B34:$K34-$L34:$U34))),2)</f>
        <v>0</v>
      </c>
      <c r="AC34" s="39" t="n">
        <f aca="false">ROUND(I34-S34-MIN(I34-S34,MAX(0,$AF34-SUMPRODUCT(--($B$4:$K$4&lt;I$4),$B34:$K34-$L34:$U34))),2)</f>
        <v>0</v>
      </c>
      <c r="AD34" s="39" t="n">
        <f aca="false">ROUND(J34-T34-MIN(J34-T34,MAX(0,$AF34-SUMPRODUCT(--($B$4:$K$4&lt;J$4),$B34:$K34-$L34:$U34))),2)</f>
        <v>0</v>
      </c>
      <c r="AE34" s="39" t="n">
        <f aca="false">ROUND(K34-U34-MIN(K34-U34,MAX(0,$AF34-SUMPRODUCT(--($B$4:$K$4&lt;K$4),$B34:$K34-$L34:$U34))),2)</f>
        <v>0</v>
      </c>
      <c r="AF34" s="39" t="n">
        <f aca="false">MAX(0,'Start Here'!$C$5-SUM($L34:$U34))</f>
        <v>1200</v>
      </c>
      <c r="AG34" s="39" t="n">
        <f aca="false">SUM(V34:AE34)</f>
        <v>0</v>
      </c>
      <c r="AH34" s="39" t="n">
        <f aca="false">SUM(B34:K34)-AG33</f>
        <v>0</v>
      </c>
    </row>
    <row r="35" customFormat="false" ht="15" hidden="false" customHeight="false" outlineLevel="0" collapsed="false">
      <c r="A35" s="40" t="n">
        <f aca="false">DATE(YEAR('Start Here'!$C$6),MONTH('Start Here'!$C$6)+28,1)</f>
        <v>47150</v>
      </c>
      <c r="B35" s="39" t="n">
        <f aca="false">ROUND(V34*(1+N('My Debts'!$D$6)/12),2)</f>
        <v>0</v>
      </c>
      <c r="C35" s="39" t="n">
        <f aca="false">ROUND(W34*(1+N('My Debts'!$D$7)/12),2)</f>
        <v>0</v>
      </c>
      <c r="D35" s="39" t="n">
        <f aca="false">ROUND(X34*(1+N('My Debts'!$D$8)/12),2)</f>
        <v>0</v>
      </c>
      <c r="E35" s="39" t="n">
        <f aca="false">ROUND(Y34*(1+N('My Debts'!$D$9)/12),2)</f>
        <v>0</v>
      </c>
      <c r="F35" s="39" t="n">
        <f aca="false">ROUND(Z34*(1+N('My Debts'!$D$10)/12),2)</f>
        <v>0</v>
      </c>
      <c r="G35" s="39" t="n">
        <f aca="false">ROUND(AA34*(1+N('My Debts'!$D$11)/12),2)</f>
        <v>0</v>
      </c>
      <c r="H35" s="39" t="n">
        <f aca="false">ROUND(AB34*(1+N('My Debts'!$D$12)/12),2)</f>
        <v>0</v>
      </c>
      <c r="I35" s="39" t="n">
        <f aca="false">ROUND(AC34*(1+N('My Debts'!$D$13)/12),2)</f>
        <v>0</v>
      </c>
      <c r="J35" s="39" t="n">
        <f aca="false">ROUND(AD34*(1+N('My Debts'!$D$14)/12),2)</f>
        <v>0</v>
      </c>
      <c r="K35" s="39" t="n">
        <f aca="false">ROUND(AE34*(1+N('My Debts'!$D$15)/12),2)</f>
        <v>0</v>
      </c>
      <c r="L35" s="39" t="n">
        <f aca="false">MIN(N('My Debts'!$E$6),B35)</f>
        <v>0</v>
      </c>
      <c r="M35" s="39" t="n">
        <f aca="false">MIN(N('My Debts'!$E$7),C35)</f>
        <v>0</v>
      </c>
      <c r="N35" s="39" t="n">
        <f aca="false">MIN(N('My Debts'!$E$8),D35)</f>
        <v>0</v>
      </c>
      <c r="O35" s="39" t="n">
        <f aca="false">MIN(N('My Debts'!$E$9),E35)</f>
        <v>0</v>
      </c>
      <c r="P35" s="39" t="n">
        <f aca="false">MIN(N('My Debts'!$E$10),F35)</f>
        <v>0</v>
      </c>
      <c r="Q35" s="39" t="n">
        <f aca="false">MIN(N('My Debts'!$E$11),G35)</f>
        <v>0</v>
      </c>
      <c r="R35" s="39" t="n">
        <f aca="false">MIN(N('My Debts'!$E$12),H35)</f>
        <v>0</v>
      </c>
      <c r="S35" s="39" t="n">
        <f aca="false">MIN(N('My Debts'!$E$13),I35)</f>
        <v>0</v>
      </c>
      <c r="T35" s="39" t="n">
        <f aca="false">MIN(N('My Debts'!$E$14),J35)</f>
        <v>0</v>
      </c>
      <c r="U35" s="39" t="n">
        <f aca="false">MIN(N('My Debts'!$E$15),K35)</f>
        <v>0</v>
      </c>
      <c r="V35" s="39" t="n">
        <f aca="false">ROUND(B35-L35-MIN(B35-L35,MAX(0,$AF35-SUMPRODUCT(--($B$4:$K$4&lt;B$4),$B35:$K35-$L35:$U35))),2)</f>
        <v>0</v>
      </c>
      <c r="W35" s="39" t="n">
        <f aca="false">ROUND(C35-M35-MIN(C35-M35,MAX(0,$AF35-SUMPRODUCT(--($B$4:$K$4&lt;C$4),$B35:$K35-$L35:$U35))),2)</f>
        <v>0</v>
      </c>
      <c r="X35" s="39" t="n">
        <f aca="false">ROUND(D35-N35-MIN(D35-N35,MAX(0,$AF35-SUMPRODUCT(--($B$4:$K$4&lt;D$4),$B35:$K35-$L35:$U35))),2)</f>
        <v>0</v>
      </c>
      <c r="Y35" s="39" t="n">
        <f aca="false">ROUND(E35-O35-MIN(E35-O35,MAX(0,$AF35-SUMPRODUCT(--($B$4:$K$4&lt;E$4),$B35:$K35-$L35:$U35))),2)</f>
        <v>0</v>
      </c>
      <c r="Z35" s="39" t="n">
        <f aca="false">ROUND(F35-P35-MIN(F35-P35,MAX(0,$AF35-SUMPRODUCT(--($B$4:$K$4&lt;F$4),$B35:$K35-$L35:$U35))),2)</f>
        <v>0</v>
      </c>
      <c r="AA35" s="39" t="n">
        <f aca="false">ROUND(G35-Q35-MIN(G35-Q35,MAX(0,$AF35-SUMPRODUCT(--($B$4:$K$4&lt;G$4),$B35:$K35-$L35:$U35))),2)</f>
        <v>0</v>
      </c>
      <c r="AB35" s="39" t="n">
        <f aca="false">ROUND(H35-R35-MIN(H35-R35,MAX(0,$AF35-SUMPRODUCT(--($B$4:$K$4&lt;H$4),$B35:$K35-$L35:$U35))),2)</f>
        <v>0</v>
      </c>
      <c r="AC35" s="39" t="n">
        <f aca="false">ROUND(I35-S35-MIN(I35-S35,MAX(0,$AF35-SUMPRODUCT(--($B$4:$K$4&lt;I$4),$B35:$K35-$L35:$U35))),2)</f>
        <v>0</v>
      </c>
      <c r="AD35" s="39" t="n">
        <f aca="false">ROUND(J35-T35-MIN(J35-T35,MAX(0,$AF35-SUMPRODUCT(--($B$4:$K$4&lt;J$4),$B35:$K35-$L35:$U35))),2)</f>
        <v>0</v>
      </c>
      <c r="AE35" s="39" t="n">
        <f aca="false">ROUND(K35-U35-MIN(K35-U35,MAX(0,$AF35-SUMPRODUCT(--($B$4:$K$4&lt;K$4),$B35:$K35-$L35:$U35))),2)</f>
        <v>0</v>
      </c>
      <c r="AF35" s="39" t="n">
        <f aca="false">MAX(0,'Start Here'!$C$5-SUM($L35:$U35))</f>
        <v>1200</v>
      </c>
      <c r="AG35" s="39" t="n">
        <f aca="false">SUM(V35:AE35)</f>
        <v>0</v>
      </c>
      <c r="AH35" s="39" t="n">
        <f aca="false">SUM(B35:K35)-AG34</f>
        <v>0</v>
      </c>
    </row>
    <row r="36" customFormat="false" ht="15" hidden="false" customHeight="false" outlineLevel="0" collapsed="false">
      <c r="A36" s="40" t="n">
        <f aca="false">DATE(YEAR('Start Here'!$C$6),MONTH('Start Here'!$C$6)+29,1)</f>
        <v>47178</v>
      </c>
      <c r="B36" s="39" t="n">
        <f aca="false">ROUND(V35*(1+N('My Debts'!$D$6)/12),2)</f>
        <v>0</v>
      </c>
      <c r="C36" s="39" t="n">
        <f aca="false">ROUND(W35*(1+N('My Debts'!$D$7)/12),2)</f>
        <v>0</v>
      </c>
      <c r="D36" s="39" t="n">
        <f aca="false">ROUND(X35*(1+N('My Debts'!$D$8)/12),2)</f>
        <v>0</v>
      </c>
      <c r="E36" s="39" t="n">
        <f aca="false">ROUND(Y35*(1+N('My Debts'!$D$9)/12),2)</f>
        <v>0</v>
      </c>
      <c r="F36" s="39" t="n">
        <f aca="false">ROUND(Z35*(1+N('My Debts'!$D$10)/12),2)</f>
        <v>0</v>
      </c>
      <c r="G36" s="39" t="n">
        <f aca="false">ROUND(AA35*(1+N('My Debts'!$D$11)/12),2)</f>
        <v>0</v>
      </c>
      <c r="H36" s="39" t="n">
        <f aca="false">ROUND(AB35*(1+N('My Debts'!$D$12)/12),2)</f>
        <v>0</v>
      </c>
      <c r="I36" s="39" t="n">
        <f aca="false">ROUND(AC35*(1+N('My Debts'!$D$13)/12),2)</f>
        <v>0</v>
      </c>
      <c r="J36" s="39" t="n">
        <f aca="false">ROUND(AD35*(1+N('My Debts'!$D$14)/12),2)</f>
        <v>0</v>
      </c>
      <c r="K36" s="39" t="n">
        <f aca="false">ROUND(AE35*(1+N('My Debts'!$D$15)/12),2)</f>
        <v>0</v>
      </c>
      <c r="L36" s="39" t="n">
        <f aca="false">MIN(N('My Debts'!$E$6),B36)</f>
        <v>0</v>
      </c>
      <c r="M36" s="39" t="n">
        <f aca="false">MIN(N('My Debts'!$E$7),C36)</f>
        <v>0</v>
      </c>
      <c r="N36" s="39" t="n">
        <f aca="false">MIN(N('My Debts'!$E$8),D36)</f>
        <v>0</v>
      </c>
      <c r="O36" s="39" t="n">
        <f aca="false">MIN(N('My Debts'!$E$9),E36)</f>
        <v>0</v>
      </c>
      <c r="P36" s="39" t="n">
        <f aca="false">MIN(N('My Debts'!$E$10),F36)</f>
        <v>0</v>
      </c>
      <c r="Q36" s="39" t="n">
        <f aca="false">MIN(N('My Debts'!$E$11),G36)</f>
        <v>0</v>
      </c>
      <c r="R36" s="39" t="n">
        <f aca="false">MIN(N('My Debts'!$E$12),H36)</f>
        <v>0</v>
      </c>
      <c r="S36" s="39" t="n">
        <f aca="false">MIN(N('My Debts'!$E$13),I36)</f>
        <v>0</v>
      </c>
      <c r="T36" s="39" t="n">
        <f aca="false">MIN(N('My Debts'!$E$14),J36)</f>
        <v>0</v>
      </c>
      <c r="U36" s="39" t="n">
        <f aca="false">MIN(N('My Debts'!$E$15),K36)</f>
        <v>0</v>
      </c>
      <c r="V36" s="39" t="n">
        <f aca="false">ROUND(B36-L36-MIN(B36-L36,MAX(0,$AF36-SUMPRODUCT(--($B$4:$K$4&lt;B$4),$B36:$K36-$L36:$U36))),2)</f>
        <v>0</v>
      </c>
      <c r="W36" s="39" t="n">
        <f aca="false">ROUND(C36-M36-MIN(C36-M36,MAX(0,$AF36-SUMPRODUCT(--($B$4:$K$4&lt;C$4),$B36:$K36-$L36:$U36))),2)</f>
        <v>0</v>
      </c>
      <c r="X36" s="39" t="n">
        <f aca="false">ROUND(D36-N36-MIN(D36-N36,MAX(0,$AF36-SUMPRODUCT(--($B$4:$K$4&lt;D$4),$B36:$K36-$L36:$U36))),2)</f>
        <v>0</v>
      </c>
      <c r="Y36" s="39" t="n">
        <f aca="false">ROUND(E36-O36-MIN(E36-O36,MAX(0,$AF36-SUMPRODUCT(--($B$4:$K$4&lt;E$4),$B36:$K36-$L36:$U36))),2)</f>
        <v>0</v>
      </c>
      <c r="Z36" s="39" t="n">
        <f aca="false">ROUND(F36-P36-MIN(F36-P36,MAX(0,$AF36-SUMPRODUCT(--($B$4:$K$4&lt;F$4),$B36:$K36-$L36:$U36))),2)</f>
        <v>0</v>
      </c>
      <c r="AA36" s="39" t="n">
        <f aca="false">ROUND(G36-Q36-MIN(G36-Q36,MAX(0,$AF36-SUMPRODUCT(--($B$4:$K$4&lt;G$4),$B36:$K36-$L36:$U36))),2)</f>
        <v>0</v>
      </c>
      <c r="AB36" s="39" t="n">
        <f aca="false">ROUND(H36-R36-MIN(H36-R36,MAX(0,$AF36-SUMPRODUCT(--($B$4:$K$4&lt;H$4),$B36:$K36-$L36:$U36))),2)</f>
        <v>0</v>
      </c>
      <c r="AC36" s="39" t="n">
        <f aca="false">ROUND(I36-S36-MIN(I36-S36,MAX(0,$AF36-SUMPRODUCT(--($B$4:$K$4&lt;I$4),$B36:$K36-$L36:$U36))),2)</f>
        <v>0</v>
      </c>
      <c r="AD36" s="39" t="n">
        <f aca="false">ROUND(J36-T36-MIN(J36-T36,MAX(0,$AF36-SUMPRODUCT(--($B$4:$K$4&lt;J$4),$B36:$K36-$L36:$U36))),2)</f>
        <v>0</v>
      </c>
      <c r="AE36" s="39" t="n">
        <f aca="false">ROUND(K36-U36-MIN(K36-U36,MAX(0,$AF36-SUMPRODUCT(--($B$4:$K$4&lt;K$4),$B36:$K36-$L36:$U36))),2)</f>
        <v>0</v>
      </c>
      <c r="AF36" s="39" t="n">
        <f aca="false">MAX(0,'Start Here'!$C$5-SUM($L36:$U36))</f>
        <v>1200</v>
      </c>
      <c r="AG36" s="39" t="n">
        <f aca="false">SUM(V36:AE36)</f>
        <v>0</v>
      </c>
      <c r="AH36" s="39" t="n">
        <f aca="false">SUM(B36:K36)-AG35</f>
        <v>0</v>
      </c>
    </row>
    <row r="37" customFormat="false" ht="15" hidden="false" customHeight="false" outlineLevel="0" collapsed="false">
      <c r="A37" s="40" t="n">
        <f aca="false">DATE(YEAR('Start Here'!$C$6),MONTH('Start Here'!$C$6)+30,1)</f>
        <v>47209</v>
      </c>
      <c r="B37" s="39" t="n">
        <f aca="false">ROUND(V36*(1+N('My Debts'!$D$6)/12),2)</f>
        <v>0</v>
      </c>
      <c r="C37" s="39" t="n">
        <f aca="false">ROUND(W36*(1+N('My Debts'!$D$7)/12),2)</f>
        <v>0</v>
      </c>
      <c r="D37" s="39" t="n">
        <f aca="false">ROUND(X36*(1+N('My Debts'!$D$8)/12),2)</f>
        <v>0</v>
      </c>
      <c r="E37" s="39" t="n">
        <f aca="false">ROUND(Y36*(1+N('My Debts'!$D$9)/12),2)</f>
        <v>0</v>
      </c>
      <c r="F37" s="39" t="n">
        <f aca="false">ROUND(Z36*(1+N('My Debts'!$D$10)/12),2)</f>
        <v>0</v>
      </c>
      <c r="G37" s="39" t="n">
        <f aca="false">ROUND(AA36*(1+N('My Debts'!$D$11)/12),2)</f>
        <v>0</v>
      </c>
      <c r="H37" s="39" t="n">
        <f aca="false">ROUND(AB36*(1+N('My Debts'!$D$12)/12),2)</f>
        <v>0</v>
      </c>
      <c r="I37" s="39" t="n">
        <f aca="false">ROUND(AC36*(1+N('My Debts'!$D$13)/12),2)</f>
        <v>0</v>
      </c>
      <c r="J37" s="39" t="n">
        <f aca="false">ROUND(AD36*(1+N('My Debts'!$D$14)/12),2)</f>
        <v>0</v>
      </c>
      <c r="K37" s="39" t="n">
        <f aca="false">ROUND(AE36*(1+N('My Debts'!$D$15)/12),2)</f>
        <v>0</v>
      </c>
      <c r="L37" s="39" t="n">
        <f aca="false">MIN(N('My Debts'!$E$6),B37)</f>
        <v>0</v>
      </c>
      <c r="M37" s="39" t="n">
        <f aca="false">MIN(N('My Debts'!$E$7),C37)</f>
        <v>0</v>
      </c>
      <c r="N37" s="39" t="n">
        <f aca="false">MIN(N('My Debts'!$E$8),D37)</f>
        <v>0</v>
      </c>
      <c r="O37" s="39" t="n">
        <f aca="false">MIN(N('My Debts'!$E$9),E37)</f>
        <v>0</v>
      </c>
      <c r="P37" s="39" t="n">
        <f aca="false">MIN(N('My Debts'!$E$10),F37)</f>
        <v>0</v>
      </c>
      <c r="Q37" s="39" t="n">
        <f aca="false">MIN(N('My Debts'!$E$11),G37)</f>
        <v>0</v>
      </c>
      <c r="R37" s="39" t="n">
        <f aca="false">MIN(N('My Debts'!$E$12),H37)</f>
        <v>0</v>
      </c>
      <c r="S37" s="39" t="n">
        <f aca="false">MIN(N('My Debts'!$E$13),I37)</f>
        <v>0</v>
      </c>
      <c r="T37" s="39" t="n">
        <f aca="false">MIN(N('My Debts'!$E$14),J37)</f>
        <v>0</v>
      </c>
      <c r="U37" s="39" t="n">
        <f aca="false">MIN(N('My Debts'!$E$15),K37)</f>
        <v>0</v>
      </c>
      <c r="V37" s="39" t="n">
        <f aca="false">ROUND(B37-L37-MIN(B37-L37,MAX(0,$AF37-SUMPRODUCT(--($B$4:$K$4&lt;B$4),$B37:$K37-$L37:$U37))),2)</f>
        <v>0</v>
      </c>
      <c r="W37" s="39" t="n">
        <f aca="false">ROUND(C37-M37-MIN(C37-M37,MAX(0,$AF37-SUMPRODUCT(--($B$4:$K$4&lt;C$4),$B37:$K37-$L37:$U37))),2)</f>
        <v>0</v>
      </c>
      <c r="X37" s="39" t="n">
        <f aca="false">ROUND(D37-N37-MIN(D37-N37,MAX(0,$AF37-SUMPRODUCT(--($B$4:$K$4&lt;D$4),$B37:$K37-$L37:$U37))),2)</f>
        <v>0</v>
      </c>
      <c r="Y37" s="39" t="n">
        <f aca="false">ROUND(E37-O37-MIN(E37-O37,MAX(0,$AF37-SUMPRODUCT(--($B$4:$K$4&lt;E$4),$B37:$K37-$L37:$U37))),2)</f>
        <v>0</v>
      </c>
      <c r="Z37" s="39" t="n">
        <f aca="false">ROUND(F37-P37-MIN(F37-P37,MAX(0,$AF37-SUMPRODUCT(--($B$4:$K$4&lt;F$4),$B37:$K37-$L37:$U37))),2)</f>
        <v>0</v>
      </c>
      <c r="AA37" s="39" t="n">
        <f aca="false">ROUND(G37-Q37-MIN(G37-Q37,MAX(0,$AF37-SUMPRODUCT(--($B$4:$K$4&lt;G$4),$B37:$K37-$L37:$U37))),2)</f>
        <v>0</v>
      </c>
      <c r="AB37" s="39" t="n">
        <f aca="false">ROUND(H37-R37-MIN(H37-R37,MAX(0,$AF37-SUMPRODUCT(--($B$4:$K$4&lt;H$4),$B37:$K37-$L37:$U37))),2)</f>
        <v>0</v>
      </c>
      <c r="AC37" s="39" t="n">
        <f aca="false">ROUND(I37-S37-MIN(I37-S37,MAX(0,$AF37-SUMPRODUCT(--($B$4:$K$4&lt;I$4),$B37:$K37-$L37:$U37))),2)</f>
        <v>0</v>
      </c>
      <c r="AD37" s="39" t="n">
        <f aca="false">ROUND(J37-T37-MIN(J37-T37,MAX(0,$AF37-SUMPRODUCT(--($B$4:$K$4&lt;J$4),$B37:$K37-$L37:$U37))),2)</f>
        <v>0</v>
      </c>
      <c r="AE37" s="39" t="n">
        <f aca="false">ROUND(K37-U37-MIN(K37-U37,MAX(0,$AF37-SUMPRODUCT(--($B$4:$K$4&lt;K$4),$B37:$K37-$L37:$U37))),2)</f>
        <v>0</v>
      </c>
      <c r="AF37" s="39" t="n">
        <f aca="false">MAX(0,'Start Here'!$C$5-SUM($L37:$U37))</f>
        <v>1200</v>
      </c>
      <c r="AG37" s="39" t="n">
        <f aca="false">SUM(V37:AE37)</f>
        <v>0</v>
      </c>
      <c r="AH37" s="39" t="n">
        <f aca="false">SUM(B37:K37)-AG36</f>
        <v>0</v>
      </c>
    </row>
    <row r="38" customFormat="false" ht="15" hidden="false" customHeight="false" outlineLevel="0" collapsed="false">
      <c r="A38" s="40" t="n">
        <f aca="false">DATE(YEAR('Start Here'!$C$6),MONTH('Start Here'!$C$6)+31,1)</f>
        <v>47239</v>
      </c>
      <c r="B38" s="39" t="n">
        <f aca="false">ROUND(V37*(1+N('My Debts'!$D$6)/12),2)</f>
        <v>0</v>
      </c>
      <c r="C38" s="39" t="n">
        <f aca="false">ROUND(W37*(1+N('My Debts'!$D$7)/12),2)</f>
        <v>0</v>
      </c>
      <c r="D38" s="39" t="n">
        <f aca="false">ROUND(X37*(1+N('My Debts'!$D$8)/12),2)</f>
        <v>0</v>
      </c>
      <c r="E38" s="39" t="n">
        <f aca="false">ROUND(Y37*(1+N('My Debts'!$D$9)/12),2)</f>
        <v>0</v>
      </c>
      <c r="F38" s="39" t="n">
        <f aca="false">ROUND(Z37*(1+N('My Debts'!$D$10)/12),2)</f>
        <v>0</v>
      </c>
      <c r="G38" s="39" t="n">
        <f aca="false">ROUND(AA37*(1+N('My Debts'!$D$11)/12),2)</f>
        <v>0</v>
      </c>
      <c r="H38" s="39" t="n">
        <f aca="false">ROUND(AB37*(1+N('My Debts'!$D$12)/12),2)</f>
        <v>0</v>
      </c>
      <c r="I38" s="39" t="n">
        <f aca="false">ROUND(AC37*(1+N('My Debts'!$D$13)/12),2)</f>
        <v>0</v>
      </c>
      <c r="J38" s="39" t="n">
        <f aca="false">ROUND(AD37*(1+N('My Debts'!$D$14)/12),2)</f>
        <v>0</v>
      </c>
      <c r="K38" s="39" t="n">
        <f aca="false">ROUND(AE37*(1+N('My Debts'!$D$15)/12),2)</f>
        <v>0</v>
      </c>
      <c r="L38" s="39" t="n">
        <f aca="false">MIN(N('My Debts'!$E$6),B38)</f>
        <v>0</v>
      </c>
      <c r="M38" s="39" t="n">
        <f aca="false">MIN(N('My Debts'!$E$7),C38)</f>
        <v>0</v>
      </c>
      <c r="N38" s="39" t="n">
        <f aca="false">MIN(N('My Debts'!$E$8),D38)</f>
        <v>0</v>
      </c>
      <c r="O38" s="39" t="n">
        <f aca="false">MIN(N('My Debts'!$E$9),E38)</f>
        <v>0</v>
      </c>
      <c r="P38" s="39" t="n">
        <f aca="false">MIN(N('My Debts'!$E$10),F38)</f>
        <v>0</v>
      </c>
      <c r="Q38" s="39" t="n">
        <f aca="false">MIN(N('My Debts'!$E$11),G38)</f>
        <v>0</v>
      </c>
      <c r="R38" s="39" t="n">
        <f aca="false">MIN(N('My Debts'!$E$12),H38)</f>
        <v>0</v>
      </c>
      <c r="S38" s="39" t="n">
        <f aca="false">MIN(N('My Debts'!$E$13),I38)</f>
        <v>0</v>
      </c>
      <c r="T38" s="39" t="n">
        <f aca="false">MIN(N('My Debts'!$E$14),J38)</f>
        <v>0</v>
      </c>
      <c r="U38" s="39" t="n">
        <f aca="false">MIN(N('My Debts'!$E$15),K38)</f>
        <v>0</v>
      </c>
      <c r="V38" s="39" t="n">
        <f aca="false">ROUND(B38-L38-MIN(B38-L38,MAX(0,$AF38-SUMPRODUCT(--($B$4:$K$4&lt;B$4),$B38:$K38-$L38:$U38))),2)</f>
        <v>0</v>
      </c>
      <c r="W38" s="39" t="n">
        <f aca="false">ROUND(C38-M38-MIN(C38-M38,MAX(0,$AF38-SUMPRODUCT(--($B$4:$K$4&lt;C$4),$B38:$K38-$L38:$U38))),2)</f>
        <v>0</v>
      </c>
      <c r="X38" s="39" t="n">
        <f aca="false">ROUND(D38-N38-MIN(D38-N38,MAX(0,$AF38-SUMPRODUCT(--($B$4:$K$4&lt;D$4),$B38:$K38-$L38:$U38))),2)</f>
        <v>0</v>
      </c>
      <c r="Y38" s="39" t="n">
        <f aca="false">ROUND(E38-O38-MIN(E38-O38,MAX(0,$AF38-SUMPRODUCT(--($B$4:$K$4&lt;E$4),$B38:$K38-$L38:$U38))),2)</f>
        <v>0</v>
      </c>
      <c r="Z38" s="39" t="n">
        <f aca="false">ROUND(F38-P38-MIN(F38-P38,MAX(0,$AF38-SUMPRODUCT(--($B$4:$K$4&lt;F$4),$B38:$K38-$L38:$U38))),2)</f>
        <v>0</v>
      </c>
      <c r="AA38" s="39" t="n">
        <f aca="false">ROUND(G38-Q38-MIN(G38-Q38,MAX(0,$AF38-SUMPRODUCT(--($B$4:$K$4&lt;G$4),$B38:$K38-$L38:$U38))),2)</f>
        <v>0</v>
      </c>
      <c r="AB38" s="39" t="n">
        <f aca="false">ROUND(H38-R38-MIN(H38-R38,MAX(0,$AF38-SUMPRODUCT(--($B$4:$K$4&lt;H$4),$B38:$K38-$L38:$U38))),2)</f>
        <v>0</v>
      </c>
      <c r="AC38" s="39" t="n">
        <f aca="false">ROUND(I38-S38-MIN(I38-S38,MAX(0,$AF38-SUMPRODUCT(--($B$4:$K$4&lt;I$4),$B38:$K38-$L38:$U38))),2)</f>
        <v>0</v>
      </c>
      <c r="AD38" s="39" t="n">
        <f aca="false">ROUND(J38-T38-MIN(J38-T38,MAX(0,$AF38-SUMPRODUCT(--($B$4:$K$4&lt;J$4),$B38:$K38-$L38:$U38))),2)</f>
        <v>0</v>
      </c>
      <c r="AE38" s="39" t="n">
        <f aca="false">ROUND(K38-U38-MIN(K38-U38,MAX(0,$AF38-SUMPRODUCT(--($B$4:$K$4&lt;K$4),$B38:$K38-$L38:$U38))),2)</f>
        <v>0</v>
      </c>
      <c r="AF38" s="39" t="n">
        <f aca="false">MAX(0,'Start Here'!$C$5-SUM($L38:$U38))</f>
        <v>1200</v>
      </c>
      <c r="AG38" s="39" t="n">
        <f aca="false">SUM(V38:AE38)</f>
        <v>0</v>
      </c>
      <c r="AH38" s="39" t="n">
        <f aca="false">SUM(B38:K38)-AG37</f>
        <v>0</v>
      </c>
    </row>
    <row r="39" customFormat="false" ht="15" hidden="false" customHeight="false" outlineLevel="0" collapsed="false">
      <c r="A39" s="40" t="n">
        <f aca="false">DATE(YEAR('Start Here'!$C$6),MONTH('Start Here'!$C$6)+32,1)</f>
        <v>47270</v>
      </c>
      <c r="B39" s="39" t="n">
        <f aca="false">ROUND(V38*(1+N('My Debts'!$D$6)/12),2)</f>
        <v>0</v>
      </c>
      <c r="C39" s="39" t="n">
        <f aca="false">ROUND(W38*(1+N('My Debts'!$D$7)/12),2)</f>
        <v>0</v>
      </c>
      <c r="D39" s="39" t="n">
        <f aca="false">ROUND(X38*(1+N('My Debts'!$D$8)/12),2)</f>
        <v>0</v>
      </c>
      <c r="E39" s="39" t="n">
        <f aca="false">ROUND(Y38*(1+N('My Debts'!$D$9)/12),2)</f>
        <v>0</v>
      </c>
      <c r="F39" s="39" t="n">
        <f aca="false">ROUND(Z38*(1+N('My Debts'!$D$10)/12),2)</f>
        <v>0</v>
      </c>
      <c r="G39" s="39" t="n">
        <f aca="false">ROUND(AA38*(1+N('My Debts'!$D$11)/12),2)</f>
        <v>0</v>
      </c>
      <c r="H39" s="39" t="n">
        <f aca="false">ROUND(AB38*(1+N('My Debts'!$D$12)/12),2)</f>
        <v>0</v>
      </c>
      <c r="I39" s="39" t="n">
        <f aca="false">ROUND(AC38*(1+N('My Debts'!$D$13)/12),2)</f>
        <v>0</v>
      </c>
      <c r="J39" s="39" t="n">
        <f aca="false">ROUND(AD38*(1+N('My Debts'!$D$14)/12),2)</f>
        <v>0</v>
      </c>
      <c r="K39" s="39" t="n">
        <f aca="false">ROUND(AE38*(1+N('My Debts'!$D$15)/12),2)</f>
        <v>0</v>
      </c>
      <c r="L39" s="39" t="n">
        <f aca="false">MIN(N('My Debts'!$E$6),B39)</f>
        <v>0</v>
      </c>
      <c r="M39" s="39" t="n">
        <f aca="false">MIN(N('My Debts'!$E$7),C39)</f>
        <v>0</v>
      </c>
      <c r="N39" s="39" t="n">
        <f aca="false">MIN(N('My Debts'!$E$8),D39)</f>
        <v>0</v>
      </c>
      <c r="O39" s="39" t="n">
        <f aca="false">MIN(N('My Debts'!$E$9),E39)</f>
        <v>0</v>
      </c>
      <c r="P39" s="39" t="n">
        <f aca="false">MIN(N('My Debts'!$E$10),F39)</f>
        <v>0</v>
      </c>
      <c r="Q39" s="39" t="n">
        <f aca="false">MIN(N('My Debts'!$E$11),G39)</f>
        <v>0</v>
      </c>
      <c r="R39" s="39" t="n">
        <f aca="false">MIN(N('My Debts'!$E$12),H39)</f>
        <v>0</v>
      </c>
      <c r="S39" s="39" t="n">
        <f aca="false">MIN(N('My Debts'!$E$13),I39)</f>
        <v>0</v>
      </c>
      <c r="T39" s="39" t="n">
        <f aca="false">MIN(N('My Debts'!$E$14),J39)</f>
        <v>0</v>
      </c>
      <c r="U39" s="39" t="n">
        <f aca="false">MIN(N('My Debts'!$E$15),K39)</f>
        <v>0</v>
      </c>
      <c r="V39" s="39" t="n">
        <f aca="false">ROUND(B39-L39-MIN(B39-L39,MAX(0,$AF39-SUMPRODUCT(--($B$4:$K$4&lt;B$4),$B39:$K39-$L39:$U39))),2)</f>
        <v>0</v>
      </c>
      <c r="W39" s="39" t="n">
        <f aca="false">ROUND(C39-M39-MIN(C39-M39,MAX(0,$AF39-SUMPRODUCT(--($B$4:$K$4&lt;C$4),$B39:$K39-$L39:$U39))),2)</f>
        <v>0</v>
      </c>
      <c r="X39" s="39" t="n">
        <f aca="false">ROUND(D39-N39-MIN(D39-N39,MAX(0,$AF39-SUMPRODUCT(--($B$4:$K$4&lt;D$4),$B39:$K39-$L39:$U39))),2)</f>
        <v>0</v>
      </c>
      <c r="Y39" s="39" t="n">
        <f aca="false">ROUND(E39-O39-MIN(E39-O39,MAX(0,$AF39-SUMPRODUCT(--($B$4:$K$4&lt;E$4),$B39:$K39-$L39:$U39))),2)</f>
        <v>0</v>
      </c>
      <c r="Z39" s="39" t="n">
        <f aca="false">ROUND(F39-P39-MIN(F39-P39,MAX(0,$AF39-SUMPRODUCT(--($B$4:$K$4&lt;F$4),$B39:$K39-$L39:$U39))),2)</f>
        <v>0</v>
      </c>
      <c r="AA39" s="39" t="n">
        <f aca="false">ROUND(G39-Q39-MIN(G39-Q39,MAX(0,$AF39-SUMPRODUCT(--($B$4:$K$4&lt;G$4),$B39:$K39-$L39:$U39))),2)</f>
        <v>0</v>
      </c>
      <c r="AB39" s="39" t="n">
        <f aca="false">ROUND(H39-R39-MIN(H39-R39,MAX(0,$AF39-SUMPRODUCT(--($B$4:$K$4&lt;H$4),$B39:$K39-$L39:$U39))),2)</f>
        <v>0</v>
      </c>
      <c r="AC39" s="39" t="n">
        <f aca="false">ROUND(I39-S39-MIN(I39-S39,MAX(0,$AF39-SUMPRODUCT(--($B$4:$K$4&lt;I$4),$B39:$K39-$L39:$U39))),2)</f>
        <v>0</v>
      </c>
      <c r="AD39" s="39" t="n">
        <f aca="false">ROUND(J39-T39-MIN(J39-T39,MAX(0,$AF39-SUMPRODUCT(--($B$4:$K$4&lt;J$4),$B39:$K39-$L39:$U39))),2)</f>
        <v>0</v>
      </c>
      <c r="AE39" s="39" t="n">
        <f aca="false">ROUND(K39-U39-MIN(K39-U39,MAX(0,$AF39-SUMPRODUCT(--($B$4:$K$4&lt;K$4),$B39:$K39-$L39:$U39))),2)</f>
        <v>0</v>
      </c>
      <c r="AF39" s="39" t="n">
        <f aca="false">MAX(0,'Start Here'!$C$5-SUM($L39:$U39))</f>
        <v>1200</v>
      </c>
      <c r="AG39" s="39" t="n">
        <f aca="false">SUM(V39:AE39)</f>
        <v>0</v>
      </c>
      <c r="AH39" s="39" t="n">
        <f aca="false">SUM(B39:K39)-AG38</f>
        <v>0</v>
      </c>
    </row>
    <row r="40" customFormat="false" ht="15" hidden="false" customHeight="false" outlineLevel="0" collapsed="false">
      <c r="A40" s="40" t="n">
        <f aca="false">DATE(YEAR('Start Here'!$C$6),MONTH('Start Here'!$C$6)+33,1)</f>
        <v>47300</v>
      </c>
      <c r="B40" s="39" t="n">
        <f aca="false">ROUND(V39*(1+N('My Debts'!$D$6)/12),2)</f>
        <v>0</v>
      </c>
      <c r="C40" s="39" t="n">
        <f aca="false">ROUND(W39*(1+N('My Debts'!$D$7)/12),2)</f>
        <v>0</v>
      </c>
      <c r="D40" s="39" t="n">
        <f aca="false">ROUND(X39*(1+N('My Debts'!$D$8)/12),2)</f>
        <v>0</v>
      </c>
      <c r="E40" s="39" t="n">
        <f aca="false">ROUND(Y39*(1+N('My Debts'!$D$9)/12),2)</f>
        <v>0</v>
      </c>
      <c r="F40" s="39" t="n">
        <f aca="false">ROUND(Z39*(1+N('My Debts'!$D$10)/12),2)</f>
        <v>0</v>
      </c>
      <c r="G40" s="39" t="n">
        <f aca="false">ROUND(AA39*(1+N('My Debts'!$D$11)/12),2)</f>
        <v>0</v>
      </c>
      <c r="H40" s="39" t="n">
        <f aca="false">ROUND(AB39*(1+N('My Debts'!$D$12)/12),2)</f>
        <v>0</v>
      </c>
      <c r="I40" s="39" t="n">
        <f aca="false">ROUND(AC39*(1+N('My Debts'!$D$13)/12),2)</f>
        <v>0</v>
      </c>
      <c r="J40" s="39" t="n">
        <f aca="false">ROUND(AD39*(1+N('My Debts'!$D$14)/12),2)</f>
        <v>0</v>
      </c>
      <c r="K40" s="39" t="n">
        <f aca="false">ROUND(AE39*(1+N('My Debts'!$D$15)/12),2)</f>
        <v>0</v>
      </c>
      <c r="L40" s="39" t="n">
        <f aca="false">MIN(N('My Debts'!$E$6),B40)</f>
        <v>0</v>
      </c>
      <c r="M40" s="39" t="n">
        <f aca="false">MIN(N('My Debts'!$E$7),C40)</f>
        <v>0</v>
      </c>
      <c r="N40" s="39" t="n">
        <f aca="false">MIN(N('My Debts'!$E$8),D40)</f>
        <v>0</v>
      </c>
      <c r="O40" s="39" t="n">
        <f aca="false">MIN(N('My Debts'!$E$9),E40)</f>
        <v>0</v>
      </c>
      <c r="P40" s="39" t="n">
        <f aca="false">MIN(N('My Debts'!$E$10),F40)</f>
        <v>0</v>
      </c>
      <c r="Q40" s="39" t="n">
        <f aca="false">MIN(N('My Debts'!$E$11),G40)</f>
        <v>0</v>
      </c>
      <c r="R40" s="39" t="n">
        <f aca="false">MIN(N('My Debts'!$E$12),H40)</f>
        <v>0</v>
      </c>
      <c r="S40" s="39" t="n">
        <f aca="false">MIN(N('My Debts'!$E$13),I40)</f>
        <v>0</v>
      </c>
      <c r="T40" s="39" t="n">
        <f aca="false">MIN(N('My Debts'!$E$14),J40)</f>
        <v>0</v>
      </c>
      <c r="U40" s="39" t="n">
        <f aca="false">MIN(N('My Debts'!$E$15),K40)</f>
        <v>0</v>
      </c>
      <c r="V40" s="39" t="n">
        <f aca="false">ROUND(B40-L40-MIN(B40-L40,MAX(0,$AF40-SUMPRODUCT(--($B$4:$K$4&lt;B$4),$B40:$K40-$L40:$U40))),2)</f>
        <v>0</v>
      </c>
      <c r="W40" s="39" t="n">
        <f aca="false">ROUND(C40-M40-MIN(C40-M40,MAX(0,$AF40-SUMPRODUCT(--($B$4:$K$4&lt;C$4),$B40:$K40-$L40:$U40))),2)</f>
        <v>0</v>
      </c>
      <c r="X40" s="39" t="n">
        <f aca="false">ROUND(D40-N40-MIN(D40-N40,MAX(0,$AF40-SUMPRODUCT(--($B$4:$K$4&lt;D$4),$B40:$K40-$L40:$U40))),2)</f>
        <v>0</v>
      </c>
      <c r="Y40" s="39" t="n">
        <f aca="false">ROUND(E40-O40-MIN(E40-O40,MAX(0,$AF40-SUMPRODUCT(--($B$4:$K$4&lt;E$4),$B40:$K40-$L40:$U40))),2)</f>
        <v>0</v>
      </c>
      <c r="Z40" s="39" t="n">
        <f aca="false">ROUND(F40-P40-MIN(F40-P40,MAX(0,$AF40-SUMPRODUCT(--($B$4:$K$4&lt;F$4),$B40:$K40-$L40:$U40))),2)</f>
        <v>0</v>
      </c>
      <c r="AA40" s="39" t="n">
        <f aca="false">ROUND(G40-Q40-MIN(G40-Q40,MAX(0,$AF40-SUMPRODUCT(--($B$4:$K$4&lt;G$4),$B40:$K40-$L40:$U40))),2)</f>
        <v>0</v>
      </c>
      <c r="AB40" s="39" t="n">
        <f aca="false">ROUND(H40-R40-MIN(H40-R40,MAX(0,$AF40-SUMPRODUCT(--($B$4:$K$4&lt;H$4),$B40:$K40-$L40:$U40))),2)</f>
        <v>0</v>
      </c>
      <c r="AC40" s="39" t="n">
        <f aca="false">ROUND(I40-S40-MIN(I40-S40,MAX(0,$AF40-SUMPRODUCT(--($B$4:$K$4&lt;I$4),$B40:$K40-$L40:$U40))),2)</f>
        <v>0</v>
      </c>
      <c r="AD40" s="39" t="n">
        <f aca="false">ROUND(J40-T40-MIN(J40-T40,MAX(0,$AF40-SUMPRODUCT(--($B$4:$K$4&lt;J$4),$B40:$K40-$L40:$U40))),2)</f>
        <v>0</v>
      </c>
      <c r="AE40" s="39" t="n">
        <f aca="false">ROUND(K40-U40-MIN(K40-U40,MAX(0,$AF40-SUMPRODUCT(--($B$4:$K$4&lt;K$4),$B40:$K40-$L40:$U40))),2)</f>
        <v>0</v>
      </c>
      <c r="AF40" s="39" t="n">
        <f aca="false">MAX(0,'Start Here'!$C$5-SUM($L40:$U40))</f>
        <v>1200</v>
      </c>
      <c r="AG40" s="39" t="n">
        <f aca="false">SUM(V40:AE40)</f>
        <v>0</v>
      </c>
      <c r="AH40" s="39" t="n">
        <f aca="false">SUM(B40:K40)-AG39</f>
        <v>0</v>
      </c>
    </row>
    <row r="41" customFormat="false" ht="15" hidden="false" customHeight="false" outlineLevel="0" collapsed="false">
      <c r="A41" s="40" t="n">
        <f aca="false">DATE(YEAR('Start Here'!$C$6),MONTH('Start Here'!$C$6)+34,1)</f>
        <v>47331</v>
      </c>
      <c r="B41" s="39" t="n">
        <f aca="false">ROUND(V40*(1+N('My Debts'!$D$6)/12),2)</f>
        <v>0</v>
      </c>
      <c r="C41" s="39" t="n">
        <f aca="false">ROUND(W40*(1+N('My Debts'!$D$7)/12),2)</f>
        <v>0</v>
      </c>
      <c r="D41" s="39" t="n">
        <f aca="false">ROUND(X40*(1+N('My Debts'!$D$8)/12),2)</f>
        <v>0</v>
      </c>
      <c r="E41" s="39" t="n">
        <f aca="false">ROUND(Y40*(1+N('My Debts'!$D$9)/12),2)</f>
        <v>0</v>
      </c>
      <c r="F41" s="39" t="n">
        <f aca="false">ROUND(Z40*(1+N('My Debts'!$D$10)/12),2)</f>
        <v>0</v>
      </c>
      <c r="G41" s="39" t="n">
        <f aca="false">ROUND(AA40*(1+N('My Debts'!$D$11)/12),2)</f>
        <v>0</v>
      </c>
      <c r="H41" s="39" t="n">
        <f aca="false">ROUND(AB40*(1+N('My Debts'!$D$12)/12),2)</f>
        <v>0</v>
      </c>
      <c r="I41" s="39" t="n">
        <f aca="false">ROUND(AC40*(1+N('My Debts'!$D$13)/12),2)</f>
        <v>0</v>
      </c>
      <c r="J41" s="39" t="n">
        <f aca="false">ROUND(AD40*(1+N('My Debts'!$D$14)/12),2)</f>
        <v>0</v>
      </c>
      <c r="K41" s="39" t="n">
        <f aca="false">ROUND(AE40*(1+N('My Debts'!$D$15)/12),2)</f>
        <v>0</v>
      </c>
      <c r="L41" s="39" t="n">
        <f aca="false">MIN(N('My Debts'!$E$6),B41)</f>
        <v>0</v>
      </c>
      <c r="M41" s="39" t="n">
        <f aca="false">MIN(N('My Debts'!$E$7),C41)</f>
        <v>0</v>
      </c>
      <c r="N41" s="39" t="n">
        <f aca="false">MIN(N('My Debts'!$E$8),D41)</f>
        <v>0</v>
      </c>
      <c r="O41" s="39" t="n">
        <f aca="false">MIN(N('My Debts'!$E$9),E41)</f>
        <v>0</v>
      </c>
      <c r="P41" s="39" t="n">
        <f aca="false">MIN(N('My Debts'!$E$10),F41)</f>
        <v>0</v>
      </c>
      <c r="Q41" s="39" t="n">
        <f aca="false">MIN(N('My Debts'!$E$11),G41)</f>
        <v>0</v>
      </c>
      <c r="R41" s="39" t="n">
        <f aca="false">MIN(N('My Debts'!$E$12),H41)</f>
        <v>0</v>
      </c>
      <c r="S41" s="39" t="n">
        <f aca="false">MIN(N('My Debts'!$E$13),I41)</f>
        <v>0</v>
      </c>
      <c r="T41" s="39" t="n">
        <f aca="false">MIN(N('My Debts'!$E$14),J41)</f>
        <v>0</v>
      </c>
      <c r="U41" s="39" t="n">
        <f aca="false">MIN(N('My Debts'!$E$15),K41)</f>
        <v>0</v>
      </c>
      <c r="V41" s="39" t="n">
        <f aca="false">ROUND(B41-L41-MIN(B41-L41,MAX(0,$AF41-SUMPRODUCT(--($B$4:$K$4&lt;B$4),$B41:$K41-$L41:$U41))),2)</f>
        <v>0</v>
      </c>
      <c r="W41" s="39" t="n">
        <f aca="false">ROUND(C41-M41-MIN(C41-M41,MAX(0,$AF41-SUMPRODUCT(--($B$4:$K$4&lt;C$4),$B41:$K41-$L41:$U41))),2)</f>
        <v>0</v>
      </c>
      <c r="X41" s="39" t="n">
        <f aca="false">ROUND(D41-N41-MIN(D41-N41,MAX(0,$AF41-SUMPRODUCT(--($B$4:$K$4&lt;D$4),$B41:$K41-$L41:$U41))),2)</f>
        <v>0</v>
      </c>
      <c r="Y41" s="39" t="n">
        <f aca="false">ROUND(E41-O41-MIN(E41-O41,MAX(0,$AF41-SUMPRODUCT(--($B$4:$K$4&lt;E$4),$B41:$K41-$L41:$U41))),2)</f>
        <v>0</v>
      </c>
      <c r="Z41" s="39" t="n">
        <f aca="false">ROUND(F41-P41-MIN(F41-P41,MAX(0,$AF41-SUMPRODUCT(--($B$4:$K$4&lt;F$4),$B41:$K41-$L41:$U41))),2)</f>
        <v>0</v>
      </c>
      <c r="AA41" s="39" t="n">
        <f aca="false">ROUND(G41-Q41-MIN(G41-Q41,MAX(0,$AF41-SUMPRODUCT(--($B$4:$K$4&lt;G$4),$B41:$K41-$L41:$U41))),2)</f>
        <v>0</v>
      </c>
      <c r="AB41" s="39" t="n">
        <f aca="false">ROUND(H41-R41-MIN(H41-R41,MAX(0,$AF41-SUMPRODUCT(--($B$4:$K$4&lt;H$4),$B41:$K41-$L41:$U41))),2)</f>
        <v>0</v>
      </c>
      <c r="AC41" s="39" t="n">
        <f aca="false">ROUND(I41-S41-MIN(I41-S41,MAX(0,$AF41-SUMPRODUCT(--($B$4:$K$4&lt;I$4),$B41:$K41-$L41:$U41))),2)</f>
        <v>0</v>
      </c>
      <c r="AD41" s="39" t="n">
        <f aca="false">ROUND(J41-T41-MIN(J41-T41,MAX(0,$AF41-SUMPRODUCT(--($B$4:$K$4&lt;J$4),$B41:$K41-$L41:$U41))),2)</f>
        <v>0</v>
      </c>
      <c r="AE41" s="39" t="n">
        <f aca="false">ROUND(K41-U41-MIN(K41-U41,MAX(0,$AF41-SUMPRODUCT(--($B$4:$K$4&lt;K$4),$B41:$K41-$L41:$U41))),2)</f>
        <v>0</v>
      </c>
      <c r="AF41" s="39" t="n">
        <f aca="false">MAX(0,'Start Here'!$C$5-SUM($L41:$U41))</f>
        <v>1200</v>
      </c>
      <c r="AG41" s="39" t="n">
        <f aca="false">SUM(V41:AE41)</f>
        <v>0</v>
      </c>
      <c r="AH41" s="39" t="n">
        <f aca="false">SUM(B41:K41)-AG40</f>
        <v>0</v>
      </c>
    </row>
    <row r="42" customFormat="false" ht="15" hidden="false" customHeight="false" outlineLevel="0" collapsed="false">
      <c r="A42" s="40" t="n">
        <f aca="false">DATE(YEAR('Start Here'!$C$6),MONTH('Start Here'!$C$6)+35,1)</f>
        <v>47362</v>
      </c>
      <c r="B42" s="39" t="n">
        <f aca="false">ROUND(V41*(1+N('My Debts'!$D$6)/12),2)</f>
        <v>0</v>
      </c>
      <c r="C42" s="39" t="n">
        <f aca="false">ROUND(W41*(1+N('My Debts'!$D$7)/12),2)</f>
        <v>0</v>
      </c>
      <c r="D42" s="39" t="n">
        <f aca="false">ROUND(X41*(1+N('My Debts'!$D$8)/12),2)</f>
        <v>0</v>
      </c>
      <c r="E42" s="39" t="n">
        <f aca="false">ROUND(Y41*(1+N('My Debts'!$D$9)/12),2)</f>
        <v>0</v>
      </c>
      <c r="F42" s="39" t="n">
        <f aca="false">ROUND(Z41*(1+N('My Debts'!$D$10)/12),2)</f>
        <v>0</v>
      </c>
      <c r="G42" s="39" t="n">
        <f aca="false">ROUND(AA41*(1+N('My Debts'!$D$11)/12),2)</f>
        <v>0</v>
      </c>
      <c r="H42" s="39" t="n">
        <f aca="false">ROUND(AB41*(1+N('My Debts'!$D$12)/12),2)</f>
        <v>0</v>
      </c>
      <c r="I42" s="39" t="n">
        <f aca="false">ROUND(AC41*(1+N('My Debts'!$D$13)/12),2)</f>
        <v>0</v>
      </c>
      <c r="J42" s="39" t="n">
        <f aca="false">ROUND(AD41*(1+N('My Debts'!$D$14)/12),2)</f>
        <v>0</v>
      </c>
      <c r="K42" s="39" t="n">
        <f aca="false">ROUND(AE41*(1+N('My Debts'!$D$15)/12),2)</f>
        <v>0</v>
      </c>
      <c r="L42" s="39" t="n">
        <f aca="false">MIN(N('My Debts'!$E$6),B42)</f>
        <v>0</v>
      </c>
      <c r="M42" s="39" t="n">
        <f aca="false">MIN(N('My Debts'!$E$7),C42)</f>
        <v>0</v>
      </c>
      <c r="N42" s="39" t="n">
        <f aca="false">MIN(N('My Debts'!$E$8),D42)</f>
        <v>0</v>
      </c>
      <c r="O42" s="39" t="n">
        <f aca="false">MIN(N('My Debts'!$E$9),E42)</f>
        <v>0</v>
      </c>
      <c r="P42" s="39" t="n">
        <f aca="false">MIN(N('My Debts'!$E$10),F42)</f>
        <v>0</v>
      </c>
      <c r="Q42" s="39" t="n">
        <f aca="false">MIN(N('My Debts'!$E$11),G42)</f>
        <v>0</v>
      </c>
      <c r="R42" s="39" t="n">
        <f aca="false">MIN(N('My Debts'!$E$12),H42)</f>
        <v>0</v>
      </c>
      <c r="S42" s="39" t="n">
        <f aca="false">MIN(N('My Debts'!$E$13),I42)</f>
        <v>0</v>
      </c>
      <c r="T42" s="39" t="n">
        <f aca="false">MIN(N('My Debts'!$E$14),J42)</f>
        <v>0</v>
      </c>
      <c r="U42" s="39" t="n">
        <f aca="false">MIN(N('My Debts'!$E$15),K42)</f>
        <v>0</v>
      </c>
      <c r="V42" s="39" t="n">
        <f aca="false">ROUND(B42-L42-MIN(B42-L42,MAX(0,$AF42-SUMPRODUCT(--($B$4:$K$4&lt;B$4),$B42:$K42-$L42:$U42))),2)</f>
        <v>0</v>
      </c>
      <c r="W42" s="39" t="n">
        <f aca="false">ROUND(C42-M42-MIN(C42-M42,MAX(0,$AF42-SUMPRODUCT(--($B$4:$K$4&lt;C$4),$B42:$K42-$L42:$U42))),2)</f>
        <v>0</v>
      </c>
      <c r="X42" s="39" t="n">
        <f aca="false">ROUND(D42-N42-MIN(D42-N42,MAX(0,$AF42-SUMPRODUCT(--($B$4:$K$4&lt;D$4),$B42:$K42-$L42:$U42))),2)</f>
        <v>0</v>
      </c>
      <c r="Y42" s="39" t="n">
        <f aca="false">ROUND(E42-O42-MIN(E42-O42,MAX(0,$AF42-SUMPRODUCT(--($B$4:$K$4&lt;E$4),$B42:$K42-$L42:$U42))),2)</f>
        <v>0</v>
      </c>
      <c r="Z42" s="39" t="n">
        <f aca="false">ROUND(F42-P42-MIN(F42-P42,MAX(0,$AF42-SUMPRODUCT(--($B$4:$K$4&lt;F$4),$B42:$K42-$L42:$U42))),2)</f>
        <v>0</v>
      </c>
      <c r="AA42" s="39" t="n">
        <f aca="false">ROUND(G42-Q42-MIN(G42-Q42,MAX(0,$AF42-SUMPRODUCT(--($B$4:$K$4&lt;G$4),$B42:$K42-$L42:$U42))),2)</f>
        <v>0</v>
      </c>
      <c r="AB42" s="39" t="n">
        <f aca="false">ROUND(H42-R42-MIN(H42-R42,MAX(0,$AF42-SUMPRODUCT(--($B$4:$K$4&lt;H$4),$B42:$K42-$L42:$U42))),2)</f>
        <v>0</v>
      </c>
      <c r="AC42" s="39" t="n">
        <f aca="false">ROUND(I42-S42-MIN(I42-S42,MAX(0,$AF42-SUMPRODUCT(--($B$4:$K$4&lt;I$4),$B42:$K42-$L42:$U42))),2)</f>
        <v>0</v>
      </c>
      <c r="AD42" s="39" t="n">
        <f aca="false">ROUND(J42-T42-MIN(J42-T42,MAX(0,$AF42-SUMPRODUCT(--($B$4:$K$4&lt;J$4),$B42:$K42-$L42:$U42))),2)</f>
        <v>0</v>
      </c>
      <c r="AE42" s="39" t="n">
        <f aca="false">ROUND(K42-U42-MIN(K42-U42,MAX(0,$AF42-SUMPRODUCT(--($B$4:$K$4&lt;K$4),$B42:$K42-$L42:$U42))),2)</f>
        <v>0</v>
      </c>
      <c r="AF42" s="39" t="n">
        <f aca="false">MAX(0,'Start Here'!$C$5-SUM($L42:$U42))</f>
        <v>1200</v>
      </c>
      <c r="AG42" s="39" t="n">
        <f aca="false">SUM(V42:AE42)</f>
        <v>0</v>
      </c>
      <c r="AH42" s="39" t="n">
        <f aca="false">SUM(B42:K42)-AG41</f>
        <v>0</v>
      </c>
    </row>
    <row r="43" customFormat="false" ht="15" hidden="false" customHeight="false" outlineLevel="0" collapsed="false">
      <c r="A43" s="40" t="n">
        <f aca="false">DATE(YEAR('Start Here'!$C$6),MONTH('Start Here'!$C$6)+36,1)</f>
        <v>47392</v>
      </c>
      <c r="B43" s="39" t="n">
        <f aca="false">ROUND(V42*(1+N('My Debts'!$D$6)/12),2)</f>
        <v>0</v>
      </c>
      <c r="C43" s="39" t="n">
        <f aca="false">ROUND(W42*(1+N('My Debts'!$D$7)/12),2)</f>
        <v>0</v>
      </c>
      <c r="D43" s="39" t="n">
        <f aca="false">ROUND(X42*(1+N('My Debts'!$D$8)/12),2)</f>
        <v>0</v>
      </c>
      <c r="E43" s="39" t="n">
        <f aca="false">ROUND(Y42*(1+N('My Debts'!$D$9)/12),2)</f>
        <v>0</v>
      </c>
      <c r="F43" s="39" t="n">
        <f aca="false">ROUND(Z42*(1+N('My Debts'!$D$10)/12),2)</f>
        <v>0</v>
      </c>
      <c r="G43" s="39" t="n">
        <f aca="false">ROUND(AA42*(1+N('My Debts'!$D$11)/12),2)</f>
        <v>0</v>
      </c>
      <c r="H43" s="39" t="n">
        <f aca="false">ROUND(AB42*(1+N('My Debts'!$D$12)/12),2)</f>
        <v>0</v>
      </c>
      <c r="I43" s="39" t="n">
        <f aca="false">ROUND(AC42*(1+N('My Debts'!$D$13)/12),2)</f>
        <v>0</v>
      </c>
      <c r="J43" s="39" t="n">
        <f aca="false">ROUND(AD42*(1+N('My Debts'!$D$14)/12),2)</f>
        <v>0</v>
      </c>
      <c r="K43" s="39" t="n">
        <f aca="false">ROUND(AE42*(1+N('My Debts'!$D$15)/12),2)</f>
        <v>0</v>
      </c>
      <c r="L43" s="39" t="n">
        <f aca="false">MIN(N('My Debts'!$E$6),B43)</f>
        <v>0</v>
      </c>
      <c r="M43" s="39" t="n">
        <f aca="false">MIN(N('My Debts'!$E$7),C43)</f>
        <v>0</v>
      </c>
      <c r="N43" s="39" t="n">
        <f aca="false">MIN(N('My Debts'!$E$8),D43)</f>
        <v>0</v>
      </c>
      <c r="O43" s="39" t="n">
        <f aca="false">MIN(N('My Debts'!$E$9),E43)</f>
        <v>0</v>
      </c>
      <c r="P43" s="39" t="n">
        <f aca="false">MIN(N('My Debts'!$E$10),F43)</f>
        <v>0</v>
      </c>
      <c r="Q43" s="39" t="n">
        <f aca="false">MIN(N('My Debts'!$E$11),G43)</f>
        <v>0</v>
      </c>
      <c r="R43" s="39" t="n">
        <f aca="false">MIN(N('My Debts'!$E$12),H43)</f>
        <v>0</v>
      </c>
      <c r="S43" s="39" t="n">
        <f aca="false">MIN(N('My Debts'!$E$13),I43)</f>
        <v>0</v>
      </c>
      <c r="T43" s="39" t="n">
        <f aca="false">MIN(N('My Debts'!$E$14),J43)</f>
        <v>0</v>
      </c>
      <c r="U43" s="39" t="n">
        <f aca="false">MIN(N('My Debts'!$E$15),K43)</f>
        <v>0</v>
      </c>
      <c r="V43" s="39" t="n">
        <f aca="false">ROUND(B43-L43-MIN(B43-L43,MAX(0,$AF43-SUMPRODUCT(--($B$4:$K$4&lt;B$4),$B43:$K43-$L43:$U43))),2)</f>
        <v>0</v>
      </c>
      <c r="W43" s="39" t="n">
        <f aca="false">ROUND(C43-M43-MIN(C43-M43,MAX(0,$AF43-SUMPRODUCT(--($B$4:$K$4&lt;C$4),$B43:$K43-$L43:$U43))),2)</f>
        <v>0</v>
      </c>
      <c r="X43" s="39" t="n">
        <f aca="false">ROUND(D43-N43-MIN(D43-N43,MAX(0,$AF43-SUMPRODUCT(--($B$4:$K$4&lt;D$4),$B43:$K43-$L43:$U43))),2)</f>
        <v>0</v>
      </c>
      <c r="Y43" s="39" t="n">
        <f aca="false">ROUND(E43-O43-MIN(E43-O43,MAX(0,$AF43-SUMPRODUCT(--($B$4:$K$4&lt;E$4),$B43:$K43-$L43:$U43))),2)</f>
        <v>0</v>
      </c>
      <c r="Z43" s="39" t="n">
        <f aca="false">ROUND(F43-P43-MIN(F43-P43,MAX(0,$AF43-SUMPRODUCT(--($B$4:$K$4&lt;F$4),$B43:$K43-$L43:$U43))),2)</f>
        <v>0</v>
      </c>
      <c r="AA43" s="39" t="n">
        <f aca="false">ROUND(G43-Q43-MIN(G43-Q43,MAX(0,$AF43-SUMPRODUCT(--($B$4:$K$4&lt;G$4),$B43:$K43-$L43:$U43))),2)</f>
        <v>0</v>
      </c>
      <c r="AB43" s="39" t="n">
        <f aca="false">ROUND(H43-R43-MIN(H43-R43,MAX(0,$AF43-SUMPRODUCT(--($B$4:$K$4&lt;H$4),$B43:$K43-$L43:$U43))),2)</f>
        <v>0</v>
      </c>
      <c r="AC43" s="39" t="n">
        <f aca="false">ROUND(I43-S43-MIN(I43-S43,MAX(0,$AF43-SUMPRODUCT(--($B$4:$K$4&lt;I$4),$B43:$K43-$L43:$U43))),2)</f>
        <v>0</v>
      </c>
      <c r="AD43" s="39" t="n">
        <f aca="false">ROUND(J43-T43-MIN(J43-T43,MAX(0,$AF43-SUMPRODUCT(--($B$4:$K$4&lt;J$4),$B43:$K43-$L43:$U43))),2)</f>
        <v>0</v>
      </c>
      <c r="AE43" s="39" t="n">
        <f aca="false">ROUND(K43-U43-MIN(K43-U43,MAX(0,$AF43-SUMPRODUCT(--($B$4:$K$4&lt;K$4),$B43:$K43-$L43:$U43))),2)</f>
        <v>0</v>
      </c>
      <c r="AF43" s="39" t="n">
        <f aca="false">MAX(0,'Start Here'!$C$5-SUM($L43:$U43))</f>
        <v>1200</v>
      </c>
      <c r="AG43" s="39" t="n">
        <f aca="false">SUM(V43:AE43)</f>
        <v>0</v>
      </c>
      <c r="AH43" s="39" t="n">
        <f aca="false">SUM(B43:K43)-AG42</f>
        <v>0</v>
      </c>
    </row>
    <row r="44" customFormat="false" ht="15" hidden="false" customHeight="false" outlineLevel="0" collapsed="false">
      <c r="A44" s="40" t="n">
        <f aca="false">DATE(YEAR('Start Here'!$C$6),MONTH('Start Here'!$C$6)+37,1)</f>
        <v>47423</v>
      </c>
      <c r="B44" s="39" t="n">
        <f aca="false">ROUND(V43*(1+N('My Debts'!$D$6)/12),2)</f>
        <v>0</v>
      </c>
      <c r="C44" s="39" t="n">
        <f aca="false">ROUND(W43*(1+N('My Debts'!$D$7)/12),2)</f>
        <v>0</v>
      </c>
      <c r="D44" s="39" t="n">
        <f aca="false">ROUND(X43*(1+N('My Debts'!$D$8)/12),2)</f>
        <v>0</v>
      </c>
      <c r="E44" s="39" t="n">
        <f aca="false">ROUND(Y43*(1+N('My Debts'!$D$9)/12),2)</f>
        <v>0</v>
      </c>
      <c r="F44" s="39" t="n">
        <f aca="false">ROUND(Z43*(1+N('My Debts'!$D$10)/12),2)</f>
        <v>0</v>
      </c>
      <c r="G44" s="39" t="n">
        <f aca="false">ROUND(AA43*(1+N('My Debts'!$D$11)/12),2)</f>
        <v>0</v>
      </c>
      <c r="H44" s="39" t="n">
        <f aca="false">ROUND(AB43*(1+N('My Debts'!$D$12)/12),2)</f>
        <v>0</v>
      </c>
      <c r="I44" s="39" t="n">
        <f aca="false">ROUND(AC43*(1+N('My Debts'!$D$13)/12),2)</f>
        <v>0</v>
      </c>
      <c r="J44" s="39" t="n">
        <f aca="false">ROUND(AD43*(1+N('My Debts'!$D$14)/12),2)</f>
        <v>0</v>
      </c>
      <c r="K44" s="39" t="n">
        <f aca="false">ROUND(AE43*(1+N('My Debts'!$D$15)/12),2)</f>
        <v>0</v>
      </c>
      <c r="L44" s="39" t="n">
        <f aca="false">MIN(N('My Debts'!$E$6),B44)</f>
        <v>0</v>
      </c>
      <c r="M44" s="39" t="n">
        <f aca="false">MIN(N('My Debts'!$E$7),C44)</f>
        <v>0</v>
      </c>
      <c r="N44" s="39" t="n">
        <f aca="false">MIN(N('My Debts'!$E$8),D44)</f>
        <v>0</v>
      </c>
      <c r="O44" s="39" t="n">
        <f aca="false">MIN(N('My Debts'!$E$9),E44)</f>
        <v>0</v>
      </c>
      <c r="P44" s="39" t="n">
        <f aca="false">MIN(N('My Debts'!$E$10),F44)</f>
        <v>0</v>
      </c>
      <c r="Q44" s="39" t="n">
        <f aca="false">MIN(N('My Debts'!$E$11),G44)</f>
        <v>0</v>
      </c>
      <c r="R44" s="39" t="n">
        <f aca="false">MIN(N('My Debts'!$E$12),H44)</f>
        <v>0</v>
      </c>
      <c r="S44" s="39" t="n">
        <f aca="false">MIN(N('My Debts'!$E$13),I44)</f>
        <v>0</v>
      </c>
      <c r="T44" s="39" t="n">
        <f aca="false">MIN(N('My Debts'!$E$14),J44)</f>
        <v>0</v>
      </c>
      <c r="U44" s="39" t="n">
        <f aca="false">MIN(N('My Debts'!$E$15),K44)</f>
        <v>0</v>
      </c>
      <c r="V44" s="39" t="n">
        <f aca="false">ROUND(B44-L44-MIN(B44-L44,MAX(0,$AF44-SUMPRODUCT(--($B$4:$K$4&lt;B$4),$B44:$K44-$L44:$U44))),2)</f>
        <v>0</v>
      </c>
      <c r="W44" s="39" t="n">
        <f aca="false">ROUND(C44-M44-MIN(C44-M44,MAX(0,$AF44-SUMPRODUCT(--($B$4:$K$4&lt;C$4),$B44:$K44-$L44:$U44))),2)</f>
        <v>0</v>
      </c>
      <c r="X44" s="39" t="n">
        <f aca="false">ROUND(D44-N44-MIN(D44-N44,MAX(0,$AF44-SUMPRODUCT(--($B$4:$K$4&lt;D$4),$B44:$K44-$L44:$U44))),2)</f>
        <v>0</v>
      </c>
      <c r="Y44" s="39" t="n">
        <f aca="false">ROUND(E44-O44-MIN(E44-O44,MAX(0,$AF44-SUMPRODUCT(--($B$4:$K$4&lt;E$4),$B44:$K44-$L44:$U44))),2)</f>
        <v>0</v>
      </c>
      <c r="Z44" s="39" t="n">
        <f aca="false">ROUND(F44-P44-MIN(F44-P44,MAX(0,$AF44-SUMPRODUCT(--($B$4:$K$4&lt;F$4),$B44:$K44-$L44:$U44))),2)</f>
        <v>0</v>
      </c>
      <c r="AA44" s="39" t="n">
        <f aca="false">ROUND(G44-Q44-MIN(G44-Q44,MAX(0,$AF44-SUMPRODUCT(--($B$4:$K$4&lt;G$4),$B44:$K44-$L44:$U44))),2)</f>
        <v>0</v>
      </c>
      <c r="AB44" s="39" t="n">
        <f aca="false">ROUND(H44-R44-MIN(H44-R44,MAX(0,$AF44-SUMPRODUCT(--($B$4:$K$4&lt;H$4),$B44:$K44-$L44:$U44))),2)</f>
        <v>0</v>
      </c>
      <c r="AC44" s="39" t="n">
        <f aca="false">ROUND(I44-S44-MIN(I44-S44,MAX(0,$AF44-SUMPRODUCT(--($B$4:$K$4&lt;I$4),$B44:$K44-$L44:$U44))),2)</f>
        <v>0</v>
      </c>
      <c r="AD44" s="39" t="n">
        <f aca="false">ROUND(J44-T44-MIN(J44-T44,MAX(0,$AF44-SUMPRODUCT(--($B$4:$K$4&lt;J$4),$B44:$K44-$L44:$U44))),2)</f>
        <v>0</v>
      </c>
      <c r="AE44" s="39" t="n">
        <f aca="false">ROUND(K44-U44-MIN(K44-U44,MAX(0,$AF44-SUMPRODUCT(--($B$4:$K$4&lt;K$4),$B44:$K44-$L44:$U44))),2)</f>
        <v>0</v>
      </c>
      <c r="AF44" s="39" t="n">
        <f aca="false">MAX(0,'Start Here'!$C$5-SUM($L44:$U44))</f>
        <v>1200</v>
      </c>
      <c r="AG44" s="39" t="n">
        <f aca="false">SUM(V44:AE44)</f>
        <v>0</v>
      </c>
      <c r="AH44" s="39" t="n">
        <f aca="false">SUM(B44:K44)-AG43</f>
        <v>0</v>
      </c>
    </row>
    <row r="45" customFormat="false" ht="15" hidden="false" customHeight="false" outlineLevel="0" collapsed="false">
      <c r="A45" s="40" t="n">
        <f aca="false">DATE(YEAR('Start Here'!$C$6),MONTH('Start Here'!$C$6)+38,1)</f>
        <v>47453</v>
      </c>
      <c r="B45" s="39" t="n">
        <f aca="false">ROUND(V44*(1+N('My Debts'!$D$6)/12),2)</f>
        <v>0</v>
      </c>
      <c r="C45" s="39" t="n">
        <f aca="false">ROUND(W44*(1+N('My Debts'!$D$7)/12),2)</f>
        <v>0</v>
      </c>
      <c r="D45" s="39" t="n">
        <f aca="false">ROUND(X44*(1+N('My Debts'!$D$8)/12),2)</f>
        <v>0</v>
      </c>
      <c r="E45" s="39" t="n">
        <f aca="false">ROUND(Y44*(1+N('My Debts'!$D$9)/12),2)</f>
        <v>0</v>
      </c>
      <c r="F45" s="39" t="n">
        <f aca="false">ROUND(Z44*(1+N('My Debts'!$D$10)/12),2)</f>
        <v>0</v>
      </c>
      <c r="G45" s="39" t="n">
        <f aca="false">ROUND(AA44*(1+N('My Debts'!$D$11)/12),2)</f>
        <v>0</v>
      </c>
      <c r="H45" s="39" t="n">
        <f aca="false">ROUND(AB44*(1+N('My Debts'!$D$12)/12),2)</f>
        <v>0</v>
      </c>
      <c r="I45" s="39" t="n">
        <f aca="false">ROUND(AC44*(1+N('My Debts'!$D$13)/12),2)</f>
        <v>0</v>
      </c>
      <c r="J45" s="39" t="n">
        <f aca="false">ROUND(AD44*(1+N('My Debts'!$D$14)/12),2)</f>
        <v>0</v>
      </c>
      <c r="K45" s="39" t="n">
        <f aca="false">ROUND(AE44*(1+N('My Debts'!$D$15)/12),2)</f>
        <v>0</v>
      </c>
      <c r="L45" s="39" t="n">
        <f aca="false">MIN(N('My Debts'!$E$6),B45)</f>
        <v>0</v>
      </c>
      <c r="M45" s="39" t="n">
        <f aca="false">MIN(N('My Debts'!$E$7),C45)</f>
        <v>0</v>
      </c>
      <c r="N45" s="39" t="n">
        <f aca="false">MIN(N('My Debts'!$E$8),D45)</f>
        <v>0</v>
      </c>
      <c r="O45" s="39" t="n">
        <f aca="false">MIN(N('My Debts'!$E$9),E45)</f>
        <v>0</v>
      </c>
      <c r="P45" s="39" t="n">
        <f aca="false">MIN(N('My Debts'!$E$10),F45)</f>
        <v>0</v>
      </c>
      <c r="Q45" s="39" t="n">
        <f aca="false">MIN(N('My Debts'!$E$11),G45)</f>
        <v>0</v>
      </c>
      <c r="R45" s="39" t="n">
        <f aca="false">MIN(N('My Debts'!$E$12),H45)</f>
        <v>0</v>
      </c>
      <c r="S45" s="39" t="n">
        <f aca="false">MIN(N('My Debts'!$E$13),I45)</f>
        <v>0</v>
      </c>
      <c r="T45" s="39" t="n">
        <f aca="false">MIN(N('My Debts'!$E$14),J45)</f>
        <v>0</v>
      </c>
      <c r="U45" s="39" t="n">
        <f aca="false">MIN(N('My Debts'!$E$15),K45)</f>
        <v>0</v>
      </c>
      <c r="V45" s="39" t="n">
        <f aca="false">ROUND(B45-L45-MIN(B45-L45,MAX(0,$AF45-SUMPRODUCT(--($B$4:$K$4&lt;B$4),$B45:$K45-$L45:$U45))),2)</f>
        <v>0</v>
      </c>
      <c r="W45" s="39" t="n">
        <f aca="false">ROUND(C45-M45-MIN(C45-M45,MAX(0,$AF45-SUMPRODUCT(--($B$4:$K$4&lt;C$4),$B45:$K45-$L45:$U45))),2)</f>
        <v>0</v>
      </c>
      <c r="X45" s="39" t="n">
        <f aca="false">ROUND(D45-N45-MIN(D45-N45,MAX(0,$AF45-SUMPRODUCT(--($B$4:$K$4&lt;D$4),$B45:$K45-$L45:$U45))),2)</f>
        <v>0</v>
      </c>
      <c r="Y45" s="39" t="n">
        <f aca="false">ROUND(E45-O45-MIN(E45-O45,MAX(0,$AF45-SUMPRODUCT(--($B$4:$K$4&lt;E$4),$B45:$K45-$L45:$U45))),2)</f>
        <v>0</v>
      </c>
      <c r="Z45" s="39" t="n">
        <f aca="false">ROUND(F45-P45-MIN(F45-P45,MAX(0,$AF45-SUMPRODUCT(--($B$4:$K$4&lt;F$4),$B45:$K45-$L45:$U45))),2)</f>
        <v>0</v>
      </c>
      <c r="AA45" s="39" t="n">
        <f aca="false">ROUND(G45-Q45-MIN(G45-Q45,MAX(0,$AF45-SUMPRODUCT(--($B$4:$K$4&lt;G$4),$B45:$K45-$L45:$U45))),2)</f>
        <v>0</v>
      </c>
      <c r="AB45" s="39" t="n">
        <f aca="false">ROUND(H45-R45-MIN(H45-R45,MAX(0,$AF45-SUMPRODUCT(--($B$4:$K$4&lt;H$4),$B45:$K45-$L45:$U45))),2)</f>
        <v>0</v>
      </c>
      <c r="AC45" s="39" t="n">
        <f aca="false">ROUND(I45-S45-MIN(I45-S45,MAX(0,$AF45-SUMPRODUCT(--($B$4:$K$4&lt;I$4),$B45:$K45-$L45:$U45))),2)</f>
        <v>0</v>
      </c>
      <c r="AD45" s="39" t="n">
        <f aca="false">ROUND(J45-T45-MIN(J45-T45,MAX(0,$AF45-SUMPRODUCT(--($B$4:$K$4&lt;J$4),$B45:$K45-$L45:$U45))),2)</f>
        <v>0</v>
      </c>
      <c r="AE45" s="39" t="n">
        <f aca="false">ROUND(K45-U45-MIN(K45-U45,MAX(0,$AF45-SUMPRODUCT(--($B$4:$K$4&lt;K$4),$B45:$K45-$L45:$U45))),2)</f>
        <v>0</v>
      </c>
      <c r="AF45" s="39" t="n">
        <f aca="false">MAX(0,'Start Here'!$C$5-SUM($L45:$U45))</f>
        <v>1200</v>
      </c>
      <c r="AG45" s="39" t="n">
        <f aca="false">SUM(V45:AE45)</f>
        <v>0</v>
      </c>
      <c r="AH45" s="39" t="n">
        <f aca="false">SUM(B45:K45)-AG44</f>
        <v>0</v>
      </c>
    </row>
    <row r="46" customFormat="false" ht="15" hidden="false" customHeight="false" outlineLevel="0" collapsed="false">
      <c r="A46" s="40" t="n">
        <f aca="false">DATE(YEAR('Start Here'!$C$6),MONTH('Start Here'!$C$6)+39,1)</f>
        <v>47484</v>
      </c>
      <c r="B46" s="39" t="n">
        <f aca="false">ROUND(V45*(1+N('My Debts'!$D$6)/12),2)</f>
        <v>0</v>
      </c>
      <c r="C46" s="39" t="n">
        <f aca="false">ROUND(W45*(1+N('My Debts'!$D$7)/12),2)</f>
        <v>0</v>
      </c>
      <c r="D46" s="39" t="n">
        <f aca="false">ROUND(X45*(1+N('My Debts'!$D$8)/12),2)</f>
        <v>0</v>
      </c>
      <c r="E46" s="39" t="n">
        <f aca="false">ROUND(Y45*(1+N('My Debts'!$D$9)/12),2)</f>
        <v>0</v>
      </c>
      <c r="F46" s="39" t="n">
        <f aca="false">ROUND(Z45*(1+N('My Debts'!$D$10)/12),2)</f>
        <v>0</v>
      </c>
      <c r="G46" s="39" t="n">
        <f aca="false">ROUND(AA45*(1+N('My Debts'!$D$11)/12),2)</f>
        <v>0</v>
      </c>
      <c r="H46" s="39" t="n">
        <f aca="false">ROUND(AB45*(1+N('My Debts'!$D$12)/12),2)</f>
        <v>0</v>
      </c>
      <c r="I46" s="39" t="n">
        <f aca="false">ROUND(AC45*(1+N('My Debts'!$D$13)/12),2)</f>
        <v>0</v>
      </c>
      <c r="J46" s="39" t="n">
        <f aca="false">ROUND(AD45*(1+N('My Debts'!$D$14)/12),2)</f>
        <v>0</v>
      </c>
      <c r="K46" s="39" t="n">
        <f aca="false">ROUND(AE45*(1+N('My Debts'!$D$15)/12),2)</f>
        <v>0</v>
      </c>
      <c r="L46" s="39" t="n">
        <f aca="false">MIN(N('My Debts'!$E$6),B46)</f>
        <v>0</v>
      </c>
      <c r="M46" s="39" t="n">
        <f aca="false">MIN(N('My Debts'!$E$7),C46)</f>
        <v>0</v>
      </c>
      <c r="N46" s="39" t="n">
        <f aca="false">MIN(N('My Debts'!$E$8),D46)</f>
        <v>0</v>
      </c>
      <c r="O46" s="39" t="n">
        <f aca="false">MIN(N('My Debts'!$E$9),E46)</f>
        <v>0</v>
      </c>
      <c r="P46" s="39" t="n">
        <f aca="false">MIN(N('My Debts'!$E$10),F46)</f>
        <v>0</v>
      </c>
      <c r="Q46" s="39" t="n">
        <f aca="false">MIN(N('My Debts'!$E$11),G46)</f>
        <v>0</v>
      </c>
      <c r="R46" s="39" t="n">
        <f aca="false">MIN(N('My Debts'!$E$12),H46)</f>
        <v>0</v>
      </c>
      <c r="S46" s="39" t="n">
        <f aca="false">MIN(N('My Debts'!$E$13),I46)</f>
        <v>0</v>
      </c>
      <c r="T46" s="39" t="n">
        <f aca="false">MIN(N('My Debts'!$E$14),J46)</f>
        <v>0</v>
      </c>
      <c r="U46" s="39" t="n">
        <f aca="false">MIN(N('My Debts'!$E$15),K46)</f>
        <v>0</v>
      </c>
      <c r="V46" s="39" t="n">
        <f aca="false">ROUND(B46-L46-MIN(B46-L46,MAX(0,$AF46-SUMPRODUCT(--($B$4:$K$4&lt;B$4),$B46:$K46-$L46:$U46))),2)</f>
        <v>0</v>
      </c>
      <c r="W46" s="39" t="n">
        <f aca="false">ROUND(C46-M46-MIN(C46-M46,MAX(0,$AF46-SUMPRODUCT(--($B$4:$K$4&lt;C$4),$B46:$K46-$L46:$U46))),2)</f>
        <v>0</v>
      </c>
      <c r="X46" s="39" t="n">
        <f aca="false">ROUND(D46-N46-MIN(D46-N46,MAX(0,$AF46-SUMPRODUCT(--($B$4:$K$4&lt;D$4),$B46:$K46-$L46:$U46))),2)</f>
        <v>0</v>
      </c>
      <c r="Y46" s="39" t="n">
        <f aca="false">ROUND(E46-O46-MIN(E46-O46,MAX(0,$AF46-SUMPRODUCT(--($B$4:$K$4&lt;E$4),$B46:$K46-$L46:$U46))),2)</f>
        <v>0</v>
      </c>
      <c r="Z46" s="39" t="n">
        <f aca="false">ROUND(F46-P46-MIN(F46-P46,MAX(0,$AF46-SUMPRODUCT(--($B$4:$K$4&lt;F$4),$B46:$K46-$L46:$U46))),2)</f>
        <v>0</v>
      </c>
      <c r="AA46" s="39" t="n">
        <f aca="false">ROUND(G46-Q46-MIN(G46-Q46,MAX(0,$AF46-SUMPRODUCT(--($B$4:$K$4&lt;G$4),$B46:$K46-$L46:$U46))),2)</f>
        <v>0</v>
      </c>
      <c r="AB46" s="39" t="n">
        <f aca="false">ROUND(H46-R46-MIN(H46-R46,MAX(0,$AF46-SUMPRODUCT(--($B$4:$K$4&lt;H$4),$B46:$K46-$L46:$U46))),2)</f>
        <v>0</v>
      </c>
      <c r="AC46" s="39" t="n">
        <f aca="false">ROUND(I46-S46-MIN(I46-S46,MAX(0,$AF46-SUMPRODUCT(--($B$4:$K$4&lt;I$4),$B46:$K46-$L46:$U46))),2)</f>
        <v>0</v>
      </c>
      <c r="AD46" s="39" t="n">
        <f aca="false">ROUND(J46-T46-MIN(J46-T46,MAX(0,$AF46-SUMPRODUCT(--($B$4:$K$4&lt;J$4),$B46:$K46-$L46:$U46))),2)</f>
        <v>0</v>
      </c>
      <c r="AE46" s="39" t="n">
        <f aca="false">ROUND(K46-U46-MIN(K46-U46,MAX(0,$AF46-SUMPRODUCT(--($B$4:$K$4&lt;K$4),$B46:$K46-$L46:$U46))),2)</f>
        <v>0</v>
      </c>
      <c r="AF46" s="39" t="n">
        <f aca="false">MAX(0,'Start Here'!$C$5-SUM($L46:$U46))</f>
        <v>1200</v>
      </c>
      <c r="AG46" s="39" t="n">
        <f aca="false">SUM(V46:AE46)</f>
        <v>0</v>
      </c>
      <c r="AH46" s="39" t="n">
        <f aca="false">SUM(B46:K46)-AG45</f>
        <v>0</v>
      </c>
    </row>
    <row r="47" customFormat="false" ht="15" hidden="false" customHeight="false" outlineLevel="0" collapsed="false">
      <c r="A47" s="40" t="n">
        <f aca="false">DATE(YEAR('Start Here'!$C$6),MONTH('Start Here'!$C$6)+40,1)</f>
        <v>47515</v>
      </c>
      <c r="B47" s="39" t="n">
        <f aca="false">ROUND(V46*(1+N('My Debts'!$D$6)/12),2)</f>
        <v>0</v>
      </c>
      <c r="C47" s="39" t="n">
        <f aca="false">ROUND(W46*(1+N('My Debts'!$D$7)/12),2)</f>
        <v>0</v>
      </c>
      <c r="D47" s="39" t="n">
        <f aca="false">ROUND(X46*(1+N('My Debts'!$D$8)/12),2)</f>
        <v>0</v>
      </c>
      <c r="E47" s="39" t="n">
        <f aca="false">ROUND(Y46*(1+N('My Debts'!$D$9)/12),2)</f>
        <v>0</v>
      </c>
      <c r="F47" s="39" t="n">
        <f aca="false">ROUND(Z46*(1+N('My Debts'!$D$10)/12),2)</f>
        <v>0</v>
      </c>
      <c r="G47" s="39" t="n">
        <f aca="false">ROUND(AA46*(1+N('My Debts'!$D$11)/12),2)</f>
        <v>0</v>
      </c>
      <c r="H47" s="39" t="n">
        <f aca="false">ROUND(AB46*(1+N('My Debts'!$D$12)/12),2)</f>
        <v>0</v>
      </c>
      <c r="I47" s="39" t="n">
        <f aca="false">ROUND(AC46*(1+N('My Debts'!$D$13)/12),2)</f>
        <v>0</v>
      </c>
      <c r="J47" s="39" t="n">
        <f aca="false">ROUND(AD46*(1+N('My Debts'!$D$14)/12),2)</f>
        <v>0</v>
      </c>
      <c r="K47" s="39" t="n">
        <f aca="false">ROUND(AE46*(1+N('My Debts'!$D$15)/12),2)</f>
        <v>0</v>
      </c>
      <c r="L47" s="39" t="n">
        <f aca="false">MIN(N('My Debts'!$E$6),B47)</f>
        <v>0</v>
      </c>
      <c r="M47" s="39" t="n">
        <f aca="false">MIN(N('My Debts'!$E$7),C47)</f>
        <v>0</v>
      </c>
      <c r="N47" s="39" t="n">
        <f aca="false">MIN(N('My Debts'!$E$8),D47)</f>
        <v>0</v>
      </c>
      <c r="O47" s="39" t="n">
        <f aca="false">MIN(N('My Debts'!$E$9),E47)</f>
        <v>0</v>
      </c>
      <c r="P47" s="39" t="n">
        <f aca="false">MIN(N('My Debts'!$E$10),F47)</f>
        <v>0</v>
      </c>
      <c r="Q47" s="39" t="n">
        <f aca="false">MIN(N('My Debts'!$E$11),G47)</f>
        <v>0</v>
      </c>
      <c r="R47" s="39" t="n">
        <f aca="false">MIN(N('My Debts'!$E$12),H47)</f>
        <v>0</v>
      </c>
      <c r="S47" s="39" t="n">
        <f aca="false">MIN(N('My Debts'!$E$13),I47)</f>
        <v>0</v>
      </c>
      <c r="T47" s="39" t="n">
        <f aca="false">MIN(N('My Debts'!$E$14),J47)</f>
        <v>0</v>
      </c>
      <c r="U47" s="39" t="n">
        <f aca="false">MIN(N('My Debts'!$E$15),K47)</f>
        <v>0</v>
      </c>
      <c r="V47" s="39" t="n">
        <f aca="false">ROUND(B47-L47-MIN(B47-L47,MAX(0,$AF47-SUMPRODUCT(--($B$4:$K$4&lt;B$4),$B47:$K47-$L47:$U47))),2)</f>
        <v>0</v>
      </c>
      <c r="W47" s="39" t="n">
        <f aca="false">ROUND(C47-M47-MIN(C47-M47,MAX(0,$AF47-SUMPRODUCT(--($B$4:$K$4&lt;C$4),$B47:$K47-$L47:$U47))),2)</f>
        <v>0</v>
      </c>
      <c r="X47" s="39" t="n">
        <f aca="false">ROUND(D47-N47-MIN(D47-N47,MAX(0,$AF47-SUMPRODUCT(--($B$4:$K$4&lt;D$4),$B47:$K47-$L47:$U47))),2)</f>
        <v>0</v>
      </c>
      <c r="Y47" s="39" t="n">
        <f aca="false">ROUND(E47-O47-MIN(E47-O47,MAX(0,$AF47-SUMPRODUCT(--($B$4:$K$4&lt;E$4),$B47:$K47-$L47:$U47))),2)</f>
        <v>0</v>
      </c>
      <c r="Z47" s="39" t="n">
        <f aca="false">ROUND(F47-P47-MIN(F47-P47,MAX(0,$AF47-SUMPRODUCT(--($B$4:$K$4&lt;F$4),$B47:$K47-$L47:$U47))),2)</f>
        <v>0</v>
      </c>
      <c r="AA47" s="39" t="n">
        <f aca="false">ROUND(G47-Q47-MIN(G47-Q47,MAX(0,$AF47-SUMPRODUCT(--($B$4:$K$4&lt;G$4),$B47:$K47-$L47:$U47))),2)</f>
        <v>0</v>
      </c>
      <c r="AB47" s="39" t="n">
        <f aca="false">ROUND(H47-R47-MIN(H47-R47,MAX(0,$AF47-SUMPRODUCT(--($B$4:$K$4&lt;H$4),$B47:$K47-$L47:$U47))),2)</f>
        <v>0</v>
      </c>
      <c r="AC47" s="39" t="n">
        <f aca="false">ROUND(I47-S47-MIN(I47-S47,MAX(0,$AF47-SUMPRODUCT(--($B$4:$K$4&lt;I$4),$B47:$K47-$L47:$U47))),2)</f>
        <v>0</v>
      </c>
      <c r="AD47" s="39" t="n">
        <f aca="false">ROUND(J47-T47-MIN(J47-T47,MAX(0,$AF47-SUMPRODUCT(--($B$4:$K$4&lt;J$4),$B47:$K47-$L47:$U47))),2)</f>
        <v>0</v>
      </c>
      <c r="AE47" s="39" t="n">
        <f aca="false">ROUND(K47-U47-MIN(K47-U47,MAX(0,$AF47-SUMPRODUCT(--($B$4:$K$4&lt;K$4),$B47:$K47-$L47:$U47))),2)</f>
        <v>0</v>
      </c>
      <c r="AF47" s="39" t="n">
        <f aca="false">MAX(0,'Start Here'!$C$5-SUM($L47:$U47))</f>
        <v>1200</v>
      </c>
      <c r="AG47" s="39" t="n">
        <f aca="false">SUM(V47:AE47)</f>
        <v>0</v>
      </c>
      <c r="AH47" s="39" t="n">
        <f aca="false">SUM(B47:K47)-AG46</f>
        <v>0</v>
      </c>
    </row>
    <row r="48" customFormat="false" ht="15" hidden="false" customHeight="false" outlineLevel="0" collapsed="false">
      <c r="A48" s="40" t="n">
        <f aca="false">DATE(YEAR('Start Here'!$C$6),MONTH('Start Here'!$C$6)+41,1)</f>
        <v>47543</v>
      </c>
      <c r="B48" s="39" t="n">
        <f aca="false">ROUND(V47*(1+N('My Debts'!$D$6)/12),2)</f>
        <v>0</v>
      </c>
      <c r="C48" s="39" t="n">
        <f aca="false">ROUND(W47*(1+N('My Debts'!$D$7)/12),2)</f>
        <v>0</v>
      </c>
      <c r="D48" s="39" t="n">
        <f aca="false">ROUND(X47*(1+N('My Debts'!$D$8)/12),2)</f>
        <v>0</v>
      </c>
      <c r="E48" s="39" t="n">
        <f aca="false">ROUND(Y47*(1+N('My Debts'!$D$9)/12),2)</f>
        <v>0</v>
      </c>
      <c r="F48" s="39" t="n">
        <f aca="false">ROUND(Z47*(1+N('My Debts'!$D$10)/12),2)</f>
        <v>0</v>
      </c>
      <c r="G48" s="39" t="n">
        <f aca="false">ROUND(AA47*(1+N('My Debts'!$D$11)/12),2)</f>
        <v>0</v>
      </c>
      <c r="H48" s="39" t="n">
        <f aca="false">ROUND(AB47*(1+N('My Debts'!$D$12)/12),2)</f>
        <v>0</v>
      </c>
      <c r="I48" s="39" t="n">
        <f aca="false">ROUND(AC47*(1+N('My Debts'!$D$13)/12),2)</f>
        <v>0</v>
      </c>
      <c r="J48" s="39" t="n">
        <f aca="false">ROUND(AD47*(1+N('My Debts'!$D$14)/12),2)</f>
        <v>0</v>
      </c>
      <c r="K48" s="39" t="n">
        <f aca="false">ROUND(AE47*(1+N('My Debts'!$D$15)/12),2)</f>
        <v>0</v>
      </c>
      <c r="L48" s="39" t="n">
        <f aca="false">MIN(N('My Debts'!$E$6),B48)</f>
        <v>0</v>
      </c>
      <c r="M48" s="39" t="n">
        <f aca="false">MIN(N('My Debts'!$E$7),C48)</f>
        <v>0</v>
      </c>
      <c r="N48" s="39" t="n">
        <f aca="false">MIN(N('My Debts'!$E$8),D48)</f>
        <v>0</v>
      </c>
      <c r="O48" s="39" t="n">
        <f aca="false">MIN(N('My Debts'!$E$9),E48)</f>
        <v>0</v>
      </c>
      <c r="P48" s="39" t="n">
        <f aca="false">MIN(N('My Debts'!$E$10),F48)</f>
        <v>0</v>
      </c>
      <c r="Q48" s="39" t="n">
        <f aca="false">MIN(N('My Debts'!$E$11),G48)</f>
        <v>0</v>
      </c>
      <c r="R48" s="39" t="n">
        <f aca="false">MIN(N('My Debts'!$E$12),H48)</f>
        <v>0</v>
      </c>
      <c r="S48" s="39" t="n">
        <f aca="false">MIN(N('My Debts'!$E$13),I48)</f>
        <v>0</v>
      </c>
      <c r="T48" s="39" t="n">
        <f aca="false">MIN(N('My Debts'!$E$14),J48)</f>
        <v>0</v>
      </c>
      <c r="U48" s="39" t="n">
        <f aca="false">MIN(N('My Debts'!$E$15),K48)</f>
        <v>0</v>
      </c>
      <c r="V48" s="39" t="n">
        <f aca="false">ROUND(B48-L48-MIN(B48-L48,MAX(0,$AF48-SUMPRODUCT(--($B$4:$K$4&lt;B$4),$B48:$K48-$L48:$U48))),2)</f>
        <v>0</v>
      </c>
      <c r="W48" s="39" t="n">
        <f aca="false">ROUND(C48-M48-MIN(C48-M48,MAX(0,$AF48-SUMPRODUCT(--($B$4:$K$4&lt;C$4),$B48:$K48-$L48:$U48))),2)</f>
        <v>0</v>
      </c>
      <c r="X48" s="39" t="n">
        <f aca="false">ROUND(D48-N48-MIN(D48-N48,MAX(0,$AF48-SUMPRODUCT(--($B$4:$K$4&lt;D$4),$B48:$K48-$L48:$U48))),2)</f>
        <v>0</v>
      </c>
      <c r="Y48" s="39" t="n">
        <f aca="false">ROUND(E48-O48-MIN(E48-O48,MAX(0,$AF48-SUMPRODUCT(--($B$4:$K$4&lt;E$4),$B48:$K48-$L48:$U48))),2)</f>
        <v>0</v>
      </c>
      <c r="Z48" s="39" t="n">
        <f aca="false">ROUND(F48-P48-MIN(F48-P48,MAX(0,$AF48-SUMPRODUCT(--($B$4:$K$4&lt;F$4),$B48:$K48-$L48:$U48))),2)</f>
        <v>0</v>
      </c>
      <c r="AA48" s="39" t="n">
        <f aca="false">ROUND(G48-Q48-MIN(G48-Q48,MAX(0,$AF48-SUMPRODUCT(--($B$4:$K$4&lt;G$4),$B48:$K48-$L48:$U48))),2)</f>
        <v>0</v>
      </c>
      <c r="AB48" s="39" t="n">
        <f aca="false">ROUND(H48-R48-MIN(H48-R48,MAX(0,$AF48-SUMPRODUCT(--($B$4:$K$4&lt;H$4),$B48:$K48-$L48:$U48))),2)</f>
        <v>0</v>
      </c>
      <c r="AC48" s="39" t="n">
        <f aca="false">ROUND(I48-S48-MIN(I48-S48,MAX(0,$AF48-SUMPRODUCT(--($B$4:$K$4&lt;I$4),$B48:$K48-$L48:$U48))),2)</f>
        <v>0</v>
      </c>
      <c r="AD48" s="39" t="n">
        <f aca="false">ROUND(J48-T48-MIN(J48-T48,MAX(0,$AF48-SUMPRODUCT(--($B$4:$K$4&lt;J$4),$B48:$K48-$L48:$U48))),2)</f>
        <v>0</v>
      </c>
      <c r="AE48" s="39" t="n">
        <f aca="false">ROUND(K48-U48-MIN(K48-U48,MAX(0,$AF48-SUMPRODUCT(--($B$4:$K$4&lt;K$4),$B48:$K48-$L48:$U48))),2)</f>
        <v>0</v>
      </c>
      <c r="AF48" s="39" t="n">
        <f aca="false">MAX(0,'Start Here'!$C$5-SUM($L48:$U48))</f>
        <v>1200</v>
      </c>
      <c r="AG48" s="39" t="n">
        <f aca="false">SUM(V48:AE48)</f>
        <v>0</v>
      </c>
      <c r="AH48" s="39" t="n">
        <f aca="false">SUM(B48:K48)-AG47</f>
        <v>0</v>
      </c>
    </row>
    <row r="49" customFormat="false" ht="15" hidden="false" customHeight="false" outlineLevel="0" collapsed="false">
      <c r="A49" s="40" t="n">
        <f aca="false">DATE(YEAR('Start Here'!$C$6),MONTH('Start Here'!$C$6)+42,1)</f>
        <v>47574</v>
      </c>
      <c r="B49" s="39" t="n">
        <f aca="false">ROUND(V48*(1+N('My Debts'!$D$6)/12),2)</f>
        <v>0</v>
      </c>
      <c r="C49" s="39" t="n">
        <f aca="false">ROUND(W48*(1+N('My Debts'!$D$7)/12),2)</f>
        <v>0</v>
      </c>
      <c r="D49" s="39" t="n">
        <f aca="false">ROUND(X48*(1+N('My Debts'!$D$8)/12),2)</f>
        <v>0</v>
      </c>
      <c r="E49" s="39" t="n">
        <f aca="false">ROUND(Y48*(1+N('My Debts'!$D$9)/12),2)</f>
        <v>0</v>
      </c>
      <c r="F49" s="39" t="n">
        <f aca="false">ROUND(Z48*(1+N('My Debts'!$D$10)/12),2)</f>
        <v>0</v>
      </c>
      <c r="G49" s="39" t="n">
        <f aca="false">ROUND(AA48*(1+N('My Debts'!$D$11)/12),2)</f>
        <v>0</v>
      </c>
      <c r="H49" s="39" t="n">
        <f aca="false">ROUND(AB48*(1+N('My Debts'!$D$12)/12),2)</f>
        <v>0</v>
      </c>
      <c r="I49" s="39" t="n">
        <f aca="false">ROUND(AC48*(1+N('My Debts'!$D$13)/12),2)</f>
        <v>0</v>
      </c>
      <c r="J49" s="39" t="n">
        <f aca="false">ROUND(AD48*(1+N('My Debts'!$D$14)/12),2)</f>
        <v>0</v>
      </c>
      <c r="K49" s="39" t="n">
        <f aca="false">ROUND(AE48*(1+N('My Debts'!$D$15)/12),2)</f>
        <v>0</v>
      </c>
      <c r="L49" s="39" t="n">
        <f aca="false">MIN(N('My Debts'!$E$6),B49)</f>
        <v>0</v>
      </c>
      <c r="M49" s="39" t="n">
        <f aca="false">MIN(N('My Debts'!$E$7),C49)</f>
        <v>0</v>
      </c>
      <c r="N49" s="39" t="n">
        <f aca="false">MIN(N('My Debts'!$E$8),D49)</f>
        <v>0</v>
      </c>
      <c r="O49" s="39" t="n">
        <f aca="false">MIN(N('My Debts'!$E$9),E49)</f>
        <v>0</v>
      </c>
      <c r="P49" s="39" t="n">
        <f aca="false">MIN(N('My Debts'!$E$10),F49)</f>
        <v>0</v>
      </c>
      <c r="Q49" s="39" t="n">
        <f aca="false">MIN(N('My Debts'!$E$11),G49)</f>
        <v>0</v>
      </c>
      <c r="R49" s="39" t="n">
        <f aca="false">MIN(N('My Debts'!$E$12),H49)</f>
        <v>0</v>
      </c>
      <c r="S49" s="39" t="n">
        <f aca="false">MIN(N('My Debts'!$E$13),I49)</f>
        <v>0</v>
      </c>
      <c r="T49" s="39" t="n">
        <f aca="false">MIN(N('My Debts'!$E$14),J49)</f>
        <v>0</v>
      </c>
      <c r="U49" s="39" t="n">
        <f aca="false">MIN(N('My Debts'!$E$15),K49)</f>
        <v>0</v>
      </c>
      <c r="V49" s="39" t="n">
        <f aca="false">ROUND(B49-L49-MIN(B49-L49,MAX(0,$AF49-SUMPRODUCT(--($B$4:$K$4&lt;B$4),$B49:$K49-$L49:$U49))),2)</f>
        <v>0</v>
      </c>
      <c r="W49" s="39" t="n">
        <f aca="false">ROUND(C49-M49-MIN(C49-M49,MAX(0,$AF49-SUMPRODUCT(--($B$4:$K$4&lt;C$4),$B49:$K49-$L49:$U49))),2)</f>
        <v>0</v>
      </c>
      <c r="X49" s="39" t="n">
        <f aca="false">ROUND(D49-N49-MIN(D49-N49,MAX(0,$AF49-SUMPRODUCT(--($B$4:$K$4&lt;D$4),$B49:$K49-$L49:$U49))),2)</f>
        <v>0</v>
      </c>
      <c r="Y49" s="39" t="n">
        <f aca="false">ROUND(E49-O49-MIN(E49-O49,MAX(0,$AF49-SUMPRODUCT(--($B$4:$K$4&lt;E$4),$B49:$K49-$L49:$U49))),2)</f>
        <v>0</v>
      </c>
      <c r="Z49" s="39" t="n">
        <f aca="false">ROUND(F49-P49-MIN(F49-P49,MAX(0,$AF49-SUMPRODUCT(--($B$4:$K$4&lt;F$4),$B49:$K49-$L49:$U49))),2)</f>
        <v>0</v>
      </c>
      <c r="AA49" s="39" t="n">
        <f aca="false">ROUND(G49-Q49-MIN(G49-Q49,MAX(0,$AF49-SUMPRODUCT(--($B$4:$K$4&lt;G$4),$B49:$K49-$L49:$U49))),2)</f>
        <v>0</v>
      </c>
      <c r="AB49" s="39" t="n">
        <f aca="false">ROUND(H49-R49-MIN(H49-R49,MAX(0,$AF49-SUMPRODUCT(--($B$4:$K$4&lt;H$4),$B49:$K49-$L49:$U49))),2)</f>
        <v>0</v>
      </c>
      <c r="AC49" s="39" t="n">
        <f aca="false">ROUND(I49-S49-MIN(I49-S49,MAX(0,$AF49-SUMPRODUCT(--($B$4:$K$4&lt;I$4),$B49:$K49-$L49:$U49))),2)</f>
        <v>0</v>
      </c>
      <c r="AD49" s="39" t="n">
        <f aca="false">ROUND(J49-T49-MIN(J49-T49,MAX(0,$AF49-SUMPRODUCT(--($B$4:$K$4&lt;J$4),$B49:$K49-$L49:$U49))),2)</f>
        <v>0</v>
      </c>
      <c r="AE49" s="39" t="n">
        <f aca="false">ROUND(K49-U49-MIN(K49-U49,MAX(0,$AF49-SUMPRODUCT(--($B$4:$K$4&lt;K$4),$B49:$K49-$L49:$U49))),2)</f>
        <v>0</v>
      </c>
      <c r="AF49" s="39" t="n">
        <f aca="false">MAX(0,'Start Here'!$C$5-SUM($L49:$U49))</f>
        <v>1200</v>
      </c>
      <c r="AG49" s="39" t="n">
        <f aca="false">SUM(V49:AE49)</f>
        <v>0</v>
      </c>
      <c r="AH49" s="39" t="n">
        <f aca="false">SUM(B49:K49)-AG48</f>
        <v>0</v>
      </c>
    </row>
    <row r="50" customFormat="false" ht="15" hidden="false" customHeight="false" outlineLevel="0" collapsed="false">
      <c r="A50" s="40" t="n">
        <f aca="false">DATE(YEAR('Start Here'!$C$6),MONTH('Start Here'!$C$6)+43,1)</f>
        <v>47604</v>
      </c>
      <c r="B50" s="39" t="n">
        <f aca="false">ROUND(V49*(1+N('My Debts'!$D$6)/12),2)</f>
        <v>0</v>
      </c>
      <c r="C50" s="39" t="n">
        <f aca="false">ROUND(W49*(1+N('My Debts'!$D$7)/12),2)</f>
        <v>0</v>
      </c>
      <c r="D50" s="39" t="n">
        <f aca="false">ROUND(X49*(1+N('My Debts'!$D$8)/12),2)</f>
        <v>0</v>
      </c>
      <c r="E50" s="39" t="n">
        <f aca="false">ROUND(Y49*(1+N('My Debts'!$D$9)/12),2)</f>
        <v>0</v>
      </c>
      <c r="F50" s="39" t="n">
        <f aca="false">ROUND(Z49*(1+N('My Debts'!$D$10)/12),2)</f>
        <v>0</v>
      </c>
      <c r="G50" s="39" t="n">
        <f aca="false">ROUND(AA49*(1+N('My Debts'!$D$11)/12),2)</f>
        <v>0</v>
      </c>
      <c r="H50" s="39" t="n">
        <f aca="false">ROUND(AB49*(1+N('My Debts'!$D$12)/12),2)</f>
        <v>0</v>
      </c>
      <c r="I50" s="39" t="n">
        <f aca="false">ROUND(AC49*(1+N('My Debts'!$D$13)/12),2)</f>
        <v>0</v>
      </c>
      <c r="J50" s="39" t="n">
        <f aca="false">ROUND(AD49*(1+N('My Debts'!$D$14)/12),2)</f>
        <v>0</v>
      </c>
      <c r="K50" s="39" t="n">
        <f aca="false">ROUND(AE49*(1+N('My Debts'!$D$15)/12),2)</f>
        <v>0</v>
      </c>
      <c r="L50" s="39" t="n">
        <f aca="false">MIN(N('My Debts'!$E$6),B50)</f>
        <v>0</v>
      </c>
      <c r="M50" s="39" t="n">
        <f aca="false">MIN(N('My Debts'!$E$7),C50)</f>
        <v>0</v>
      </c>
      <c r="N50" s="39" t="n">
        <f aca="false">MIN(N('My Debts'!$E$8),D50)</f>
        <v>0</v>
      </c>
      <c r="O50" s="39" t="n">
        <f aca="false">MIN(N('My Debts'!$E$9),E50)</f>
        <v>0</v>
      </c>
      <c r="P50" s="39" t="n">
        <f aca="false">MIN(N('My Debts'!$E$10),F50)</f>
        <v>0</v>
      </c>
      <c r="Q50" s="39" t="n">
        <f aca="false">MIN(N('My Debts'!$E$11),G50)</f>
        <v>0</v>
      </c>
      <c r="R50" s="39" t="n">
        <f aca="false">MIN(N('My Debts'!$E$12),H50)</f>
        <v>0</v>
      </c>
      <c r="S50" s="39" t="n">
        <f aca="false">MIN(N('My Debts'!$E$13),I50)</f>
        <v>0</v>
      </c>
      <c r="T50" s="39" t="n">
        <f aca="false">MIN(N('My Debts'!$E$14),J50)</f>
        <v>0</v>
      </c>
      <c r="U50" s="39" t="n">
        <f aca="false">MIN(N('My Debts'!$E$15),K50)</f>
        <v>0</v>
      </c>
      <c r="V50" s="39" t="n">
        <f aca="false">ROUND(B50-L50-MIN(B50-L50,MAX(0,$AF50-SUMPRODUCT(--($B$4:$K$4&lt;B$4),$B50:$K50-$L50:$U50))),2)</f>
        <v>0</v>
      </c>
      <c r="W50" s="39" t="n">
        <f aca="false">ROUND(C50-M50-MIN(C50-M50,MAX(0,$AF50-SUMPRODUCT(--($B$4:$K$4&lt;C$4),$B50:$K50-$L50:$U50))),2)</f>
        <v>0</v>
      </c>
      <c r="X50" s="39" t="n">
        <f aca="false">ROUND(D50-N50-MIN(D50-N50,MAX(0,$AF50-SUMPRODUCT(--($B$4:$K$4&lt;D$4),$B50:$K50-$L50:$U50))),2)</f>
        <v>0</v>
      </c>
      <c r="Y50" s="39" t="n">
        <f aca="false">ROUND(E50-O50-MIN(E50-O50,MAX(0,$AF50-SUMPRODUCT(--($B$4:$K$4&lt;E$4),$B50:$K50-$L50:$U50))),2)</f>
        <v>0</v>
      </c>
      <c r="Z50" s="39" t="n">
        <f aca="false">ROUND(F50-P50-MIN(F50-P50,MAX(0,$AF50-SUMPRODUCT(--($B$4:$K$4&lt;F$4),$B50:$K50-$L50:$U50))),2)</f>
        <v>0</v>
      </c>
      <c r="AA50" s="39" t="n">
        <f aca="false">ROUND(G50-Q50-MIN(G50-Q50,MAX(0,$AF50-SUMPRODUCT(--($B$4:$K$4&lt;G$4),$B50:$K50-$L50:$U50))),2)</f>
        <v>0</v>
      </c>
      <c r="AB50" s="39" t="n">
        <f aca="false">ROUND(H50-R50-MIN(H50-R50,MAX(0,$AF50-SUMPRODUCT(--($B$4:$K$4&lt;H$4),$B50:$K50-$L50:$U50))),2)</f>
        <v>0</v>
      </c>
      <c r="AC50" s="39" t="n">
        <f aca="false">ROUND(I50-S50-MIN(I50-S50,MAX(0,$AF50-SUMPRODUCT(--($B$4:$K$4&lt;I$4),$B50:$K50-$L50:$U50))),2)</f>
        <v>0</v>
      </c>
      <c r="AD50" s="39" t="n">
        <f aca="false">ROUND(J50-T50-MIN(J50-T50,MAX(0,$AF50-SUMPRODUCT(--($B$4:$K$4&lt;J$4),$B50:$K50-$L50:$U50))),2)</f>
        <v>0</v>
      </c>
      <c r="AE50" s="39" t="n">
        <f aca="false">ROUND(K50-U50-MIN(K50-U50,MAX(0,$AF50-SUMPRODUCT(--($B$4:$K$4&lt;K$4),$B50:$K50-$L50:$U50))),2)</f>
        <v>0</v>
      </c>
      <c r="AF50" s="39" t="n">
        <f aca="false">MAX(0,'Start Here'!$C$5-SUM($L50:$U50))</f>
        <v>1200</v>
      </c>
      <c r="AG50" s="39" t="n">
        <f aca="false">SUM(V50:AE50)</f>
        <v>0</v>
      </c>
      <c r="AH50" s="39" t="n">
        <f aca="false">SUM(B50:K50)-AG49</f>
        <v>0</v>
      </c>
    </row>
    <row r="51" customFormat="false" ht="15" hidden="false" customHeight="false" outlineLevel="0" collapsed="false">
      <c r="A51" s="40" t="n">
        <f aca="false">DATE(YEAR('Start Here'!$C$6),MONTH('Start Here'!$C$6)+44,1)</f>
        <v>47635</v>
      </c>
      <c r="B51" s="39" t="n">
        <f aca="false">ROUND(V50*(1+N('My Debts'!$D$6)/12),2)</f>
        <v>0</v>
      </c>
      <c r="C51" s="39" t="n">
        <f aca="false">ROUND(W50*(1+N('My Debts'!$D$7)/12),2)</f>
        <v>0</v>
      </c>
      <c r="D51" s="39" t="n">
        <f aca="false">ROUND(X50*(1+N('My Debts'!$D$8)/12),2)</f>
        <v>0</v>
      </c>
      <c r="E51" s="39" t="n">
        <f aca="false">ROUND(Y50*(1+N('My Debts'!$D$9)/12),2)</f>
        <v>0</v>
      </c>
      <c r="F51" s="39" t="n">
        <f aca="false">ROUND(Z50*(1+N('My Debts'!$D$10)/12),2)</f>
        <v>0</v>
      </c>
      <c r="G51" s="39" t="n">
        <f aca="false">ROUND(AA50*(1+N('My Debts'!$D$11)/12),2)</f>
        <v>0</v>
      </c>
      <c r="H51" s="39" t="n">
        <f aca="false">ROUND(AB50*(1+N('My Debts'!$D$12)/12),2)</f>
        <v>0</v>
      </c>
      <c r="I51" s="39" t="n">
        <f aca="false">ROUND(AC50*(1+N('My Debts'!$D$13)/12),2)</f>
        <v>0</v>
      </c>
      <c r="J51" s="39" t="n">
        <f aca="false">ROUND(AD50*(1+N('My Debts'!$D$14)/12),2)</f>
        <v>0</v>
      </c>
      <c r="K51" s="39" t="n">
        <f aca="false">ROUND(AE50*(1+N('My Debts'!$D$15)/12),2)</f>
        <v>0</v>
      </c>
      <c r="L51" s="39" t="n">
        <f aca="false">MIN(N('My Debts'!$E$6),B51)</f>
        <v>0</v>
      </c>
      <c r="M51" s="39" t="n">
        <f aca="false">MIN(N('My Debts'!$E$7),C51)</f>
        <v>0</v>
      </c>
      <c r="N51" s="39" t="n">
        <f aca="false">MIN(N('My Debts'!$E$8),D51)</f>
        <v>0</v>
      </c>
      <c r="O51" s="39" t="n">
        <f aca="false">MIN(N('My Debts'!$E$9),E51)</f>
        <v>0</v>
      </c>
      <c r="P51" s="39" t="n">
        <f aca="false">MIN(N('My Debts'!$E$10),F51)</f>
        <v>0</v>
      </c>
      <c r="Q51" s="39" t="n">
        <f aca="false">MIN(N('My Debts'!$E$11),G51)</f>
        <v>0</v>
      </c>
      <c r="R51" s="39" t="n">
        <f aca="false">MIN(N('My Debts'!$E$12),H51)</f>
        <v>0</v>
      </c>
      <c r="S51" s="39" t="n">
        <f aca="false">MIN(N('My Debts'!$E$13),I51)</f>
        <v>0</v>
      </c>
      <c r="T51" s="39" t="n">
        <f aca="false">MIN(N('My Debts'!$E$14),J51)</f>
        <v>0</v>
      </c>
      <c r="U51" s="39" t="n">
        <f aca="false">MIN(N('My Debts'!$E$15),K51)</f>
        <v>0</v>
      </c>
      <c r="V51" s="39" t="n">
        <f aca="false">ROUND(B51-L51-MIN(B51-L51,MAX(0,$AF51-SUMPRODUCT(--($B$4:$K$4&lt;B$4),$B51:$K51-$L51:$U51))),2)</f>
        <v>0</v>
      </c>
      <c r="W51" s="39" t="n">
        <f aca="false">ROUND(C51-M51-MIN(C51-M51,MAX(0,$AF51-SUMPRODUCT(--($B$4:$K$4&lt;C$4),$B51:$K51-$L51:$U51))),2)</f>
        <v>0</v>
      </c>
      <c r="X51" s="39" t="n">
        <f aca="false">ROUND(D51-N51-MIN(D51-N51,MAX(0,$AF51-SUMPRODUCT(--($B$4:$K$4&lt;D$4),$B51:$K51-$L51:$U51))),2)</f>
        <v>0</v>
      </c>
      <c r="Y51" s="39" t="n">
        <f aca="false">ROUND(E51-O51-MIN(E51-O51,MAX(0,$AF51-SUMPRODUCT(--($B$4:$K$4&lt;E$4),$B51:$K51-$L51:$U51))),2)</f>
        <v>0</v>
      </c>
      <c r="Z51" s="39" t="n">
        <f aca="false">ROUND(F51-P51-MIN(F51-P51,MAX(0,$AF51-SUMPRODUCT(--($B$4:$K$4&lt;F$4),$B51:$K51-$L51:$U51))),2)</f>
        <v>0</v>
      </c>
      <c r="AA51" s="39" t="n">
        <f aca="false">ROUND(G51-Q51-MIN(G51-Q51,MAX(0,$AF51-SUMPRODUCT(--($B$4:$K$4&lt;G$4),$B51:$K51-$L51:$U51))),2)</f>
        <v>0</v>
      </c>
      <c r="AB51" s="39" t="n">
        <f aca="false">ROUND(H51-R51-MIN(H51-R51,MAX(0,$AF51-SUMPRODUCT(--($B$4:$K$4&lt;H$4),$B51:$K51-$L51:$U51))),2)</f>
        <v>0</v>
      </c>
      <c r="AC51" s="39" t="n">
        <f aca="false">ROUND(I51-S51-MIN(I51-S51,MAX(0,$AF51-SUMPRODUCT(--($B$4:$K$4&lt;I$4),$B51:$K51-$L51:$U51))),2)</f>
        <v>0</v>
      </c>
      <c r="AD51" s="39" t="n">
        <f aca="false">ROUND(J51-T51-MIN(J51-T51,MAX(0,$AF51-SUMPRODUCT(--($B$4:$K$4&lt;J$4),$B51:$K51-$L51:$U51))),2)</f>
        <v>0</v>
      </c>
      <c r="AE51" s="39" t="n">
        <f aca="false">ROUND(K51-U51-MIN(K51-U51,MAX(0,$AF51-SUMPRODUCT(--($B$4:$K$4&lt;K$4),$B51:$K51-$L51:$U51))),2)</f>
        <v>0</v>
      </c>
      <c r="AF51" s="39" t="n">
        <f aca="false">MAX(0,'Start Here'!$C$5-SUM($L51:$U51))</f>
        <v>1200</v>
      </c>
      <c r="AG51" s="39" t="n">
        <f aca="false">SUM(V51:AE51)</f>
        <v>0</v>
      </c>
      <c r="AH51" s="39" t="n">
        <f aca="false">SUM(B51:K51)-AG50</f>
        <v>0</v>
      </c>
    </row>
    <row r="52" customFormat="false" ht="15" hidden="false" customHeight="false" outlineLevel="0" collapsed="false">
      <c r="A52" s="40" t="n">
        <f aca="false">DATE(YEAR('Start Here'!$C$6),MONTH('Start Here'!$C$6)+45,1)</f>
        <v>47665</v>
      </c>
      <c r="B52" s="39" t="n">
        <f aca="false">ROUND(V51*(1+N('My Debts'!$D$6)/12),2)</f>
        <v>0</v>
      </c>
      <c r="C52" s="39" t="n">
        <f aca="false">ROUND(W51*(1+N('My Debts'!$D$7)/12),2)</f>
        <v>0</v>
      </c>
      <c r="D52" s="39" t="n">
        <f aca="false">ROUND(X51*(1+N('My Debts'!$D$8)/12),2)</f>
        <v>0</v>
      </c>
      <c r="E52" s="39" t="n">
        <f aca="false">ROUND(Y51*(1+N('My Debts'!$D$9)/12),2)</f>
        <v>0</v>
      </c>
      <c r="F52" s="39" t="n">
        <f aca="false">ROUND(Z51*(1+N('My Debts'!$D$10)/12),2)</f>
        <v>0</v>
      </c>
      <c r="G52" s="39" t="n">
        <f aca="false">ROUND(AA51*(1+N('My Debts'!$D$11)/12),2)</f>
        <v>0</v>
      </c>
      <c r="H52" s="39" t="n">
        <f aca="false">ROUND(AB51*(1+N('My Debts'!$D$12)/12),2)</f>
        <v>0</v>
      </c>
      <c r="I52" s="39" t="n">
        <f aca="false">ROUND(AC51*(1+N('My Debts'!$D$13)/12),2)</f>
        <v>0</v>
      </c>
      <c r="J52" s="39" t="n">
        <f aca="false">ROUND(AD51*(1+N('My Debts'!$D$14)/12),2)</f>
        <v>0</v>
      </c>
      <c r="K52" s="39" t="n">
        <f aca="false">ROUND(AE51*(1+N('My Debts'!$D$15)/12),2)</f>
        <v>0</v>
      </c>
      <c r="L52" s="39" t="n">
        <f aca="false">MIN(N('My Debts'!$E$6),B52)</f>
        <v>0</v>
      </c>
      <c r="M52" s="39" t="n">
        <f aca="false">MIN(N('My Debts'!$E$7),C52)</f>
        <v>0</v>
      </c>
      <c r="N52" s="39" t="n">
        <f aca="false">MIN(N('My Debts'!$E$8),D52)</f>
        <v>0</v>
      </c>
      <c r="O52" s="39" t="n">
        <f aca="false">MIN(N('My Debts'!$E$9),E52)</f>
        <v>0</v>
      </c>
      <c r="P52" s="39" t="n">
        <f aca="false">MIN(N('My Debts'!$E$10),F52)</f>
        <v>0</v>
      </c>
      <c r="Q52" s="39" t="n">
        <f aca="false">MIN(N('My Debts'!$E$11),G52)</f>
        <v>0</v>
      </c>
      <c r="R52" s="39" t="n">
        <f aca="false">MIN(N('My Debts'!$E$12),H52)</f>
        <v>0</v>
      </c>
      <c r="S52" s="39" t="n">
        <f aca="false">MIN(N('My Debts'!$E$13),I52)</f>
        <v>0</v>
      </c>
      <c r="T52" s="39" t="n">
        <f aca="false">MIN(N('My Debts'!$E$14),J52)</f>
        <v>0</v>
      </c>
      <c r="U52" s="39" t="n">
        <f aca="false">MIN(N('My Debts'!$E$15),K52)</f>
        <v>0</v>
      </c>
      <c r="V52" s="39" t="n">
        <f aca="false">ROUND(B52-L52-MIN(B52-L52,MAX(0,$AF52-SUMPRODUCT(--($B$4:$K$4&lt;B$4),$B52:$K52-$L52:$U52))),2)</f>
        <v>0</v>
      </c>
      <c r="W52" s="39" t="n">
        <f aca="false">ROUND(C52-M52-MIN(C52-M52,MAX(0,$AF52-SUMPRODUCT(--($B$4:$K$4&lt;C$4),$B52:$K52-$L52:$U52))),2)</f>
        <v>0</v>
      </c>
      <c r="X52" s="39" t="n">
        <f aca="false">ROUND(D52-N52-MIN(D52-N52,MAX(0,$AF52-SUMPRODUCT(--($B$4:$K$4&lt;D$4),$B52:$K52-$L52:$U52))),2)</f>
        <v>0</v>
      </c>
      <c r="Y52" s="39" t="n">
        <f aca="false">ROUND(E52-O52-MIN(E52-O52,MAX(0,$AF52-SUMPRODUCT(--($B$4:$K$4&lt;E$4),$B52:$K52-$L52:$U52))),2)</f>
        <v>0</v>
      </c>
      <c r="Z52" s="39" t="n">
        <f aca="false">ROUND(F52-P52-MIN(F52-P52,MAX(0,$AF52-SUMPRODUCT(--($B$4:$K$4&lt;F$4),$B52:$K52-$L52:$U52))),2)</f>
        <v>0</v>
      </c>
      <c r="AA52" s="39" t="n">
        <f aca="false">ROUND(G52-Q52-MIN(G52-Q52,MAX(0,$AF52-SUMPRODUCT(--($B$4:$K$4&lt;G$4),$B52:$K52-$L52:$U52))),2)</f>
        <v>0</v>
      </c>
      <c r="AB52" s="39" t="n">
        <f aca="false">ROUND(H52-R52-MIN(H52-R52,MAX(0,$AF52-SUMPRODUCT(--($B$4:$K$4&lt;H$4),$B52:$K52-$L52:$U52))),2)</f>
        <v>0</v>
      </c>
      <c r="AC52" s="39" t="n">
        <f aca="false">ROUND(I52-S52-MIN(I52-S52,MAX(0,$AF52-SUMPRODUCT(--($B$4:$K$4&lt;I$4),$B52:$K52-$L52:$U52))),2)</f>
        <v>0</v>
      </c>
      <c r="AD52" s="39" t="n">
        <f aca="false">ROUND(J52-T52-MIN(J52-T52,MAX(0,$AF52-SUMPRODUCT(--($B$4:$K$4&lt;J$4),$B52:$K52-$L52:$U52))),2)</f>
        <v>0</v>
      </c>
      <c r="AE52" s="39" t="n">
        <f aca="false">ROUND(K52-U52-MIN(K52-U52,MAX(0,$AF52-SUMPRODUCT(--($B$4:$K$4&lt;K$4),$B52:$K52-$L52:$U52))),2)</f>
        <v>0</v>
      </c>
      <c r="AF52" s="39" t="n">
        <f aca="false">MAX(0,'Start Here'!$C$5-SUM($L52:$U52))</f>
        <v>1200</v>
      </c>
      <c r="AG52" s="39" t="n">
        <f aca="false">SUM(V52:AE52)</f>
        <v>0</v>
      </c>
      <c r="AH52" s="39" t="n">
        <f aca="false">SUM(B52:K52)-AG51</f>
        <v>0</v>
      </c>
    </row>
    <row r="53" customFormat="false" ht="15" hidden="false" customHeight="false" outlineLevel="0" collapsed="false">
      <c r="A53" s="40" t="n">
        <f aca="false">DATE(YEAR('Start Here'!$C$6),MONTH('Start Here'!$C$6)+46,1)</f>
        <v>47696</v>
      </c>
      <c r="B53" s="39" t="n">
        <f aca="false">ROUND(V52*(1+N('My Debts'!$D$6)/12),2)</f>
        <v>0</v>
      </c>
      <c r="C53" s="39" t="n">
        <f aca="false">ROUND(W52*(1+N('My Debts'!$D$7)/12),2)</f>
        <v>0</v>
      </c>
      <c r="D53" s="39" t="n">
        <f aca="false">ROUND(X52*(1+N('My Debts'!$D$8)/12),2)</f>
        <v>0</v>
      </c>
      <c r="E53" s="39" t="n">
        <f aca="false">ROUND(Y52*(1+N('My Debts'!$D$9)/12),2)</f>
        <v>0</v>
      </c>
      <c r="F53" s="39" t="n">
        <f aca="false">ROUND(Z52*(1+N('My Debts'!$D$10)/12),2)</f>
        <v>0</v>
      </c>
      <c r="G53" s="39" t="n">
        <f aca="false">ROUND(AA52*(1+N('My Debts'!$D$11)/12),2)</f>
        <v>0</v>
      </c>
      <c r="H53" s="39" t="n">
        <f aca="false">ROUND(AB52*(1+N('My Debts'!$D$12)/12),2)</f>
        <v>0</v>
      </c>
      <c r="I53" s="39" t="n">
        <f aca="false">ROUND(AC52*(1+N('My Debts'!$D$13)/12),2)</f>
        <v>0</v>
      </c>
      <c r="J53" s="39" t="n">
        <f aca="false">ROUND(AD52*(1+N('My Debts'!$D$14)/12),2)</f>
        <v>0</v>
      </c>
      <c r="K53" s="39" t="n">
        <f aca="false">ROUND(AE52*(1+N('My Debts'!$D$15)/12),2)</f>
        <v>0</v>
      </c>
      <c r="L53" s="39" t="n">
        <f aca="false">MIN(N('My Debts'!$E$6),B53)</f>
        <v>0</v>
      </c>
      <c r="M53" s="39" t="n">
        <f aca="false">MIN(N('My Debts'!$E$7),C53)</f>
        <v>0</v>
      </c>
      <c r="N53" s="39" t="n">
        <f aca="false">MIN(N('My Debts'!$E$8),D53)</f>
        <v>0</v>
      </c>
      <c r="O53" s="39" t="n">
        <f aca="false">MIN(N('My Debts'!$E$9),E53)</f>
        <v>0</v>
      </c>
      <c r="P53" s="39" t="n">
        <f aca="false">MIN(N('My Debts'!$E$10),F53)</f>
        <v>0</v>
      </c>
      <c r="Q53" s="39" t="n">
        <f aca="false">MIN(N('My Debts'!$E$11),G53)</f>
        <v>0</v>
      </c>
      <c r="R53" s="39" t="n">
        <f aca="false">MIN(N('My Debts'!$E$12),H53)</f>
        <v>0</v>
      </c>
      <c r="S53" s="39" t="n">
        <f aca="false">MIN(N('My Debts'!$E$13),I53)</f>
        <v>0</v>
      </c>
      <c r="T53" s="39" t="n">
        <f aca="false">MIN(N('My Debts'!$E$14),J53)</f>
        <v>0</v>
      </c>
      <c r="U53" s="39" t="n">
        <f aca="false">MIN(N('My Debts'!$E$15),K53)</f>
        <v>0</v>
      </c>
      <c r="V53" s="39" t="n">
        <f aca="false">ROUND(B53-L53-MIN(B53-L53,MAX(0,$AF53-SUMPRODUCT(--($B$4:$K$4&lt;B$4),$B53:$K53-$L53:$U53))),2)</f>
        <v>0</v>
      </c>
      <c r="W53" s="39" t="n">
        <f aca="false">ROUND(C53-M53-MIN(C53-M53,MAX(0,$AF53-SUMPRODUCT(--($B$4:$K$4&lt;C$4),$B53:$K53-$L53:$U53))),2)</f>
        <v>0</v>
      </c>
      <c r="X53" s="39" t="n">
        <f aca="false">ROUND(D53-N53-MIN(D53-N53,MAX(0,$AF53-SUMPRODUCT(--($B$4:$K$4&lt;D$4),$B53:$K53-$L53:$U53))),2)</f>
        <v>0</v>
      </c>
      <c r="Y53" s="39" t="n">
        <f aca="false">ROUND(E53-O53-MIN(E53-O53,MAX(0,$AF53-SUMPRODUCT(--($B$4:$K$4&lt;E$4),$B53:$K53-$L53:$U53))),2)</f>
        <v>0</v>
      </c>
      <c r="Z53" s="39" t="n">
        <f aca="false">ROUND(F53-P53-MIN(F53-P53,MAX(0,$AF53-SUMPRODUCT(--($B$4:$K$4&lt;F$4),$B53:$K53-$L53:$U53))),2)</f>
        <v>0</v>
      </c>
      <c r="AA53" s="39" t="n">
        <f aca="false">ROUND(G53-Q53-MIN(G53-Q53,MAX(0,$AF53-SUMPRODUCT(--($B$4:$K$4&lt;G$4),$B53:$K53-$L53:$U53))),2)</f>
        <v>0</v>
      </c>
      <c r="AB53" s="39" t="n">
        <f aca="false">ROUND(H53-R53-MIN(H53-R53,MAX(0,$AF53-SUMPRODUCT(--($B$4:$K$4&lt;H$4),$B53:$K53-$L53:$U53))),2)</f>
        <v>0</v>
      </c>
      <c r="AC53" s="39" t="n">
        <f aca="false">ROUND(I53-S53-MIN(I53-S53,MAX(0,$AF53-SUMPRODUCT(--($B$4:$K$4&lt;I$4),$B53:$K53-$L53:$U53))),2)</f>
        <v>0</v>
      </c>
      <c r="AD53" s="39" t="n">
        <f aca="false">ROUND(J53-T53-MIN(J53-T53,MAX(0,$AF53-SUMPRODUCT(--($B$4:$K$4&lt;J$4),$B53:$K53-$L53:$U53))),2)</f>
        <v>0</v>
      </c>
      <c r="AE53" s="39" t="n">
        <f aca="false">ROUND(K53-U53-MIN(K53-U53,MAX(0,$AF53-SUMPRODUCT(--($B$4:$K$4&lt;K$4),$B53:$K53-$L53:$U53))),2)</f>
        <v>0</v>
      </c>
      <c r="AF53" s="39" t="n">
        <f aca="false">MAX(0,'Start Here'!$C$5-SUM($L53:$U53))</f>
        <v>1200</v>
      </c>
      <c r="AG53" s="39" t="n">
        <f aca="false">SUM(V53:AE53)</f>
        <v>0</v>
      </c>
      <c r="AH53" s="39" t="n">
        <f aca="false">SUM(B53:K53)-AG52</f>
        <v>0</v>
      </c>
    </row>
    <row r="54" customFormat="false" ht="15" hidden="false" customHeight="false" outlineLevel="0" collapsed="false">
      <c r="A54" s="40" t="n">
        <f aca="false">DATE(YEAR('Start Here'!$C$6),MONTH('Start Here'!$C$6)+47,1)</f>
        <v>47727</v>
      </c>
      <c r="B54" s="39" t="n">
        <f aca="false">ROUND(V53*(1+N('My Debts'!$D$6)/12),2)</f>
        <v>0</v>
      </c>
      <c r="C54" s="39" t="n">
        <f aca="false">ROUND(W53*(1+N('My Debts'!$D$7)/12),2)</f>
        <v>0</v>
      </c>
      <c r="D54" s="39" t="n">
        <f aca="false">ROUND(X53*(1+N('My Debts'!$D$8)/12),2)</f>
        <v>0</v>
      </c>
      <c r="E54" s="39" t="n">
        <f aca="false">ROUND(Y53*(1+N('My Debts'!$D$9)/12),2)</f>
        <v>0</v>
      </c>
      <c r="F54" s="39" t="n">
        <f aca="false">ROUND(Z53*(1+N('My Debts'!$D$10)/12),2)</f>
        <v>0</v>
      </c>
      <c r="G54" s="39" t="n">
        <f aca="false">ROUND(AA53*(1+N('My Debts'!$D$11)/12),2)</f>
        <v>0</v>
      </c>
      <c r="H54" s="39" t="n">
        <f aca="false">ROUND(AB53*(1+N('My Debts'!$D$12)/12),2)</f>
        <v>0</v>
      </c>
      <c r="I54" s="39" t="n">
        <f aca="false">ROUND(AC53*(1+N('My Debts'!$D$13)/12),2)</f>
        <v>0</v>
      </c>
      <c r="J54" s="39" t="n">
        <f aca="false">ROUND(AD53*(1+N('My Debts'!$D$14)/12),2)</f>
        <v>0</v>
      </c>
      <c r="K54" s="39" t="n">
        <f aca="false">ROUND(AE53*(1+N('My Debts'!$D$15)/12),2)</f>
        <v>0</v>
      </c>
      <c r="L54" s="39" t="n">
        <f aca="false">MIN(N('My Debts'!$E$6),B54)</f>
        <v>0</v>
      </c>
      <c r="M54" s="39" t="n">
        <f aca="false">MIN(N('My Debts'!$E$7),C54)</f>
        <v>0</v>
      </c>
      <c r="N54" s="39" t="n">
        <f aca="false">MIN(N('My Debts'!$E$8),D54)</f>
        <v>0</v>
      </c>
      <c r="O54" s="39" t="n">
        <f aca="false">MIN(N('My Debts'!$E$9),E54)</f>
        <v>0</v>
      </c>
      <c r="P54" s="39" t="n">
        <f aca="false">MIN(N('My Debts'!$E$10),F54)</f>
        <v>0</v>
      </c>
      <c r="Q54" s="39" t="n">
        <f aca="false">MIN(N('My Debts'!$E$11),G54)</f>
        <v>0</v>
      </c>
      <c r="R54" s="39" t="n">
        <f aca="false">MIN(N('My Debts'!$E$12),H54)</f>
        <v>0</v>
      </c>
      <c r="S54" s="39" t="n">
        <f aca="false">MIN(N('My Debts'!$E$13),I54)</f>
        <v>0</v>
      </c>
      <c r="T54" s="39" t="n">
        <f aca="false">MIN(N('My Debts'!$E$14),J54)</f>
        <v>0</v>
      </c>
      <c r="U54" s="39" t="n">
        <f aca="false">MIN(N('My Debts'!$E$15),K54)</f>
        <v>0</v>
      </c>
      <c r="V54" s="39" t="n">
        <f aca="false">ROUND(B54-L54-MIN(B54-L54,MAX(0,$AF54-SUMPRODUCT(--($B$4:$K$4&lt;B$4),$B54:$K54-$L54:$U54))),2)</f>
        <v>0</v>
      </c>
      <c r="W54" s="39" t="n">
        <f aca="false">ROUND(C54-M54-MIN(C54-M54,MAX(0,$AF54-SUMPRODUCT(--($B$4:$K$4&lt;C$4),$B54:$K54-$L54:$U54))),2)</f>
        <v>0</v>
      </c>
      <c r="X54" s="39" t="n">
        <f aca="false">ROUND(D54-N54-MIN(D54-N54,MAX(0,$AF54-SUMPRODUCT(--($B$4:$K$4&lt;D$4),$B54:$K54-$L54:$U54))),2)</f>
        <v>0</v>
      </c>
      <c r="Y54" s="39" t="n">
        <f aca="false">ROUND(E54-O54-MIN(E54-O54,MAX(0,$AF54-SUMPRODUCT(--($B$4:$K$4&lt;E$4),$B54:$K54-$L54:$U54))),2)</f>
        <v>0</v>
      </c>
      <c r="Z54" s="39" t="n">
        <f aca="false">ROUND(F54-P54-MIN(F54-P54,MAX(0,$AF54-SUMPRODUCT(--($B$4:$K$4&lt;F$4),$B54:$K54-$L54:$U54))),2)</f>
        <v>0</v>
      </c>
      <c r="AA54" s="39" t="n">
        <f aca="false">ROUND(G54-Q54-MIN(G54-Q54,MAX(0,$AF54-SUMPRODUCT(--($B$4:$K$4&lt;G$4),$B54:$K54-$L54:$U54))),2)</f>
        <v>0</v>
      </c>
      <c r="AB54" s="39" t="n">
        <f aca="false">ROUND(H54-R54-MIN(H54-R54,MAX(0,$AF54-SUMPRODUCT(--($B$4:$K$4&lt;H$4),$B54:$K54-$L54:$U54))),2)</f>
        <v>0</v>
      </c>
      <c r="AC54" s="39" t="n">
        <f aca="false">ROUND(I54-S54-MIN(I54-S54,MAX(0,$AF54-SUMPRODUCT(--($B$4:$K$4&lt;I$4),$B54:$K54-$L54:$U54))),2)</f>
        <v>0</v>
      </c>
      <c r="AD54" s="39" t="n">
        <f aca="false">ROUND(J54-T54-MIN(J54-T54,MAX(0,$AF54-SUMPRODUCT(--($B$4:$K$4&lt;J$4),$B54:$K54-$L54:$U54))),2)</f>
        <v>0</v>
      </c>
      <c r="AE54" s="39" t="n">
        <f aca="false">ROUND(K54-U54-MIN(K54-U54,MAX(0,$AF54-SUMPRODUCT(--($B$4:$K$4&lt;K$4),$B54:$K54-$L54:$U54))),2)</f>
        <v>0</v>
      </c>
      <c r="AF54" s="39" t="n">
        <f aca="false">MAX(0,'Start Here'!$C$5-SUM($L54:$U54))</f>
        <v>1200</v>
      </c>
      <c r="AG54" s="39" t="n">
        <f aca="false">SUM(V54:AE54)</f>
        <v>0</v>
      </c>
      <c r="AH54" s="39" t="n">
        <f aca="false">SUM(B54:K54)-AG53</f>
        <v>0</v>
      </c>
    </row>
    <row r="55" customFormat="false" ht="15" hidden="false" customHeight="false" outlineLevel="0" collapsed="false">
      <c r="A55" s="40" t="n">
        <f aca="false">DATE(YEAR('Start Here'!$C$6),MONTH('Start Here'!$C$6)+48,1)</f>
        <v>47757</v>
      </c>
      <c r="B55" s="39" t="n">
        <f aca="false">ROUND(V54*(1+N('My Debts'!$D$6)/12),2)</f>
        <v>0</v>
      </c>
      <c r="C55" s="39" t="n">
        <f aca="false">ROUND(W54*(1+N('My Debts'!$D$7)/12),2)</f>
        <v>0</v>
      </c>
      <c r="D55" s="39" t="n">
        <f aca="false">ROUND(X54*(1+N('My Debts'!$D$8)/12),2)</f>
        <v>0</v>
      </c>
      <c r="E55" s="39" t="n">
        <f aca="false">ROUND(Y54*(1+N('My Debts'!$D$9)/12),2)</f>
        <v>0</v>
      </c>
      <c r="F55" s="39" t="n">
        <f aca="false">ROUND(Z54*(1+N('My Debts'!$D$10)/12),2)</f>
        <v>0</v>
      </c>
      <c r="G55" s="39" t="n">
        <f aca="false">ROUND(AA54*(1+N('My Debts'!$D$11)/12),2)</f>
        <v>0</v>
      </c>
      <c r="H55" s="39" t="n">
        <f aca="false">ROUND(AB54*(1+N('My Debts'!$D$12)/12),2)</f>
        <v>0</v>
      </c>
      <c r="I55" s="39" t="n">
        <f aca="false">ROUND(AC54*(1+N('My Debts'!$D$13)/12),2)</f>
        <v>0</v>
      </c>
      <c r="J55" s="39" t="n">
        <f aca="false">ROUND(AD54*(1+N('My Debts'!$D$14)/12),2)</f>
        <v>0</v>
      </c>
      <c r="K55" s="39" t="n">
        <f aca="false">ROUND(AE54*(1+N('My Debts'!$D$15)/12),2)</f>
        <v>0</v>
      </c>
      <c r="L55" s="39" t="n">
        <f aca="false">MIN(N('My Debts'!$E$6),B55)</f>
        <v>0</v>
      </c>
      <c r="M55" s="39" t="n">
        <f aca="false">MIN(N('My Debts'!$E$7),C55)</f>
        <v>0</v>
      </c>
      <c r="N55" s="39" t="n">
        <f aca="false">MIN(N('My Debts'!$E$8),D55)</f>
        <v>0</v>
      </c>
      <c r="O55" s="39" t="n">
        <f aca="false">MIN(N('My Debts'!$E$9),E55)</f>
        <v>0</v>
      </c>
      <c r="P55" s="39" t="n">
        <f aca="false">MIN(N('My Debts'!$E$10),F55)</f>
        <v>0</v>
      </c>
      <c r="Q55" s="39" t="n">
        <f aca="false">MIN(N('My Debts'!$E$11),G55)</f>
        <v>0</v>
      </c>
      <c r="R55" s="39" t="n">
        <f aca="false">MIN(N('My Debts'!$E$12),H55)</f>
        <v>0</v>
      </c>
      <c r="S55" s="39" t="n">
        <f aca="false">MIN(N('My Debts'!$E$13),I55)</f>
        <v>0</v>
      </c>
      <c r="T55" s="39" t="n">
        <f aca="false">MIN(N('My Debts'!$E$14),J55)</f>
        <v>0</v>
      </c>
      <c r="U55" s="39" t="n">
        <f aca="false">MIN(N('My Debts'!$E$15),K55)</f>
        <v>0</v>
      </c>
      <c r="V55" s="39" t="n">
        <f aca="false">ROUND(B55-L55-MIN(B55-L55,MAX(0,$AF55-SUMPRODUCT(--($B$4:$K$4&lt;B$4),$B55:$K55-$L55:$U55))),2)</f>
        <v>0</v>
      </c>
      <c r="W55" s="39" t="n">
        <f aca="false">ROUND(C55-M55-MIN(C55-M55,MAX(0,$AF55-SUMPRODUCT(--($B$4:$K$4&lt;C$4),$B55:$K55-$L55:$U55))),2)</f>
        <v>0</v>
      </c>
      <c r="X55" s="39" t="n">
        <f aca="false">ROUND(D55-N55-MIN(D55-N55,MAX(0,$AF55-SUMPRODUCT(--($B$4:$K$4&lt;D$4),$B55:$K55-$L55:$U55))),2)</f>
        <v>0</v>
      </c>
      <c r="Y55" s="39" t="n">
        <f aca="false">ROUND(E55-O55-MIN(E55-O55,MAX(0,$AF55-SUMPRODUCT(--($B$4:$K$4&lt;E$4),$B55:$K55-$L55:$U55))),2)</f>
        <v>0</v>
      </c>
      <c r="Z55" s="39" t="n">
        <f aca="false">ROUND(F55-P55-MIN(F55-P55,MAX(0,$AF55-SUMPRODUCT(--($B$4:$K$4&lt;F$4),$B55:$K55-$L55:$U55))),2)</f>
        <v>0</v>
      </c>
      <c r="AA55" s="39" t="n">
        <f aca="false">ROUND(G55-Q55-MIN(G55-Q55,MAX(0,$AF55-SUMPRODUCT(--($B$4:$K$4&lt;G$4),$B55:$K55-$L55:$U55))),2)</f>
        <v>0</v>
      </c>
      <c r="AB55" s="39" t="n">
        <f aca="false">ROUND(H55-R55-MIN(H55-R55,MAX(0,$AF55-SUMPRODUCT(--($B$4:$K$4&lt;H$4),$B55:$K55-$L55:$U55))),2)</f>
        <v>0</v>
      </c>
      <c r="AC55" s="39" t="n">
        <f aca="false">ROUND(I55-S55-MIN(I55-S55,MAX(0,$AF55-SUMPRODUCT(--($B$4:$K$4&lt;I$4),$B55:$K55-$L55:$U55))),2)</f>
        <v>0</v>
      </c>
      <c r="AD55" s="39" t="n">
        <f aca="false">ROUND(J55-T55-MIN(J55-T55,MAX(0,$AF55-SUMPRODUCT(--($B$4:$K$4&lt;J$4),$B55:$K55-$L55:$U55))),2)</f>
        <v>0</v>
      </c>
      <c r="AE55" s="39" t="n">
        <f aca="false">ROUND(K55-U55-MIN(K55-U55,MAX(0,$AF55-SUMPRODUCT(--($B$4:$K$4&lt;K$4),$B55:$K55-$L55:$U55))),2)</f>
        <v>0</v>
      </c>
      <c r="AF55" s="39" t="n">
        <f aca="false">MAX(0,'Start Here'!$C$5-SUM($L55:$U55))</f>
        <v>1200</v>
      </c>
      <c r="AG55" s="39" t="n">
        <f aca="false">SUM(V55:AE55)</f>
        <v>0</v>
      </c>
      <c r="AH55" s="39" t="n">
        <f aca="false">SUM(B55:K55)-AG54</f>
        <v>0</v>
      </c>
    </row>
    <row r="56" customFormat="false" ht="15" hidden="false" customHeight="false" outlineLevel="0" collapsed="false">
      <c r="A56" s="40" t="n">
        <f aca="false">DATE(YEAR('Start Here'!$C$6),MONTH('Start Here'!$C$6)+49,1)</f>
        <v>47788</v>
      </c>
      <c r="B56" s="39" t="n">
        <f aca="false">ROUND(V55*(1+N('My Debts'!$D$6)/12),2)</f>
        <v>0</v>
      </c>
      <c r="C56" s="39" t="n">
        <f aca="false">ROUND(W55*(1+N('My Debts'!$D$7)/12),2)</f>
        <v>0</v>
      </c>
      <c r="D56" s="39" t="n">
        <f aca="false">ROUND(X55*(1+N('My Debts'!$D$8)/12),2)</f>
        <v>0</v>
      </c>
      <c r="E56" s="39" t="n">
        <f aca="false">ROUND(Y55*(1+N('My Debts'!$D$9)/12),2)</f>
        <v>0</v>
      </c>
      <c r="F56" s="39" t="n">
        <f aca="false">ROUND(Z55*(1+N('My Debts'!$D$10)/12),2)</f>
        <v>0</v>
      </c>
      <c r="G56" s="39" t="n">
        <f aca="false">ROUND(AA55*(1+N('My Debts'!$D$11)/12),2)</f>
        <v>0</v>
      </c>
      <c r="H56" s="39" t="n">
        <f aca="false">ROUND(AB55*(1+N('My Debts'!$D$12)/12),2)</f>
        <v>0</v>
      </c>
      <c r="I56" s="39" t="n">
        <f aca="false">ROUND(AC55*(1+N('My Debts'!$D$13)/12),2)</f>
        <v>0</v>
      </c>
      <c r="J56" s="39" t="n">
        <f aca="false">ROUND(AD55*(1+N('My Debts'!$D$14)/12),2)</f>
        <v>0</v>
      </c>
      <c r="K56" s="39" t="n">
        <f aca="false">ROUND(AE55*(1+N('My Debts'!$D$15)/12),2)</f>
        <v>0</v>
      </c>
      <c r="L56" s="39" t="n">
        <f aca="false">MIN(N('My Debts'!$E$6),B56)</f>
        <v>0</v>
      </c>
      <c r="M56" s="39" t="n">
        <f aca="false">MIN(N('My Debts'!$E$7),C56)</f>
        <v>0</v>
      </c>
      <c r="N56" s="39" t="n">
        <f aca="false">MIN(N('My Debts'!$E$8),D56)</f>
        <v>0</v>
      </c>
      <c r="O56" s="39" t="n">
        <f aca="false">MIN(N('My Debts'!$E$9),E56)</f>
        <v>0</v>
      </c>
      <c r="P56" s="39" t="n">
        <f aca="false">MIN(N('My Debts'!$E$10),F56)</f>
        <v>0</v>
      </c>
      <c r="Q56" s="39" t="n">
        <f aca="false">MIN(N('My Debts'!$E$11),G56)</f>
        <v>0</v>
      </c>
      <c r="R56" s="39" t="n">
        <f aca="false">MIN(N('My Debts'!$E$12),H56)</f>
        <v>0</v>
      </c>
      <c r="S56" s="39" t="n">
        <f aca="false">MIN(N('My Debts'!$E$13),I56)</f>
        <v>0</v>
      </c>
      <c r="T56" s="39" t="n">
        <f aca="false">MIN(N('My Debts'!$E$14),J56)</f>
        <v>0</v>
      </c>
      <c r="U56" s="39" t="n">
        <f aca="false">MIN(N('My Debts'!$E$15),K56)</f>
        <v>0</v>
      </c>
      <c r="V56" s="39" t="n">
        <f aca="false">ROUND(B56-L56-MIN(B56-L56,MAX(0,$AF56-SUMPRODUCT(--($B$4:$K$4&lt;B$4),$B56:$K56-$L56:$U56))),2)</f>
        <v>0</v>
      </c>
      <c r="W56" s="39" t="n">
        <f aca="false">ROUND(C56-M56-MIN(C56-M56,MAX(0,$AF56-SUMPRODUCT(--($B$4:$K$4&lt;C$4),$B56:$K56-$L56:$U56))),2)</f>
        <v>0</v>
      </c>
      <c r="X56" s="39" t="n">
        <f aca="false">ROUND(D56-N56-MIN(D56-N56,MAX(0,$AF56-SUMPRODUCT(--($B$4:$K$4&lt;D$4),$B56:$K56-$L56:$U56))),2)</f>
        <v>0</v>
      </c>
      <c r="Y56" s="39" t="n">
        <f aca="false">ROUND(E56-O56-MIN(E56-O56,MAX(0,$AF56-SUMPRODUCT(--($B$4:$K$4&lt;E$4),$B56:$K56-$L56:$U56))),2)</f>
        <v>0</v>
      </c>
      <c r="Z56" s="39" t="n">
        <f aca="false">ROUND(F56-P56-MIN(F56-P56,MAX(0,$AF56-SUMPRODUCT(--($B$4:$K$4&lt;F$4),$B56:$K56-$L56:$U56))),2)</f>
        <v>0</v>
      </c>
      <c r="AA56" s="39" t="n">
        <f aca="false">ROUND(G56-Q56-MIN(G56-Q56,MAX(0,$AF56-SUMPRODUCT(--($B$4:$K$4&lt;G$4),$B56:$K56-$L56:$U56))),2)</f>
        <v>0</v>
      </c>
      <c r="AB56" s="39" t="n">
        <f aca="false">ROUND(H56-R56-MIN(H56-R56,MAX(0,$AF56-SUMPRODUCT(--($B$4:$K$4&lt;H$4),$B56:$K56-$L56:$U56))),2)</f>
        <v>0</v>
      </c>
      <c r="AC56" s="39" t="n">
        <f aca="false">ROUND(I56-S56-MIN(I56-S56,MAX(0,$AF56-SUMPRODUCT(--($B$4:$K$4&lt;I$4),$B56:$K56-$L56:$U56))),2)</f>
        <v>0</v>
      </c>
      <c r="AD56" s="39" t="n">
        <f aca="false">ROUND(J56-T56-MIN(J56-T56,MAX(0,$AF56-SUMPRODUCT(--($B$4:$K$4&lt;J$4),$B56:$K56-$L56:$U56))),2)</f>
        <v>0</v>
      </c>
      <c r="AE56" s="39" t="n">
        <f aca="false">ROUND(K56-U56-MIN(K56-U56,MAX(0,$AF56-SUMPRODUCT(--($B$4:$K$4&lt;K$4),$B56:$K56-$L56:$U56))),2)</f>
        <v>0</v>
      </c>
      <c r="AF56" s="39" t="n">
        <f aca="false">MAX(0,'Start Here'!$C$5-SUM($L56:$U56))</f>
        <v>1200</v>
      </c>
      <c r="AG56" s="39" t="n">
        <f aca="false">SUM(V56:AE56)</f>
        <v>0</v>
      </c>
      <c r="AH56" s="39" t="n">
        <f aca="false">SUM(B56:K56)-AG55</f>
        <v>0</v>
      </c>
    </row>
    <row r="57" customFormat="false" ht="15" hidden="false" customHeight="false" outlineLevel="0" collapsed="false">
      <c r="A57" s="40" t="n">
        <f aca="false">DATE(YEAR('Start Here'!$C$6),MONTH('Start Here'!$C$6)+50,1)</f>
        <v>47818</v>
      </c>
      <c r="B57" s="39" t="n">
        <f aca="false">ROUND(V56*(1+N('My Debts'!$D$6)/12),2)</f>
        <v>0</v>
      </c>
      <c r="C57" s="39" t="n">
        <f aca="false">ROUND(W56*(1+N('My Debts'!$D$7)/12),2)</f>
        <v>0</v>
      </c>
      <c r="D57" s="39" t="n">
        <f aca="false">ROUND(X56*(1+N('My Debts'!$D$8)/12),2)</f>
        <v>0</v>
      </c>
      <c r="E57" s="39" t="n">
        <f aca="false">ROUND(Y56*(1+N('My Debts'!$D$9)/12),2)</f>
        <v>0</v>
      </c>
      <c r="F57" s="39" t="n">
        <f aca="false">ROUND(Z56*(1+N('My Debts'!$D$10)/12),2)</f>
        <v>0</v>
      </c>
      <c r="G57" s="39" t="n">
        <f aca="false">ROUND(AA56*(1+N('My Debts'!$D$11)/12),2)</f>
        <v>0</v>
      </c>
      <c r="H57" s="39" t="n">
        <f aca="false">ROUND(AB56*(1+N('My Debts'!$D$12)/12),2)</f>
        <v>0</v>
      </c>
      <c r="I57" s="39" t="n">
        <f aca="false">ROUND(AC56*(1+N('My Debts'!$D$13)/12),2)</f>
        <v>0</v>
      </c>
      <c r="J57" s="39" t="n">
        <f aca="false">ROUND(AD56*(1+N('My Debts'!$D$14)/12),2)</f>
        <v>0</v>
      </c>
      <c r="K57" s="39" t="n">
        <f aca="false">ROUND(AE56*(1+N('My Debts'!$D$15)/12),2)</f>
        <v>0</v>
      </c>
      <c r="L57" s="39" t="n">
        <f aca="false">MIN(N('My Debts'!$E$6),B57)</f>
        <v>0</v>
      </c>
      <c r="M57" s="39" t="n">
        <f aca="false">MIN(N('My Debts'!$E$7),C57)</f>
        <v>0</v>
      </c>
      <c r="N57" s="39" t="n">
        <f aca="false">MIN(N('My Debts'!$E$8),D57)</f>
        <v>0</v>
      </c>
      <c r="O57" s="39" t="n">
        <f aca="false">MIN(N('My Debts'!$E$9),E57)</f>
        <v>0</v>
      </c>
      <c r="P57" s="39" t="n">
        <f aca="false">MIN(N('My Debts'!$E$10),F57)</f>
        <v>0</v>
      </c>
      <c r="Q57" s="39" t="n">
        <f aca="false">MIN(N('My Debts'!$E$11),G57)</f>
        <v>0</v>
      </c>
      <c r="R57" s="39" t="n">
        <f aca="false">MIN(N('My Debts'!$E$12),H57)</f>
        <v>0</v>
      </c>
      <c r="S57" s="39" t="n">
        <f aca="false">MIN(N('My Debts'!$E$13),I57)</f>
        <v>0</v>
      </c>
      <c r="T57" s="39" t="n">
        <f aca="false">MIN(N('My Debts'!$E$14),J57)</f>
        <v>0</v>
      </c>
      <c r="U57" s="39" t="n">
        <f aca="false">MIN(N('My Debts'!$E$15),K57)</f>
        <v>0</v>
      </c>
      <c r="V57" s="39" t="n">
        <f aca="false">ROUND(B57-L57-MIN(B57-L57,MAX(0,$AF57-SUMPRODUCT(--($B$4:$K$4&lt;B$4),$B57:$K57-$L57:$U57))),2)</f>
        <v>0</v>
      </c>
      <c r="W57" s="39" t="n">
        <f aca="false">ROUND(C57-M57-MIN(C57-M57,MAX(0,$AF57-SUMPRODUCT(--($B$4:$K$4&lt;C$4),$B57:$K57-$L57:$U57))),2)</f>
        <v>0</v>
      </c>
      <c r="X57" s="39" t="n">
        <f aca="false">ROUND(D57-N57-MIN(D57-N57,MAX(0,$AF57-SUMPRODUCT(--($B$4:$K$4&lt;D$4),$B57:$K57-$L57:$U57))),2)</f>
        <v>0</v>
      </c>
      <c r="Y57" s="39" t="n">
        <f aca="false">ROUND(E57-O57-MIN(E57-O57,MAX(0,$AF57-SUMPRODUCT(--($B$4:$K$4&lt;E$4),$B57:$K57-$L57:$U57))),2)</f>
        <v>0</v>
      </c>
      <c r="Z57" s="39" t="n">
        <f aca="false">ROUND(F57-P57-MIN(F57-P57,MAX(0,$AF57-SUMPRODUCT(--($B$4:$K$4&lt;F$4),$B57:$K57-$L57:$U57))),2)</f>
        <v>0</v>
      </c>
      <c r="AA57" s="39" t="n">
        <f aca="false">ROUND(G57-Q57-MIN(G57-Q57,MAX(0,$AF57-SUMPRODUCT(--($B$4:$K$4&lt;G$4),$B57:$K57-$L57:$U57))),2)</f>
        <v>0</v>
      </c>
      <c r="AB57" s="39" t="n">
        <f aca="false">ROUND(H57-R57-MIN(H57-R57,MAX(0,$AF57-SUMPRODUCT(--($B$4:$K$4&lt;H$4),$B57:$K57-$L57:$U57))),2)</f>
        <v>0</v>
      </c>
      <c r="AC57" s="39" t="n">
        <f aca="false">ROUND(I57-S57-MIN(I57-S57,MAX(0,$AF57-SUMPRODUCT(--($B$4:$K$4&lt;I$4),$B57:$K57-$L57:$U57))),2)</f>
        <v>0</v>
      </c>
      <c r="AD57" s="39" t="n">
        <f aca="false">ROUND(J57-T57-MIN(J57-T57,MAX(0,$AF57-SUMPRODUCT(--($B$4:$K$4&lt;J$4),$B57:$K57-$L57:$U57))),2)</f>
        <v>0</v>
      </c>
      <c r="AE57" s="39" t="n">
        <f aca="false">ROUND(K57-U57-MIN(K57-U57,MAX(0,$AF57-SUMPRODUCT(--($B$4:$K$4&lt;K$4),$B57:$K57-$L57:$U57))),2)</f>
        <v>0</v>
      </c>
      <c r="AF57" s="39" t="n">
        <f aca="false">MAX(0,'Start Here'!$C$5-SUM($L57:$U57))</f>
        <v>1200</v>
      </c>
      <c r="AG57" s="39" t="n">
        <f aca="false">SUM(V57:AE57)</f>
        <v>0</v>
      </c>
      <c r="AH57" s="39" t="n">
        <f aca="false">SUM(B57:K57)-AG56</f>
        <v>0</v>
      </c>
    </row>
    <row r="58" customFormat="false" ht="15" hidden="false" customHeight="false" outlineLevel="0" collapsed="false">
      <c r="A58" s="40" t="n">
        <f aca="false">DATE(YEAR('Start Here'!$C$6),MONTH('Start Here'!$C$6)+51,1)</f>
        <v>47849</v>
      </c>
      <c r="B58" s="39" t="n">
        <f aca="false">ROUND(V57*(1+N('My Debts'!$D$6)/12),2)</f>
        <v>0</v>
      </c>
      <c r="C58" s="39" t="n">
        <f aca="false">ROUND(W57*(1+N('My Debts'!$D$7)/12),2)</f>
        <v>0</v>
      </c>
      <c r="D58" s="39" t="n">
        <f aca="false">ROUND(X57*(1+N('My Debts'!$D$8)/12),2)</f>
        <v>0</v>
      </c>
      <c r="E58" s="39" t="n">
        <f aca="false">ROUND(Y57*(1+N('My Debts'!$D$9)/12),2)</f>
        <v>0</v>
      </c>
      <c r="F58" s="39" t="n">
        <f aca="false">ROUND(Z57*(1+N('My Debts'!$D$10)/12),2)</f>
        <v>0</v>
      </c>
      <c r="G58" s="39" t="n">
        <f aca="false">ROUND(AA57*(1+N('My Debts'!$D$11)/12),2)</f>
        <v>0</v>
      </c>
      <c r="H58" s="39" t="n">
        <f aca="false">ROUND(AB57*(1+N('My Debts'!$D$12)/12),2)</f>
        <v>0</v>
      </c>
      <c r="I58" s="39" t="n">
        <f aca="false">ROUND(AC57*(1+N('My Debts'!$D$13)/12),2)</f>
        <v>0</v>
      </c>
      <c r="J58" s="39" t="n">
        <f aca="false">ROUND(AD57*(1+N('My Debts'!$D$14)/12),2)</f>
        <v>0</v>
      </c>
      <c r="K58" s="39" t="n">
        <f aca="false">ROUND(AE57*(1+N('My Debts'!$D$15)/12),2)</f>
        <v>0</v>
      </c>
      <c r="L58" s="39" t="n">
        <f aca="false">MIN(N('My Debts'!$E$6),B58)</f>
        <v>0</v>
      </c>
      <c r="M58" s="39" t="n">
        <f aca="false">MIN(N('My Debts'!$E$7),C58)</f>
        <v>0</v>
      </c>
      <c r="N58" s="39" t="n">
        <f aca="false">MIN(N('My Debts'!$E$8),D58)</f>
        <v>0</v>
      </c>
      <c r="O58" s="39" t="n">
        <f aca="false">MIN(N('My Debts'!$E$9),E58)</f>
        <v>0</v>
      </c>
      <c r="P58" s="39" t="n">
        <f aca="false">MIN(N('My Debts'!$E$10),F58)</f>
        <v>0</v>
      </c>
      <c r="Q58" s="39" t="n">
        <f aca="false">MIN(N('My Debts'!$E$11),G58)</f>
        <v>0</v>
      </c>
      <c r="R58" s="39" t="n">
        <f aca="false">MIN(N('My Debts'!$E$12),H58)</f>
        <v>0</v>
      </c>
      <c r="S58" s="39" t="n">
        <f aca="false">MIN(N('My Debts'!$E$13),I58)</f>
        <v>0</v>
      </c>
      <c r="T58" s="39" t="n">
        <f aca="false">MIN(N('My Debts'!$E$14),J58)</f>
        <v>0</v>
      </c>
      <c r="U58" s="39" t="n">
        <f aca="false">MIN(N('My Debts'!$E$15),K58)</f>
        <v>0</v>
      </c>
      <c r="V58" s="39" t="n">
        <f aca="false">ROUND(B58-L58-MIN(B58-L58,MAX(0,$AF58-SUMPRODUCT(--($B$4:$K$4&lt;B$4),$B58:$K58-$L58:$U58))),2)</f>
        <v>0</v>
      </c>
      <c r="W58" s="39" t="n">
        <f aca="false">ROUND(C58-M58-MIN(C58-M58,MAX(0,$AF58-SUMPRODUCT(--($B$4:$K$4&lt;C$4),$B58:$K58-$L58:$U58))),2)</f>
        <v>0</v>
      </c>
      <c r="X58" s="39" t="n">
        <f aca="false">ROUND(D58-N58-MIN(D58-N58,MAX(0,$AF58-SUMPRODUCT(--($B$4:$K$4&lt;D$4),$B58:$K58-$L58:$U58))),2)</f>
        <v>0</v>
      </c>
      <c r="Y58" s="39" t="n">
        <f aca="false">ROUND(E58-O58-MIN(E58-O58,MAX(0,$AF58-SUMPRODUCT(--($B$4:$K$4&lt;E$4),$B58:$K58-$L58:$U58))),2)</f>
        <v>0</v>
      </c>
      <c r="Z58" s="39" t="n">
        <f aca="false">ROUND(F58-P58-MIN(F58-P58,MAX(0,$AF58-SUMPRODUCT(--($B$4:$K$4&lt;F$4),$B58:$K58-$L58:$U58))),2)</f>
        <v>0</v>
      </c>
      <c r="AA58" s="39" t="n">
        <f aca="false">ROUND(G58-Q58-MIN(G58-Q58,MAX(0,$AF58-SUMPRODUCT(--($B$4:$K$4&lt;G$4),$B58:$K58-$L58:$U58))),2)</f>
        <v>0</v>
      </c>
      <c r="AB58" s="39" t="n">
        <f aca="false">ROUND(H58-R58-MIN(H58-R58,MAX(0,$AF58-SUMPRODUCT(--($B$4:$K$4&lt;H$4),$B58:$K58-$L58:$U58))),2)</f>
        <v>0</v>
      </c>
      <c r="AC58" s="39" t="n">
        <f aca="false">ROUND(I58-S58-MIN(I58-S58,MAX(0,$AF58-SUMPRODUCT(--($B$4:$K$4&lt;I$4),$B58:$K58-$L58:$U58))),2)</f>
        <v>0</v>
      </c>
      <c r="AD58" s="39" t="n">
        <f aca="false">ROUND(J58-T58-MIN(J58-T58,MAX(0,$AF58-SUMPRODUCT(--($B$4:$K$4&lt;J$4),$B58:$K58-$L58:$U58))),2)</f>
        <v>0</v>
      </c>
      <c r="AE58" s="39" t="n">
        <f aca="false">ROUND(K58-U58-MIN(K58-U58,MAX(0,$AF58-SUMPRODUCT(--($B$4:$K$4&lt;K$4),$B58:$K58-$L58:$U58))),2)</f>
        <v>0</v>
      </c>
      <c r="AF58" s="39" t="n">
        <f aca="false">MAX(0,'Start Here'!$C$5-SUM($L58:$U58))</f>
        <v>1200</v>
      </c>
      <c r="AG58" s="39" t="n">
        <f aca="false">SUM(V58:AE58)</f>
        <v>0</v>
      </c>
      <c r="AH58" s="39" t="n">
        <f aca="false">SUM(B58:K58)-AG57</f>
        <v>0</v>
      </c>
    </row>
    <row r="59" customFormat="false" ht="15" hidden="false" customHeight="false" outlineLevel="0" collapsed="false">
      <c r="A59" s="40" t="n">
        <f aca="false">DATE(YEAR('Start Here'!$C$6),MONTH('Start Here'!$C$6)+52,1)</f>
        <v>47880</v>
      </c>
      <c r="B59" s="39" t="n">
        <f aca="false">ROUND(V58*(1+N('My Debts'!$D$6)/12),2)</f>
        <v>0</v>
      </c>
      <c r="C59" s="39" t="n">
        <f aca="false">ROUND(W58*(1+N('My Debts'!$D$7)/12),2)</f>
        <v>0</v>
      </c>
      <c r="D59" s="39" t="n">
        <f aca="false">ROUND(X58*(1+N('My Debts'!$D$8)/12),2)</f>
        <v>0</v>
      </c>
      <c r="E59" s="39" t="n">
        <f aca="false">ROUND(Y58*(1+N('My Debts'!$D$9)/12),2)</f>
        <v>0</v>
      </c>
      <c r="F59" s="39" t="n">
        <f aca="false">ROUND(Z58*(1+N('My Debts'!$D$10)/12),2)</f>
        <v>0</v>
      </c>
      <c r="G59" s="39" t="n">
        <f aca="false">ROUND(AA58*(1+N('My Debts'!$D$11)/12),2)</f>
        <v>0</v>
      </c>
      <c r="H59" s="39" t="n">
        <f aca="false">ROUND(AB58*(1+N('My Debts'!$D$12)/12),2)</f>
        <v>0</v>
      </c>
      <c r="I59" s="39" t="n">
        <f aca="false">ROUND(AC58*(1+N('My Debts'!$D$13)/12),2)</f>
        <v>0</v>
      </c>
      <c r="J59" s="39" t="n">
        <f aca="false">ROUND(AD58*(1+N('My Debts'!$D$14)/12),2)</f>
        <v>0</v>
      </c>
      <c r="K59" s="39" t="n">
        <f aca="false">ROUND(AE58*(1+N('My Debts'!$D$15)/12),2)</f>
        <v>0</v>
      </c>
      <c r="L59" s="39" t="n">
        <f aca="false">MIN(N('My Debts'!$E$6),B59)</f>
        <v>0</v>
      </c>
      <c r="M59" s="39" t="n">
        <f aca="false">MIN(N('My Debts'!$E$7),C59)</f>
        <v>0</v>
      </c>
      <c r="N59" s="39" t="n">
        <f aca="false">MIN(N('My Debts'!$E$8),D59)</f>
        <v>0</v>
      </c>
      <c r="O59" s="39" t="n">
        <f aca="false">MIN(N('My Debts'!$E$9),E59)</f>
        <v>0</v>
      </c>
      <c r="P59" s="39" t="n">
        <f aca="false">MIN(N('My Debts'!$E$10),F59)</f>
        <v>0</v>
      </c>
      <c r="Q59" s="39" t="n">
        <f aca="false">MIN(N('My Debts'!$E$11),G59)</f>
        <v>0</v>
      </c>
      <c r="R59" s="39" t="n">
        <f aca="false">MIN(N('My Debts'!$E$12),H59)</f>
        <v>0</v>
      </c>
      <c r="S59" s="39" t="n">
        <f aca="false">MIN(N('My Debts'!$E$13),I59)</f>
        <v>0</v>
      </c>
      <c r="T59" s="39" t="n">
        <f aca="false">MIN(N('My Debts'!$E$14),J59)</f>
        <v>0</v>
      </c>
      <c r="U59" s="39" t="n">
        <f aca="false">MIN(N('My Debts'!$E$15),K59)</f>
        <v>0</v>
      </c>
      <c r="V59" s="39" t="n">
        <f aca="false">ROUND(B59-L59-MIN(B59-L59,MAX(0,$AF59-SUMPRODUCT(--($B$4:$K$4&lt;B$4),$B59:$K59-$L59:$U59))),2)</f>
        <v>0</v>
      </c>
      <c r="W59" s="39" t="n">
        <f aca="false">ROUND(C59-M59-MIN(C59-M59,MAX(0,$AF59-SUMPRODUCT(--($B$4:$K$4&lt;C$4),$B59:$K59-$L59:$U59))),2)</f>
        <v>0</v>
      </c>
      <c r="X59" s="39" t="n">
        <f aca="false">ROUND(D59-N59-MIN(D59-N59,MAX(0,$AF59-SUMPRODUCT(--($B$4:$K$4&lt;D$4),$B59:$K59-$L59:$U59))),2)</f>
        <v>0</v>
      </c>
      <c r="Y59" s="39" t="n">
        <f aca="false">ROUND(E59-O59-MIN(E59-O59,MAX(0,$AF59-SUMPRODUCT(--($B$4:$K$4&lt;E$4),$B59:$K59-$L59:$U59))),2)</f>
        <v>0</v>
      </c>
      <c r="Z59" s="39" t="n">
        <f aca="false">ROUND(F59-P59-MIN(F59-P59,MAX(0,$AF59-SUMPRODUCT(--($B$4:$K$4&lt;F$4),$B59:$K59-$L59:$U59))),2)</f>
        <v>0</v>
      </c>
      <c r="AA59" s="39" t="n">
        <f aca="false">ROUND(G59-Q59-MIN(G59-Q59,MAX(0,$AF59-SUMPRODUCT(--($B$4:$K$4&lt;G$4),$B59:$K59-$L59:$U59))),2)</f>
        <v>0</v>
      </c>
      <c r="AB59" s="39" t="n">
        <f aca="false">ROUND(H59-R59-MIN(H59-R59,MAX(0,$AF59-SUMPRODUCT(--($B$4:$K$4&lt;H$4),$B59:$K59-$L59:$U59))),2)</f>
        <v>0</v>
      </c>
      <c r="AC59" s="39" t="n">
        <f aca="false">ROUND(I59-S59-MIN(I59-S59,MAX(0,$AF59-SUMPRODUCT(--($B$4:$K$4&lt;I$4),$B59:$K59-$L59:$U59))),2)</f>
        <v>0</v>
      </c>
      <c r="AD59" s="39" t="n">
        <f aca="false">ROUND(J59-T59-MIN(J59-T59,MAX(0,$AF59-SUMPRODUCT(--($B$4:$K$4&lt;J$4),$B59:$K59-$L59:$U59))),2)</f>
        <v>0</v>
      </c>
      <c r="AE59" s="39" t="n">
        <f aca="false">ROUND(K59-U59-MIN(K59-U59,MAX(0,$AF59-SUMPRODUCT(--($B$4:$K$4&lt;K$4),$B59:$K59-$L59:$U59))),2)</f>
        <v>0</v>
      </c>
      <c r="AF59" s="39" t="n">
        <f aca="false">MAX(0,'Start Here'!$C$5-SUM($L59:$U59))</f>
        <v>1200</v>
      </c>
      <c r="AG59" s="39" t="n">
        <f aca="false">SUM(V59:AE59)</f>
        <v>0</v>
      </c>
      <c r="AH59" s="39" t="n">
        <f aca="false">SUM(B59:K59)-AG58</f>
        <v>0</v>
      </c>
    </row>
    <row r="60" customFormat="false" ht="15" hidden="false" customHeight="false" outlineLevel="0" collapsed="false">
      <c r="A60" s="40" t="n">
        <f aca="false">DATE(YEAR('Start Here'!$C$6),MONTH('Start Here'!$C$6)+53,1)</f>
        <v>47908</v>
      </c>
      <c r="B60" s="39" t="n">
        <f aca="false">ROUND(V59*(1+N('My Debts'!$D$6)/12),2)</f>
        <v>0</v>
      </c>
      <c r="C60" s="39" t="n">
        <f aca="false">ROUND(W59*(1+N('My Debts'!$D$7)/12),2)</f>
        <v>0</v>
      </c>
      <c r="D60" s="39" t="n">
        <f aca="false">ROUND(X59*(1+N('My Debts'!$D$8)/12),2)</f>
        <v>0</v>
      </c>
      <c r="E60" s="39" t="n">
        <f aca="false">ROUND(Y59*(1+N('My Debts'!$D$9)/12),2)</f>
        <v>0</v>
      </c>
      <c r="F60" s="39" t="n">
        <f aca="false">ROUND(Z59*(1+N('My Debts'!$D$10)/12),2)</f>
        <v>0</v>
      </c>
      <c r="G60" s="39" t="n">
        <f aca="false">ROUND(AA59*(1+N('My Debts'!$D$11)/12),2)</f>
        <v>0</v>
      </c>
      <c r="H60" s="39" t="n">
        <f aca="false">ROUND(AB59*(1+N('My Debts'!$D$12)/12),2)</f>
        <v>0</v>
      </c>
      <c r="I60" s="39" t="n">
        <f aca="false">ROUND(AC59*(1+N('My Debts'!$D$13)/12),2)</f>
        <v>0</v>
      </c>
      <c r="J60" s="39" t="n">
        <f aca="false">ROUND(AD59*(1+N('My Debts'!$D$14)/12),2)</f>
        <v>0</v>
      </c>
      <c r="K60" s="39" t="n">
        <f aca="false">ROUND(AE59*(1+N('My Debts'!$D$15)/12),2)</f>
        <v>0</v>
      </c>
      <c r="L60" s="39" t="n">
        <f aca="false">MIN(N('My Debts'!$E$6),B60)</f>
        <v>0</v>
      </c>
      <c r="M60" s="39" t="n">
        <f aca="false">MIN(N('My Debts'!$E$7),C60)</f>
        <v>0</v>
      </c>
      <c r="N60" s="39" t="n">
        <f aca="false">MIN(N('My Debts'!$E$8),D60)</f>
        <v>0</v>
      </c>
      <c r="O60" s="39" t="n">
        <f aca="false">MIN(N('My Debts'!$E$9),E60)</f>
        <v>0</v>
      </c>
      <c r="P60" s="39" t="n">
        <f aca="false">MIN(N('My Debts'!$E$10),F60)</f>
        <v>0</v>
      </c>
      <c r="Q60" s="39" t="n">
        <f aca="false">MIN(N('My Debts'!$E$11),G60)</f>
        <v>0</v>
      </c>
      <c r="R60" s="39" t="n">
        <f aca="false">MIN(N('My Debts'!$E$12),H60)</f>
        <v>0</v>
      </c>
      <c r="S60" s="39" t="n">
        <f aca="false">MIN(N('My Debts'!$E$13),I60)</f>
        <v>0</v>
      </c>
      <c r="T60" s="39" t="n">
        <f aca="false">MIN(N('My Debts'!$E$14),J60)</f>
        <v>0</v>
      </c>
      <c r="U60" s="39" t="n">
        <f aca="false">MIN(N('My Debts'!$E$15),K60)</f>
        <v>0</v>
      </c>
      <c r="V60" s="39" t="n">
        <f aca="false">ROUND(B60-L60-MIN(B60-L60,MAX(0,$AF60-SUMPRODUCT(--($B$4:$K$4&lt;B$4),$B60:$K60-$L60:$U60))),2)</f>
        <v>0</v>
      </c>
      <c r="W60" s="39" t="n">
        <f aca="false">ROUND(C60-M60-MIN(C60-M60,MAX(0,$AF60-SUMPRODUCT(--($B$4:$K$4&lt;C$4),$B60:$K60-$L60:$U60))),2)</f>
        <v>0</v>
      </c>
      <c r="X60" s="39" t="n">
        <f aca="false">ROUND(D60-N60-MIN(D60-N60,MAX(0,$AF60-SUMPRODUCT(--($B$4:$K$4&lt;D$4),$B60:$K60-$L60:$U60))),2)</f>
        <v>0</v>
      </c>
      <c r="Y60" s="39" t="n">
        <f aca="false">ROUND(E60-O60-MIN(E60-O60,MAX(0,$AF60-SUMPRODUCT(--($B$4:$K$4&lt;E$4),$B60:$K60-$L60:$U60))),2)</f>
        <v>0</v>
      </c>
      <c r="Z60" s="39" t="n">
        <f aca="false">ROUND(F60-P60-MIN(F60-P60,MAX(0,$AF60-SUMPRODUCT(--($B$4:$K$4&lt;F$4),$B60:$K60-$L60:$U60))),2)</f>
        <v>0</v>
      </c>
      <c r="AA60" s="39" t="n">
        <f aca="false">ROUND(G60-Q60-MIN(G60-Q60,MAX(0,$AF60-SUMPRODUCT(--($B$4:$K$4&lt;G$4),$B60:$K60-$L60:$U60))),2)</f>
        <v>0</v>
      </c>
      <c r="AB60" s="39" t="n">
        <f aca="false">ROUND(H60-R60-MIN(H60-R60,MAX(0,$AF60-SUMPRODUCT(--($B$4:$K$4&lt;H$4),$B60:$K60-$L60:$U60))),2)</f>
        <v>0</v>
      </c>
      <c r="AC60" s="39" t="n">
        <f aca="false">ROUND(I60-S60-MIN(I60-S60,MAX(0,$AF60-SUMPRODUCT(--($B$4:$K$4&lt;I$4),$B60:$K60-$L60:$U60))),2)</f>
        <v>0</v>
      </c>
      <c r="AD60" s="39" t="n">
        <f aca="false">ROUND(J60-T60-MIN(J60-T60,MAX(0,$AF60-SUMPRODUCT(--($B$4:$K$4&lt;J$4),$B60:$K60-$L60:$U60))),2)</f>
        <v>0</v>
      </c>
      <c r="AE60" s="39" t="n">
        <f aca="false">ROUND(K60-U60-MIN(K60-U60,MAX(0,$AF60-SUMPRODUCT(--($B$4:$K$4&lt;K$4),$B60:$K60-$L60:$U60))),2)</f>
        <v>0</v>
      </c>
      <c r="AF60" s="39" t="n">
        <f aca="false">MAX(0,'Start Here'!$C$5-SUM($L60:$U60))</f>
        <v>1200</v>
      </c>
      <c r="AG60" s="39" t="n">
        <f aca="false">SUM(V60:AE60)</f>
        <v>0</v>
      </c>
      <c r="AH60" s="39" t="n">
        <f aca="false">SUM(B60:K60)-AG59</f>
        <v>0</v>
      </c>
    </row>
    <row r="61" customFormat="false" ht="15" hidden="false" customHeight="false" outlineLevel="0" collapsed="false">
      <c r="A61" s="40" t="n">
        <f aca="false">DATE(YEAR('Start Here'!$C$6),MONTH('Start Here'!$C$6)+54,1)</f>
        <v>47939</v>
      </c>
      <c r="B61" s="39" t="n">
        <f aca="false">ROUND(V60*(1+N('My Debts'!$D$6)/12),2)</f>
        <v>0</v>
      </c>
      <c r="C61" s="39" t="n">
        <f aca="false">ROUND(W60*(1+N('My Debts'!$D$7)/12),2)</f>
        <v>0</v>
      </c>
      <c r="D61" s="39" t="n">
        <f aca="false">ROUND(X60*(1+N('My Debts'!$D$8)/12),2)</f>
        <v>0</v>
      </c>
      <c r="E61" s="39" t="n">
        <f aca="false">ROUND(Y60*(1+N('My Debts'!$D$9)/12),2)</f>
        <v>0</v>
      </c>
      <c r="F61" s="39" t="n">
        <f aca="false">ROUND(Z60*(1+N('My Debts'!$D$10)/12),2)</f>
        <v>0</v>
      </c>
      <c r="G61" s="39" t="n">
        <f aca="false">ROUND(AA60*(1+N('My Debts'!$D$11)/12),2)</f>
        <v>0</v>
      </c>
      <c r="H61" s="39" t="n">
        <f aca="false">ROUND(AB60*(1+N('My Debts'!$D$12)/12),2)</f>
        <v>0</v>
      </c>
      <c r="I61" s="39" t="n">
        <f aca="false">ROUND(AC60*(1+N('My Debts'!$D$13)/12),2)</f>
        <v>0</v>
      </c>
      <c r="J61" s="39" t="n">
        <f aca="false">ROUND(AD60*(1+N('My Debts'!$D$14)/12),2)</f>
        <v>0</v>
      </c>
      <c r="K61" s="39" t="n">
        <f aca="false">ROUND(AE60*(1+N('My Debts'!$D$15)/12),2)</f>
        <v>0</v>
      </c>
      <c r="L61" s="39" t="n">
        <f aca="false">MIN(N('My Debts'!$E$6),B61)</f>
        <v>0</v>
      </c>
      <c r="M61" s="39" t="n">
        <f aca="false">MIN(N('My Debts'!$E$7),C61)</f>
        <v>0</v>
      </c>
      <c r="N61" s="39" t="n">
        <f aca="false">MIN(N('My Debts'!$E$8),D61)</f>
        <v>0</v>
      </c>
      <c r="O61" s="39" t="n">
        <f aca="false">MIN(N('My Debts'!$E$9),E61)</f>
        <v>0</v>
      </c>
      <c r="P61" s="39" t="n">
        <f aca="false">MIN(N('My Debts'!$E$10),F61)</f>
        <v>0</v>
      </c>
      <c r="Q61" s="39" t="n">
        <f aca="false">MIN(N('My Debts'!$E$11),G61)</f>
        <v>0</v>
      </c>
      <c r="R61" s="39" t="n">
        <f aca="false">MIN(N('My Debts'!$E$12),H61)</f>
        <v>0</v>
      </c>
      <c r="S61" s="39" t="n">
        <f aca="false">MIN(N('My Debts'!$E$13),I61)</f>
        <v>0</v>
      </c>
      <c r="T61" s="39" t="n">
        <f aca="false">MIN(N('My Debts'!$E$14),J61)</f>
        <v>0</v>
      </c>
      <c r="U61" s="39" t="n">
        <f aca="false">MIN(N('My Debts'!$E$15),K61)</f>
        <v>0</v>
      </c>
      <c r="V61" s="39" t="n">
        <f aca="false">ROUND(B61-L61-MIN(B61-L61,MAX(0,$AF61-SUMPRODUCT(--($B$4:$K$4&lt;B$4),$B61:$K61-$L61:$U61))),2)</f>
        <v>0</v>
      </c>
      <c r="W61" s="39" t="n">
        <f aca="false">ROUND(C61-M61-MIN(C61-M61,MAX(0,$AF61-SUMPRODUCT(--($B$4:$K$4&lt;C$4),$B61:$K61-$L61:$U61))),2)</f>
        <v>0</v>
      </c>
      <c r="X61" s="39" t="n">
        <f aca="false">ROUND(D61-N61-MIN(D61-N61,MAX(0,$AF61-SUMPRODUCT(--($B$4:$K$4&lt;D$4),$B61:$K61-$L61:$U61))),2)</f>
        <v>0</v>
      </c>
      <c r="Y61" s="39" t="n">
        <f aca="false">ROUND(E61-O61-MIN(E61-O61,MAX(0,$AF61-SUMPRODUCT(--($B$4:$K$4&lt;E$4),$B61:$K61-$L61:$U61))),2)</f>
        <v>0</v>
      </c>
      <c r="Z61" s="39" t="n">
        <f aca="false">ROUND(F61-P61-MIN(F61-P61,MAX(0,$AF61-SUMPRODUCT(--($B$4:$K$4&lt;F$4),$B61:$K61-$L61:$U61))),2)</f>
        <v>0</v>
      </c>
      <c r="AA61" s="39" t="n">
        <f aca="false">ROUND(G61-Q61-MIN(G61-Q61,MAX(0,$AF61-SUMPRODUCT(--($B$4:$K$4&lt;G$4),$B61:$K61-$L61:$U61))),2)</f>
        <v>0</v>
      </c>
      <c r="AB61" s="39" t="n">
        <f aca="false">ROUND(H61-R61-MIN(H61-R61,MAX(0,$AF61-SUMPRODUCT(--($B$4:$K$4&lt;H$4),$B61:$K61-$L61:$U61))),2)</f>
        <v>0</v>
      </c>
      <c r="AC61" s="39" t="n">
        <f aca="false">ROUND(I61-S61-MIN(I61-S61,MAX(0,$AF61-SUMPRODUCT(--($B$4:$K$4&lt;I$4),$B61:$K61-$L61:$U61))),2)</f>
        <v>0</v>
      </c>
      <c r="AD61" s="39" t="n">
        <f aca="false">ROUND(J61-T61-MIN(J61-T61,MAX(0,$AF61-SUMPRODUCT(--($B$4:$K$4&lt;J$4),$B61:$K61-$L61:$U61))),2)</f>
        <v>0</v>
      </c>
      <c r="AE61" s="39" t="n">
        <f aca="false">ROUND(K61-U61-MIN(K61-U61,MAX(0,$AF61-SUMPRODUCT(--($B$4:$K$4&lt;K$4),$B61:$K61-$L61:$U61))),2)</f>
        <v>0</v>
      </c>
      <c r="AF61" s="39" t="n">
        <f aca="false">MAX(0,'Start Here'!$C$5-SUM($L61:$U61))</f>
        <v>1200</v>
      </c>
      <c r="AG61" s="39" t="n">
        <f aca="false">SUM(V61:AE61)</f>
        <v>0</v>
      </c>
      <c r="AH61" s="39" t="n">
        <f aca="false">SUM(B61:K61)-AG60</f>
        <v>0</v>
      </c>
    </row>
    <row r="62" customFormat="false" ht="15" hidden="false" customHeight="false" outlineLevel="0" collapsed="false">
      <c r="A62" s="40" t="n">
        <f aca="false">DATE(YEAR('Start Here'!$C$6),MONTH('Start Here'!$C$6)+55,1)</f>
        <v>47969</v>
      </c>
      <c r="B62" s="39" t="n">
        <f aca="false">ROUND(V61*(1+N('My Debts'!$D$6)/12),2)</f>
        <v>0</v>
      </c>
      <c r="C62" s="39" t="n">
        <f aca="false">ROUND(W61*(1+N('My Debts'!$D$7)/12),2)</f>
        <v>0</v>
      </c>
      <c r="D62" s="39" t="n">
        <f aca="false">ROUND(X61*(1+N('My Debts'!$D$8)/12),2)</f>
        <v>0</v>
      </c>
      <c r="E62" s="39" t="n">
        <f aca="false">ROUND(Y61*(1+N('My Debts'!$D$9)/12),2)</f>
        <v>0</v>
      </c>
      <c r="F62" s="39" t="n">
        <f aca="false">ROUND(Z61*(1+N('My Debts'!$D$10)/12),2)</f>
        <v>0</v>
      </c>
      <c r="G62" s="39" t="n">
        <f aca="false">ROUND(AA61*(1+N('My Debts'!$D$11)/12),2)</f>
        <v>0</v>
      </c>
      <c r="H62" s="39" t="n">
        <f aca="false">ROUND(AB61*(1+N('My Debts'!$D$12)/12),2)</f>
        <v>0</v>
      </c>
      <c r="I62" s="39" t="n">
        <f aca="false">ROUND(AC61*(1+N('My Debts'!$D$13)/12),2)</f>
        <v>0</v>
      </c>
      <c r="J62" s="39" t="n">
        <f aca="false">ROUND(AD61*(1+N('My Debts'!$D$14)/12),2)</f>
        <v>0</v>
      </c>
      <c r="K62" s="39" t="n">
        <f aca="false">ROUND(AE61*(1+N('My Debts'!$D$15)/12),2)</f>
        <v>0</v>
      </c>
      <c r="L62" s="39" t="n">
        <f aca="false">MIN(N('My Debts'!$E$6),B62)</f>
        <v>0</v>
      </c>
      <c r="M62" s="39" t="n">
        <f aca="false">MIN(N('My Debts'!$E$7),C62)</f>
        <v>0</v>
      </c>
      <c r="N62" s="39" t="n">
        <f aca="false">MIN(N('My Debts'!$E$8),D62)</f>
        <v>0</v>
      </c>
      <c r="O62" s="39" t="n">
        <f aca="false">MIN(N('My Debts'!$E$9),E62)</f>
        <v>0</v>
      </c>
      <c r="P62" s="39" t="n">
        <f aca="false">MIN(N('My Debts'!$E$10),F62)</f>
        <v>0</v>
      </c>
      <c r="Q62" s="39" t="n">
        <f aca="false">MIN(N('My Debts'!$E$11),G62)</f>
        <v>0</v>
      </c>
      <c r="R62" s="39" t="n">
        <f aca="false">MIN(N('My Debts'!$E$12),H62)</f>
        <v>0</v>
      </c>
      <c r="S62" s="39" t="n">
        <f aca="false">MIN(N('My Debts'!$E$13),I62)</f>
        <v>0</v>
      </c>
      <c r="T62" s="39" t="n">
        <f aca="false">MIN(N('My Debts'!$E$14),J62)</f>
        <v>0</v>
      </c>
      <c r="U62" s="39" t="n">
        <f aca="false">MIN(N('My Debts'!$E$15),K62)</f>
        <v>0</v>
      </c>
      <c r="V62" s="39" t="n">
        <f aca="false">ROUND(B62-L62-MIN(B62-L62,MAX(0,$AF62-SUMPRODUCT(--($B$4:$K$4&lt;B$4),$B62:$K62-$L62:$U62))),2)</f>
        <v>0</v>
      </c>
      <c r="W62" s="39" t="n">
        <f aca="false">ROUND(C62-M62-MIN(C62-M62,MAX(0,$AF62-SUMPRODUCT(--($B$4:$K$4&lt;C$4),$B62:$K62-$L62:$U62))),2)</f>
        <v>0</v>
      </c>
      <c r="X62" s="39" t="n">
        <f aca="false">ROUND(D62-N62-MIN(D62-N62,MAX(0,$AF62-SUMPRODUCT(--($B$4:$K$4&lt;D$4),$B62:$K62-$L62:$U62))),2)</f>
        <v>0</v>
      </c>
      <c r="Y62" s="39" t="n">
        <f aca="false">ROUND(E62-O62-MIN(E62-O62,MAX(0,$AF62-SUMPRODUCT(--($B$4:$K$4&lt;E$4),$B62:$K62-$L62:$U62))),2)</f>
        <v>0</v>
      </c>
      <c r="Z62" s="39" t="n">
        <f aca="false">ROUND(F62-P62-MIN(F62-P62,MAX(0,$AF62-SUMPRODUCT(--($B$4:$K$4&lt;F$4),$B62:$K62-$L62:$U62))),2)</f>
        <v>0</v>
      </c>
      <c r="AA62" s="39" t="n">
        <f aca="false">ROUND(G62-Q62-MIN(G62-Q62,MAX(0,$AF62-SUMPRODUCT(--($B$4:$K$4&lt;G$4),$B62:$K62-$L62:$U62))),2)</f>
        <v>0</v>
      </c>
      <c r="AB62" s="39" t="n">
        <f aca="false">ROUND(H62-R62-MIN(H62-R62,MAX(0,$AF62-SUMPRODUCT(--($B$4:$K$4&lt;H$4),$B62:$K62-$L62:$U62))),2)</f>
        <v>0</v>
      </c>
      <c r="AC62" s="39" t="n">
        <f aca="false">ROUND(I62-S62-MIN(I62-S62,MAX(0,$AF62-SUMPRODUCT(--($B$4:$K$4&lt;I$4),$B62:$K62-$L62:$U62))),2)</f>
        <v>0</v>
      </c>
      <c r="AD62" s="39" t="n">
        <f aca="false">ROUND(J62-T62-MIN(J62-T62,MAX(0,$AF62-SUMPRODUCT(--($B$4:$K$4&lt;J$4),$B62:$K62-$L62:$U62))),2)</f>
        <v>0</v>
      </c>
      <c r="AE62" s="39" t="n">
        <f aca="false">ROUND(K62-U62-MIN(K62-U62,MAX(0,$AF62-SUMPRODUCT(--($B$4:$K$4&lt;K$4),$B62:$K62-$L62:$U62))),2)</f>
        <v>0</v>
      </c>
      <c r="AF62" s="39" t="n">
        <f aca="false">MAX(0,'Start Here'!$C$5-SUM($L62:$U62))</f>
        <v>1200</v>
      </c>
      <c r="AG62" s="39" t="n">
        <f aca="false">SUM(V62:AE62)</f>
        <v>0</v>
      </c>
      <c r="AH62" s="39" t="n">
        <f aca="false">SUM(B62:K62)-AG61</f>
        <v>0</v>
      </c>
    </row>
    <row r="63" customFormat="false" ht="15" hidden="false" customHeight="false" outlineLevel="0" collapsed="false">
      <c r="A63" s="40" t="n">
        <f aca="false">DATE(YEAR('Start Here'!$C$6),MONTH('Start Here'!$C$6)+56,1)</f>
        <v>48000</v>
      </c>
      <c r="B63" s="39" t="n">
        <f aca="false">ROUND(V62*(1+N('My Debts'!$D$6)/12),2)</f>
        <v>0</v>
      </c>
      <c r="C63" s="39" t="n">
        <f aca="false">ROUND(W62*(1+N('My Debts'!$D$7)/12),2)</f>
        <v>0</v>
      </c>
      <c r="D63" s="39" t="n">
        <f aca="false">ROUND(X62*(1+N('My Debts'!$D$8)/12),2)</f>
        <v>0</v>
      </c>
      <c r="E63" s="39" t="n">
        <f aca="false">ROUND(Y62*(1+N('My Debts'!$D$9)/12),2)</f>
        <v>0</v>
      </c>
      <c r="F63" s="39" t="n">
        <f aca="false">ROUND(Z62*(1+N('My Debts'!$D$10)/12),2)</f>
        <v>0</v>
      </c>
      <c r="G63" s="39" t="n">
        <f aca="false">ROUND(AA62*(1+N('My Debts'!$D$11)/12),2)</f>
        <v>0</v>
      </c>
      <c r="H63" s="39" t="n">
        <f aca="false">ROUND(AB62*(1+N('My Debts'!$D$12)/12),2)</f>
        <v>0</v>
      </c>
      <c r="I63" s="39" t="n">
        <f aca="false">ROUND(AC62*(1+N('My Debts'!$D$13)/12),2)</f>
        <v>0</v>
      </c>
      <c r="J63" s="39" t="n">
        <f aca="false">ROUND(AD62*(1+N('My Debts'!$D$14)/12),2)</f>
        <v>0</v>
      </c>
      <c r="K63" s="39" t="n">
        <f aca="false">ROUND(AE62*(1+N('My Debts'!$D$15)/12),2)</f>
        <v>0</v>
      </c>
      <c r="L63" s="39" t="n">
        <f aca="false">MIN(N('My Debts'!$E$6),B63)</f>
        <v>0</v>
      </c>
      <c r="M63" s="39" t="n">
        <f aca="false">MIN(N('My Debts'!$E$7),C63)</f>
        <v>0</v>
      </c>
      <c r="N63" s="39" t="n">
        <f aca="false">MIN(N('My Debts'!$E$8),D63)</f>
        <v>0</v>
      </c>
      <c r="O63" s="39" t="n">
        <f aca="false">MIN(N('My Debts'!$E$9),E63)</f>
        <v>0</v>
      </c>
      <c r="P63" s="39" t="n">
        <f aca="false">MIN(N('My Debts'!$E$10),F63)</f>
        <v>0</v>
      </c>
      <c r="Q63" s="39" t="n">
        <f aca="false">MIN(N('My Debts'!$E$11),G63)</f>
        <v>0</v>
      </c>
      <c r="R63" s="39" t="n">
        <f aca="false">MIN(N('My Debts'!$E$12),H63)</f>
        <v>0</v>
      </c>
      <c r="S63" s="39" t="n">
        <f aca="false">MIN(N('My Debts'!$E$13),I63)</f>
        <v>0</v>
      </c>
      <c r="T63" s="39" t="n">
        <f aca="false">MIN(N('My Debts'!$E$14),J63)</f>
        <v>0</v>
      </c>
      <c r="U63" s="39" t="n">
        <f aca="false">MIN(N('My Debts'!$E$15),K63)</f>
        <v>0</v>
      </c>
      <c r="V63" s="39" t="n">
        <f aca="false">ROUND(B63-L63-MIN(B63-L63,MAX(0,$AF63-SUMPRODUCT(--($B$4:$K$4&lt;B$4),$B63:$K63-$L63:$U63))),2)</f>
        <v>0</v>
      </c>
      <c r="W63" s="39" t="n">
        <f aca="false">ROUND(C63-M63-MIN(C63-M63,MAX(0,$AF63-SUMPRODUCT(--($B$4:$K$4&lt;C$4),$B63:$K63-$L63:$U63))),2)</f>
        <v>0</v>
      </c>
      <c r="X63" s="39" t="n">
        <f aca="false">ROUND(D63-N63-MIN(D63-N63,MAX(0,$AF63-SUMPRODUCT(--($B$4:$K$4&lt;D$4),$B63:$K63-$L63:$U63))),2)</f>
        <v>0</v>
      </c>
      <c r="Y63" s="39" t="n">
        <f aca="false">ROUND(E63-O63-MIN(E63-O63,MAX(0,$AF63-SUMPRODUCT(--($B$4:$K$4&lt;E$4),$B63:$K63-$L63:$U63))),2)</f>
        <v>0</v>
      </c>
      <c r="Z63" s="39" t="n">
        <f aca="false">ROUND(F63-P63-MIN(F63-P63,MAX(0,$AF63-SUMPRODUCT(--($B$4:$K$4&lt;F$4),$B63:$K63-$L63:$U63))),2)</f>
        <v>0</v>
      </c>
      <c r="AA63" s="39" t="n">
        <f aca="false">ROUND(G63-Q63-MIN(G63-Q63,MAX(0,$AF63-SUMPRODUCT(--($B$4:$K$4&lt;G$4),$B63:$K63-$L63:$U63))),2)</f>
        <v>0</v>
      </c>
      <c r="AB63" s="39" t="n">
        <f aca="false">ROUND(H63-R63-MIN(H63-R63,MAX(0,$AF63-SUMPRODUCT(--($B$4:$K$4&lt;H$4),$B63:$K63-$L63:$U63))),2)</f>
        <v>0</v>
      </c>
      <c r="AC63" s="39" t="n">
        <f aca="false">ROUND(I63-S63-MIN(I63-S63,MAX(0,$AF63-SUMPRODUCT(--($B$4:$K$4&lt;I$4),$B63:$K63-$L63:$U63))),2)</f>
        <v>0</v>
      </c>
      <c r="AD63" s="39" t="n">
        <f aca="false">ROUND(J63-T63-MIN(J63-T63,MAX(0,$AF63-SUMPRODUCT(--($B$4:$K$4&lt;J$4),$B63:$K63-$L63:$U63))),2)</f>
        <v>0</v>
      </c>
      <c r="AE63" s="39" t="n">
        <f aca="false">ROUND(K63-U63-MIN(K63-U63,MAX(0,$AF63-SUMPRODUCT(--($B$4:$K$4&lt;K$4),$B63:$K63-$L63:$U63))),2)</f>
        <v>0</v>
      </c>
      <c r="AF63" s="39" t="n">
        <f aca="false">MAX(0,'Start Here'!$C$5-SUM($L63:$U63))</f>
        <v>1200</v>
      </c>
      <c r="AG63" s="39" t="n">
        <f aca="false">SUM(V63:AE63)</f>
        <v>0</v>
      </c>
      <c r="AH63" s="39" t="n">
        <f aca="false">SUM(B63:K63)-AG62</f>
        <v>0</v>
      </c>
    </row>
    <row r="64" customFormat="false" ht="15" hidden="false" customHeight="false" outlineLevel="0" collapsed="false">
      <c r="A64" s="40" t="n">
        <f aca="false">DATE(YEAR('Start Here'!$C$6),MONTH('Start Here'!$C$6)+57,1)</f>
        <v>48030</v>
      </c>
      <c r="B64" s="39" t="n">
        <f aca="false">ROUND(V63*(1+N('My Debts'!$D$6)/12),2)</f>
        <v>0</v>
      </c>
      <c r="C64" s="39" t="n">
        <f aca="false">ROUND(W63*(1+N('My Debts'!$D$7)/12),2)</f>
        <v>0</v>
      </c>
      <c r="D64" s="39" t="n">
        <f aca="false">ROUND(X63*(1+N('My Debts'!$D$8)/12),2)</f>
        <v>0</v>
      </c>
      <c r="E64" s="39" t="n">
        <f aca="false">ROUND(Y63*(1+N('My Debts'!$D$9)/12),2)</f>
        <v>0</v>
      </c>
      <c r="F64" s="39" t="n">
        <f aca="false">ROUND(Z63*(1+N('My Debts'!$D$10)/12),2)</f>
        <v>0</v>
      </c>
      <c r="G64" s="39" t="n">
        <f aca="false">ROUND(AA63*(1+N('My Debts'!$D$11)/12),2)</f>
        <v>0</v>
      </c>
      <c r="H64" s="39" t="n">
        <f aca="false">ROUND(AB63*(1+N('My Debts'!$D$12)/12),2)</f>
        <v>0</v>
      </c>
      <c r="I64" s="39" t="n">
        <f aca="false">ROUND(AC63*(1+N('My Debts'!$D$13)/12),2)</f>
        <v>0</v>
      </c>
      <c r="J64" s="39" t="n">
        <f aca="false">ROUND(AD63*(1+N('My Debts'!$D$14)/12),2)</f>
        <v>0</v>
      </c>
      <c r="K64" s="39" t="n">
        <f aca="false">ROUND(AE63*(1+N('My Debts'!$D$15)/12),2)</f>
        <v>0</v>
      </c>
      <c r="L64" s="39" t="n">
        <f aca="false">MIN(N('My Debts'!$E$6),B64)</f>
        <v>0</v>
      </c>
      <c r="M64" s="39" t="n">
        <f aca="false">MIN(N('My Debts'!$E$7),C64)</f>
        <v>0</v>
      </c>
      <c r="N64" s="39" t="n">
        <f aca="false">MIN(N('My Debts'!$E$8),D64)</f>
        <v>0</v>
      </c>
      <c r="O64" s="39" t="n">
        <f aca="false">MIN(N('My Debts'!$E$9),E64)</f>
        <v>0</v>
      </c>
      <c r="P64" s="39" t="n">
        <f aca="false">MIN(N('My Debts'!$E$10),F64)</f>
        <v>0</v>
      </c>
      <c r="Q64" s="39" t="n">
        <f aca="false">MIN(N('My Debts'!$E$11),G64)</f>
        <v>0</v>
      </c>
      <c r="R64" s="39" t="n">
        <f aca="false">MIN(N('My Debts'!$E$12),H64)</f>
        <v>0</v>
      </c>
      <c r="S64" s="39" t="n">
        <f aca="false">MIN(N('My Debts'!$E$13),I64)</f>
        <v>0</v>
      </c>
      <c r="T64" s="39" t="n">
        <f aca="false">MIN(N('My Debts'!$E$14),J64)</f>
        <v>0</v>
      </c>
      <c r="U64" s="39" t="n">
        <f aca="false">MIN(N('My Debts'!$E$15),K64)</f>
        <v>0</v>
      </c>
      <c r="V64" s="39" t="n">
        <f aca="false">ROUND(B64-L64-MIN(B64-L64,MAX(0,$AF64-SUMPRODUCT(--($B$4:$K$4&lt;B$4),$B64:$K64-$L64:$U64))),2)</f>
        <v>0</v>
      </c>
      <c r="W64" s="39" t="n">
        <f aca="false">ROUND(C64-M64-MIN(C64-M64,MAX(0,$AF64-SUMPRODUCT(--($B$4:$K$4&lt;C$4),$B64:$K64-$L64:$U64))),2)</f>
        <v>0</v>
      </c>
      <c r="X64" s="39" t="n">
        <f aca="false">ROUND(D64-N64-MIN(D64-N64,MAX(0,$AF64-SUMPRODUCT(--($B$4:$K$4&lt;D$4),$B64:$K64-$L64:$U64))),2)</f>
        <v>0</v>
      </c>
      <c r="Y64" s="39" t="n">
        <f aca="false">ROUND(E64-O64-MIN(E64-O64,MAX(0,$AF64-SUMPRODUCT(--($B$4:$K$4&lt;E$4),$B64:$K64-$L64:$U64))),2)</f>
        <v>0</v>
      </c>
      <c r="Z64" s="39" t="n">
        <f aca="false">ROUND(F64-P64-MIN(F64-P64,MAX(0,$AF64-SUMPRODUCT(--($B$4:$K$4&lt;F$4),$B64:$K64-$L64:$U64))),2)</f>
        <v>0</v>
      </c>
      <c r="AA64" s="39" t="n">
        <f aca="false">ROUND(G64-Q64-MIN(G64-Q64,MAX(0,$AF64-SUMPRODUCT(--($B$4:$K$4&lt;G$4),$B64:$K64-$L64:$U64))),2)</f>
        <v>0</v>
      </c>
      <c r="AB64" s="39" t="n">
        <f aca="false">ROUND(H64-R64-MIN(H64-R64,MAX(0,$AF64-SUMPRODUCT(--($B$4:$K$4&lt;H$4),$B64:$K64-$L64:$U64))),2)</f>
        <v>0</v>
      </c>
      <c r="AC64" s="39" t="n">
        <f aca="false">ROUND(I64-S64-MIN(I64-S64,MAX(0,$AF64-SUMPRODUCT(--($B$4:$K$4&lt;I$4),$B64:$K64-$L64:$U64))),2)</f>
        <v>0</v>
      </c>
      <c r="AD64" s="39" t="n">
        <f aca="false">ROUND(J64-T64-MIN(J64-T64,MAX(0,$AF64-SUMPRODUCT(--($B$4:$K$4&lt;J$4),$B64:$K64-$L64:$U64))),2)</f>
        <v>0</v>
      </c>
      <c r="AE64" s="39" t="n">
        <f aca="false">ROUND(K64-U64-MIN(K64-U64,MAX(0,$AF64-SUMPRODUCT(--($B$4:$K$4&lt;K$4),$B64:$K64-$L64:$U64))),2)</f>
        <v>0</v>
      </c>
      <c r="AF64" s="39" t="n">
        <f aca="false">MAX(0,'Start Here'!$C$5-SUM($L64:$U64))</f>
        <v>1200</v>
      </c>
      <c r="AG64" s="39" t="n">
        <f aca="false">SUM(V64:AE64)</f>
        <v>0</v>
      </c>
      <c r="AH64" s="39" t="n">
        <f aca="false">SUM(B64:K64)-AG63</f>
        <v>0</v>
      </c>
    </row>
    <row r="65" customFormat="false" ht="15" hidden="false" customHeight="false" outlineLevel="0" collapsed="false">
      <c r="A65" s="40" t="n">
        <f aca="false">DATE(YEAR('Start Here'!$C$6),MONTH('Start Here'!$C$6)+58,1)</f>
        <v>48061</v>
      </c>
      <c r="B65" s="39" t="n">
        <f aca="false">ROUND(V64*(1+N('My Debts'!$D$6)/12),2)</f>
        <v>0</v>
      </c>
      <c r="C65" s="39" t="n">
        <f aca="false">ROUND(W64*(1+N('My Debts'!$D$7)/12),2)</f>
        <v>0</v>
      </c>
      <c r="D65" s="39" t="n">
        <f aca="false">ROUND(X64*(1+N('My Debts'!$D$8)/12),2)</f>
        <v>0</v>
      </c>
      <c r="E65" s="39" t="n">
        <f aca="false">ROUND(Y64*(1+N('My Debts'!$D$9)/12),2)</f>
        <v>0</v>
      </c>
      <c r="F65" s="39" t="n">
        <f aca="false">ROUND(Z64*(1+N('My Debts'!$D$10)/12),2)</f>
        <v>0</v>
      </c>
      <c r="G65" s="39" t="n">
        <f aca="false">ROUND(AA64*(1+N('My Debts'!$D$11)/12),2)</f>
        <v>0</v>
      </c>
      <c r="H65" s="39" t="n">
        <f aca="false">ROUND(AB64*(1+N('My Debts'!$D$12)/12),2)</f>
        <v>0</v>
      </c>
      <c r="I65" s="39" t="n">
        <f aca="false">ROUND(AC64*(1+N('My Debts'!$D$13)/12),2)</f>
        <v>0</v>
      </c>
      <c r="J65" s="39" t="n">
        <f aca="false">ROUND(AD64*(1+N('My Debts'!$D$14)/12),2)</f>
        <v>0</v>
      </c>
      <c r="K65" s="39" t="n">
        <f aca="false">ROUND(AE64*(1+N('My Debts'!$D$15)/12),2)</f>
        <v>0</v>
      </c>
      <c r="L65" s="39" t="n">
        <f aca="false">MIN(N('My Debts'!$E$6),B65)</f>
        <v>0</v>
      </c>
      <c r="M65" s="39" t="n">
        <f aca="false">MIN(N('My Debts'!$E$7),C65)</f>
        <v>0</v>
      </c>
      <c r="N65" s="39" t="n">
        <f aca="false">MIN(N('My Debts'!$E$8),D65)</f>
        <v>0</v>
      </c>
      <c r="O65" s="39" t="n">
        <f aca="false">MIN(N('My Debts'!$E$9),E65)</f>
        <v>0</v>
      </c>
      <c r="P65" s="39" t="n">
        <f aca="false">MIN(N('My Debts'!$E$10),F65)</f>
        <v>0</v>
      </c>
      <c r="Q65" s="39" t="n">
        <f aca="false">MIN(N('My Debts'!$E$11),G65)</f>
        <v>0</v>
      </c>
      <c r="R65" s="39" t="n">
        <f aca="false">MIN(N('My Debts'!$E$12),H65)</f>
        <v>0</v>
      </c>
      <c r="S65" s="39" t="n">
        <f aca="false">MIN(N('My Debts'!$E$13),I65)</f>
        <v>0</v>
      </c>
      <c r="T65" s="39" t="n">
        <f aca="false">MIN(N('My Debts'!$E$14),J65)</f>
        <v>0</v>
      </c>
      <c r="U65" s="39" t="n">
        <f aca="false">MIN(N('My Debts'!$E$15),K65)</f>
        <v>0</v>
      </c>
      <c r="V65" s="39" t="n">
        <f aca="false">ROUND(B65-L65-MIN(B65-L65,MAX(0,$AF65-SUMPRODUCT(--($B$4:$K$4&lt;B$4),$B65:$K65-$L65:$U65))),2)</f>
        <v>0</v>
      </c>
      <c r="W65" s="39" t="n">
        <f aca="false">ROUND(C65-M65-MIN(C65-M65,MAX(0,$AF65-SUMPRODUCT(--($B$4:$K$4&lt;C$4),$B65:$K65-$L65:$U65))),2)</f>
        <v>0</v>
      </c>
      <c r="X65" s="39" t="n">
        <f aca="false">ROUND(D65-N65-MIN(D65-N65,MAX(0,$AF65-SUMPRODUCT(--($B$4:$K$4&lt;D$4),$B65:$K65-$L65:$U65))),2)</f>
        <v>0</v>
      </c>
      <c r="Y65" s="39" t="n">
        <f aca="false">ROUND(E65-O65-MIN(E65-O65,MAX(0,$AF65-SUMPRODUCT(--($B$4:$K$4&lt;E$4),$B65:$K65-$L65:$U65))),2)</f>
        <v>0</v>
      </c>
      <c r="Z65" s="39" t="n">
        <f aca="false">ROUND(F65-P65-MIN(F65-P65,MAX(0,$AF65-SUMPRODUCT(--($B$4:$K$4&lt;F$4),$B65:$K65-$L65:$U65))),2)</f>
        <v>0</v>
      </c>
      <c r="AA65" s="39" t="n">
        <f aca="false">ROUND(G65-Q65-MIN(G65-Q65,MAX(0,$AF65-SUMPRODUCT(--($B$4:$K$4&lt;G$4),$B65:$K65-$L65:$U65))),2)</f>
        <v>0</v>
      </c>
      <c r="AB65" s="39" t="n">
        <f aca="false">ROUND(H65-R65-MIN(H65-R65,MAX(0,$AF65-SUMPRODUCT(--($B$4:$K$4&lt;H$4),$B65:$K65-$L65:$U65))),2)</f>
        <v>0</v>
      </c>
      <c r="AC65" s="39" t="n">
        <f aca="false">ROUND(I65-S65-MIN(I65-S65,MAX(0,$AF65-SUMPRODUCT(--($B$4:$K$4&lt;I$4),$B65:$K65-$L65:$U65))),2)</f>
        <v>0</v>
      </c>
      <c r="AD65" s="39" t="n">
        <f aca="false">ROUND(J65-T65-MIN(J65-T65,MAX(0,$AF65-SUMPRODUCT(--($B$4:$K$4&lt;J$4),$B65:$K65-$L65:$U65))),2)</f>
        <v>0</v>
      </c>
      <c r="AE65" s="39" t="n">
        <f aca="false">ROUND(K65-U65-MIN(K65-U65,MAX(0,$AF65-SUMPRODUCT(--($B$4:$K$4&lt;K$4),$B65:$K65-$L65:$U65))),2)</f>
        <v>0</v>
      </c>
      <c r="AF65" s="39" t="n">
        <f aca="false">MAX(0,'Start Here'!$C$5-SUM($L65:$U65))</f>
        <v>1200</v>
      </c>
      <c r="AG65" s="39" t="n">
        <f aca="false">SUM(V65:AE65)</f>
        <v>0</v>
      </c>
      <c r="AH65" s="39" t="n">
        <f aca="false">SUM(B65:K65)-AG64</f>
        <v>0</v>
      </c>
    </row>
    <row r="66" customFormat="false" ht="15" hidden="false" customHeight="false" outlineLevel="0" collapsed="false">
      <c r="A66" s="40" t="n">
        <f aca="false">DATE(YEAR('Start Here'!$C$6),MONTH('Start Here'!$C$6)+59,1)</f>
        <v>48092</v>
      </c>
      <c r="B66" s="39" t="n">
        <f aca="false">ROUND(V65*(1+N('My Debts'!$D$6)/12),2)</f>
        <v>0</v>
      </c>
      <c r="C66" s="39" t="n">
        <f aca="false">ROUND(W65*(1+N('My Debts'!$D$7)/12),2)</f>
        <v>0</v>
      </c>
      <c r="D66" s="39" t="n">
        <f aca="false">ROUND(X65*(1+N('My Debts'!$D$8)/12),2)</f>
        <v>0</v>
      </c>
      <c r="E66" s="39" t="n">
        <f aca="false">ROUND(Y65*(1+N('My Debts'!$D$9)/12),2)</f>
        <v>0</v>
      </c>
      <c r="F66" s="39" t="n">
        <f aca="false">ROUND(Z65*(1+N('My Debts'!$D$10)/12),2)</f>
        <v>0</v>
      </c>
      <c r="G66" s="39" t="n">
        <f aca="false">ROUND(AA65*(1+N('My Debts'!$D$11)/12),2)</f>
        <v>0</v>
      </c>
      <c r="H66" s="39" t="n">
        <f aca="false">ROUND(AB65*(1+N('My Debts'!$D$12)/12),2)</f>
        <v>0</v>
      </c>
      <c r="I66" s="39" t="n">
        <f aca="false">ROUND(AC65*(1+N('My Debts'!$D$13)/12),2)</f>
        <v>0</v>
      </c>
      <c r="J66" s="39" t="n">
        <f aca="false">ROUND(AD65*(1+N('My Debts'!$D$14)/12),2)</f>
        <v>0</v>
      </c>
      <c r="K66" s="39" t="n">
        <f aca="false">ROUND(AE65*(1+N('My Debts'!$D$15)/12),2)</f>
        <v>0</v>
      </c>
      <c r="L66" s="39" t="n">
        <f aca="false">MIN(N('My Debts'!$E$6),B66)</f>
        <v>0</v>
      </c>
      <c r="M66" s="39" t="n">
        <f aca="false">MIN(N('My Debts'!$E$7),C66)</f>
        <v>0</v>
      </c>
      <c r="N66" s="39" t="n">
        <f aca="false">MIN(N('My Debts'!$E$8),D66)</f>
        <v>0</v>
      </c>
      <c r="O66" s="39" t="n">
        <f aca="false">MIN(N('My Debts'!$E$9),E66)</f>
        <v>0</v>
      </c>
      <c r="P66" s="39" t="n">
        <f aca="false">MIN(N('My Debts'!$E$10),F66)</f>
        <v>0</v>
      </c>
      <c r="Q66" s="39" t="n">
        <f aca="false">MIN(N('My Debts'!$E$11),G66)</f>
        <v>0</v>
      </c>
      <c r="R66" s="39" t="n">
        <f aca="false">MIN(N('My Debts'!$E$12),H66)</f>
        <v>0</v>
      </c>
      <c r="S66" s="39" t="n">
        <f aca="false">MIN(N('My Debts'!$E$13),I66)</f>
        <v>0</v>
      </c>
      <c r="T66" s="39" t="n">
        <f aca="false">MIN(N('My Debts'!$E$14),J66)</f>
        <v>0</v>
      </c>
      <c r="U66" s="39" t="n">
        <f aca="false">MIN(N('My Debts'!$E$15),K66)</f>
        <v>0</v>
      </c>
      <c r="V66" s="39" t="n">
        <f aca="false">ROUND(B66-L66-MIN(B66-L66,MAX(0,$AF66-SUMPRODUCT(--($B$4:$K$4&lt;B$4),$B66:$K66-$L66:$U66))),2)</f>
        <v>0</v>
      </c>
      <c r="W66" s="39" t="n">
        <f aca="false">ROUND(C66-M66-MIN(C66-M66,MAX(0,$AF66-SUMPRODUCT(--($B$4:$K$4&lt;C$4),$B66:$K66-$L66:$U66))),2)</f>
        <v>0</v>
      </c>
      <c r="X66" s="39" t="n">
        <f aca="false">ROUND(D66-N66-MIN(D66-N66,MAX(0,$AF66-SUMPRODUCT(--($B$4:$K$4&lt;D$4),$B66:$K66-$L66:$U66))),2)</f>
        <v>0</v>
      </c>
      <c r="Y66" s="39" t="n">
        <f aca="false">ROUND(E66-O66-MIN(E66-O66,MAX(0,$AF66-SUMPRODUCT(--($B$4:$K$4&lt;E$4),$B66:$K66-$L66:$U66))),2)</f>
        <v>0</v>
      </c>
      <c r="Z66" s="39" t="n">
        <f aca="false">ROUND(F66-P66-MIN(F66-P66,MAX(0,$AF66-SUMPRODUCT(--($B$4:$K$4&lt;F$4),$B66:$K66-$L66:$U66))),2)</f>
        <v>0</v>
      </c>
      <c r="AA66" s="39" t="n">
        <f aca="false">ROUND(G66-Q66-MIN(G66-Q66,MAX(0,$AF66-SUMPRODUCT(--($B$4:$K$4&lt;G$4),$B66:$K66-$L66:$U66))),2)</f>
        <v>0</v>
      </c>
      <c r="AB66" s="39" t="n">
        <f aca="false">ROUND(H66-R66-MIN(H66-R66,MAX(0,$AF66-SUMPRODUCT(--($B$4:$K$4&lt;H$4),$B66:$K66-$L66:$U66))),2)</f>
        <v>0</v>
      </c>
      <c r="AC66" s="39" t="n">
        <f aca="false">ROUND(I66-S66-MIN(I66-S66,MAX(0,$AF66-SUMPRODUCT(--($B$4:$K$4&lt;I$4),$B66:$K66-$L66:$U66))),2)</f>
        <v>0</v>
      </c>
      <c r="AD66" s="39" t="n">
        <f aca="false">ROUND(J66-T66-MIN(J66-T66,MAX(0,$AF66-SUMPRODUCT(--($B$4:$K$4&lt;J$4),$B66:$K66-$L66:$U66))),2)</f>
        <v>0</v>
      </c>
      <c r="AE66" s="39" t="n">
        <f aca="false">ROUND(K66-U66-MIN(K66-U66,MAX(0,$AF66-SUMPRODUCT(--($B$4:$K$4&lt;K$4),$B66:$K66-$L66:$U66))),2)</f>
        <v>0</v>
      </c>
      <c r="AF66" s="39" t="n">
        <f aca="false">MAX(0,'Start Here'!$C$5-SUM($L66:$U66))</f>
        <v>1200</v>
      </c>
      <c r="AG66" s="39" t="n">
        <f aca="false">SUM(V66:AE66)</f>
        <v>0</v>
      </c>
      <c r="AH66" s="39" t="n">
        <f aca="false">SUM(B66:K66)-AG65</f>
        <v>0</v>
      </c>
    </row>
    <row r="67" customFormat="false" ht="15" hidden="false" customHeight="false" outlineLevel="0" collapsed="false">
      <c r="A67" s="40" t="n">
        <f aca="false">DATE(YEAR('Start Here'!$C$6),MONTH('Start Here'!$C$6)+60,1)</f>
        <v>48122</v>
      </c>
      <c r="B67" s="39" t="n">
        <f aca="false">ROUND(V66*(1+N('My Debts'!$D$6)/12),2)</f>
        <v>0</v>
      </c>
      <c r="C67" s="39" t="n">
        <f aca="false">ROUND(W66*(1+N('My Debts'!$D$7)/12),2)</f>
        <v>0</v>
      </c>
      <c r="D67" s="39" t="n">
        <f aca="false">ROUND(X66*(1+N('My Debts'!$D$8)/12),2)</f>
        <v>0</v>
      </c>
      <c r="E67" s="39" t="n">
        <f aca="false">ROUND(Y66*(1+N('My Debts'!$D$9)/12),2)</f>
        <v>0</v>
      </c>
      <c r="F67" s="39" t="n">
        <f aca="false">ROUND(Z66*(1+N('My Debts'!$D$10)/12),2)</f>
        <v>0</v>
      </c>
      <c r="G67" s="39" t="n">
        <f aca="false">ROUND(AA66*(1+N('My Debts'!$D$11)/12),2)</f>
        <v>0</v>
      </c>
      <c r="H67" s="39" t="n">
        <f aca="false">ROUND(AB66*(1+N('My Debts'!$D$12)/12),2)</f>
        <v>0</v>
      </c>
      <c r="I67" s="39" t="n">
        <f aca="false">ROUND(AC66*(1+N('My Debts'!$D$13)/12),2)</f>
        <v>0</v>
      </c>
      <c r="J67" s="39" t="n">
        <f aca="false">ROUND(AD66*(1+N('My Debts'!$D$14)/12),2)</f>
        <v>0</v>
      </c>
      <c r="K67" s="39" t="n">
        <f aca="false">ROUND(AE66*(1+N('My Debts'!$D$15)/12),2)</f>
        <v>0</v>
      </c>
      <c r="L67" s="39" t="n">
        <f aca="false">MIN(N('My Debts'!$E$6),B67)</f>
        <v>0</v>
      </c>
      <c r="M67" s="39" t="n">
        <f aca="false">MIN(N('My Debts'!$E$7),C67)</f>
        <v>0</v>
      </c>
      <c r="N67" s="39" t="n">
        <f aca="false">MIN(N('My Debts'!$E$8),D67)</f>
        <v>0</v>
      </c>
      <c r="O67" s="39" t="n">
        <f aca="false">MIN(N('My Debts'!$E$9),E67)</f>
        <v>0</v>
      </c>
      <c r="P67" s="39" t="n">
        <f aca="false">MIN(N('My Debts'!$E$10),F67)</f>
        <v>0</v>
      </c>
      <c r="Q67" s="39" t="n">
        <f aca="false">MIN(N('My Debts'!$E$11),G67)</f>
        <v>0</v>
      </c>
      <c r="R67" s="39" t="n">
        <f aca="false">MIN(N('My Debts'!$E$12),H67)</f>
        <v>0</v>
      </c>
      <c r="S67" s="39" t="n">
        <f aca="false">MIN(N('My Debts'!$E$13),I67)</f>
        <v>0</v>
      </c>
      <c r="T67" s="39" t="n">
        <f aca="false">MIN(N('My Debts'!$E$14),J67)</f>
        <v>0</v>
      </c>
      <c r="U67" s="39" t="n">
        <f aca="false">MIN(N('My Debts'!$E$15),K67)</f>
        <v>0</v>
      </c>
      <c r="V67" s="39" t="n">
        <f aca="false">ROUND(B67-L67-MIN(B67-L67,MAX(0,$AF67-SUMPRODUCT(--($B$4:$K$4&lt;B$4),$B67:$K67-$L67:$U67))),2)</f>
        <v>0</v>
      </c>
      <c r="W67" s="39" t="n">
        <f aca="false">ROUND(C67-M67-MIN(C67-M67,MAX(0,$AF67-SUMPRODUCT(--($B$4:$K$4&lt;C$4),$B67:$K67-$L67:$U67))),2)</f>
        <v>0</v>
      </c>
      <c r="X67" s="39" t="n">
        <f aca="false">ROUND(D67-N67-MIN(D67-N67,MAX(0,$AF67-SUMPRODUCT(--($B$4:$K$4&lt;D$4),$B67:$K67-$L67:$U67))),2)</f>
        <v>0</v>
      </c>
      <c r="Y67" s="39" t="n">
        <f aca="false">ROUND(E67-O67-MIN(E67-O67,MAX(0,$AF67-SUMPRODUCT(--($B$4:$K$4&lt;E$4),$B67:$K67-$L67:$U67))),2)</f>
        <v>0</v>
      </c>
      <c r="Z67" s="39" t="n">
        <f aca="false">ROUND(F67-P67-MIN(F67-P67,MAX(0,$AF67-SUMPRODUCT(--($B$4:$K$4&lt;F$4),$B67:$K67-$L67:$U67))),2)</f>
        <v>0</v>
      </c>
      <c r="AA67" s="39" t="n">
        <f aca="false">ROUND(G67-Q67-MIN(G67-Q67,MAX(0,$AF67-SUMPRODUCT(--($B$4:$K$4&lt;G$4),$B67:$K67-$L67:$U67))),2)</f>
        <v>0</v>
      </c>
      <c r="AB67" s="39" t="n">
        <f aca="false">ROUND(H67-R67-MIN(H67-R67,MAX(0,$AF67-SUMPRODUCT(--($B$4:$K$4&lt;H$4),$B67:$K67-$L67:$U67))),2)</f>
        <v>0</v>
      </c>
      <c r="AC67" s="39" t="n">
        <f aca="false">ROUND(I67-S67-MIN(I67-S67,MAX(0,$AF67-SUMPRODUCT(--($B$4:$K$4&lt;I$4),$B67:$K67-$L67:$U67))),2)</f>
        <v>0</v>
      </c>
      <c r="AD67" s="39" t="n">
        <f aca="false">ROUND(J67-T67-MIN(J67-T67,MAX(0,$AF67-SUMPRODUCT(--($B$4:$K$4&lt;J$4),$B67:$K67-$L67:$U67))),2)</f>
        <v>0</v>
      </c>
      <c r="AE67" s="39" t="n">
        <f aca="false">ROUND(K67-U67-MIN(K67-U67,MAX(0,$AF67-SUMPRODUCT(--($B$4:$K$4&lt;K$4),$B67:$K67-$L67:$U67))),2)</f>
        <v>0</v>
      </c>
      <c r="AF67" s="39" t="n">
        <f aca="false">MAX(0,'Start Here'!$C$5-SUM($L67:$U67))</f>
        <v>1200</v>
      </c>
      <c r="AG67" s="39" t="n">
        <f aca="false">SUM(V67:AE67)</f>
        <v>0</v>
      </c>
      <c r="AH67" s="39" t="n">
        <f aca="false">SUM(B67:K67)-AG66</f>
        <v>0</v>
      </c>
    </row>
    <row r="68" customFormat="false" ht="15" hidden="false" customHeight="false" outlineLevel="0" collapsed="false">
      <c r="A68" s="40" t="n">
        <f aca="false">DATE(YEAR('Start Here'!$C$6),MONTH('Start Here'!$C$6)+61,1)</f>
        <v>48153</v>
      </c>
      <c r="B68" s="39" t="n">
        <f aca="false">ROUND(V67*(1+N('My Debts'!$D$6)/12),2)</f>
        <v>0</v>
      </c>
      <c r="C68" s="39" t="n">
        <f aca="false">ROUND(W67*(1+N('My Debts'!$D$7)/12),2)</f>
        <v>0</v>
      </c>
      <c r="D68" s="39" t="n">
        <f aca="false">ROUND(X67*(1+N('My Debts'!$D$8)/12),2)</f>
        <v>0</v>
      </c>
      <c r="E68" s="39" t="n">
        <f aca="false">ROUND(Y67*(1+N('My Debts'!$D$9)/12),2)</f>
        <v>0</v>
      </c>
      <c r="F68" s="39" t="n">
        <f aca="false">ROUND(Z67*(1+N('My Debts'!$D$10)/12),2)</f>
        <v>0</v>
      </c>
      <c r="G68" s="39" t="n">
        <f aca="false">ROUND(AA67*(1+N('My Debts'!$D$11)/12),2)</f>
        <v>0</v>
      </c>
      <c r="H68" s="39" t="n">
        <f aca="false">ROUND(AB67*(1+N('My Debts'!$D$12)/12),2)</f>
        <v>0</v>
      </c>
      <c r="I68" s="39" t="n">
        <f aca="false">ROUND(AC67*(1+N('My Debts'!$D$13)/12),2)</f>
        <v>0</v>
      </c>
      <c r="J68" s="39" t="n">
        <f aca="false">ROUND(AD67*(1+N('My Debts'!$D$14)/12),2)</f>
        <v>0</v>
      </c>
      <c r="K68" s="39" t="n">
        <f aca="false">ROUND(AE67*(1+N('My Debts'!$D$15)/12),2)</f>
        <v>0</v>
      </c>
      <c r="L68" s="39" t="n">
        <f aca="false">MIN(N('My Debts'!$E$6),B68)</f>
        <v>0</v>
      </c>
      <c r="M68" s="39" t="n">
        <f aca="false">MIN(N('My Debts'!$E$7),C68)</f>
        <v>0</v>
      </c>
      <c r="N68" s="39" t="n">
        <f aca="false">MIN(N('My Debts'!$E$8),D68)</f>
        <v>0</v>
      </c>
      <c r="O68" s="39" t="n">
        <f aca="false">MIN(N('My Debts'!$E$9),E68)</f>
        <v>0</v>
      </c>
      <c r="P68" s="39" t="n">
        <f aca="false">MIN(N('My Debts'!$E$10),F68)</f>
        <v>0</v>
      </c>
      <c r="Q68" s="39" t="n">
        <f aca="false">MIN(N('My Debts'!$E$11),G68)</f>
        <v>0</v>
      </c>
      <c r="R68" s="39" t="n">
        <f aca="false">MIN(N('My Debts'!$E$12),H68)</f>
        <v>0</v>
      </c>
      <c r="S68" s="39" t="n">
        <f aca="false">MIN(N('My Debts'!$E$13),I68)</f>
        <v>0</v>
      </c>
      <c r="T68" s="39" t="n">
        <f aca="false">MIN(N('My Debts'!$E$14),J68)</f>
        <v>0</v>
      </c>
      <c r="U68" s="39" t="n">
        <f aca="false">MIN(N('My Debts'!$E$15),K68)</f>
        <v>0</v>
      </c>
      <c r="V68" s="39" t="n">
        <f aca="false">ROUND(B68-L68-MIN(B68-L68,MAX(0,$AF68-SUMPRODUCT(--($B$4:$K$4&lt;B$4),$B68:$K68-$L68:$U68))),2)</f>
        <v>0</v>
      </c>
      <c r="W68" s="39" t="n">
        <f aca="false">ROUND(C68-M68-MIN(C68-M68,MAX(0,$AF68-SUMPRODUCT(--($B$4:$K$4&lt;C$4),$B68:$K68-$L68:$U68))),2)</f>
        <v>0</v>
      </c>
      <c r="X68" s="39" t="n">
        <f aca="false">ROUND(D68-N68-MIN(D68-N68,MAX(0,$AF68-SUMPRODUCT(--($B$4:$K$4&lt;D$4),$B68:$K68-$L68:$U68))),2)</f>
        <v>0</v>
      </c>
      <c r="Y68" s="39" t="n">
        <f aca="false">ROUND(E68-O68-MIN(E68-O68,MAX(0,$AF68-SUMPRODUCT(--($B$4:$K$4&lt;E$4),$B68:$K68-$L68:$U68))),2)</f>
        <v>0</v>
      </c>
      <c r="Z68" s="39" t="n">
        <f aca="false">ROUND(F68-P68-MIN(F68-P68,MAX(0,$AF68-SUMPRODUCT(--($B$4:$K$4&lt;F$4),$B68:$K68-$L68:$U68))),2)</f>
        <v>0</v>
      </c>
      <c r="AA68" s="39" t="n">
        <f aca="false">ROUND(G68-Q68-MIN(G68-Q68,MAX(0,$AF68-SUMPRODUCT(--($B$4:$K$4&lt;G$4),$B68:$K68-$L68:$U68))),2)</f>
        <v>0</v>
      </c>
      <c r="AB68" s="39" t="n">
        <f aca="false">ROUND(H68-R68-MIN(H68-R68,MAX(0,$AF68-SUMPRODUCT(--($B$4:$K$4&lt;H$4),$B68:$K68-$L68:$U68))),2)</f>
        <v>0</v>
      </c>
      <c r="AC68" s="39" t="n">
        <f aca="false">ROUND(I68-S68-MIN(I68-S68,MAX(0,$AF68-SUMPRODUCT(--($B$4:$K$4&lt;I$4),$B68:$K68-$L68:$U68))),2)</f>
        <v>0</v>
      </c>
      <c r="AD68" s="39" t="n">
        <f aca="false">ROUND(J68-T68-MIN(J68-T68,MAX(0,$AF68-SUMPRODUCT(--($B$4:$K$4&lt;J$4),$B68:$K68-$L68:$U68))),2)</f>
        <v>0</v>
      </c>
      <c r="AE68" s="39" t="n">
        <f aca="false">ROUND(K68-U68-MIN(K68-U68,MAX(0,$AF68-SUMPRODUCT(--($B$4:$K$4&lt;K$4),$B68:$K68-$L68:$U68))),2)</f>
        <v>0</v>
      </c>
      <c r="AF68" s="39" t="n">
        <f aca="false">MAX(0,'Start Here'!$C$5-SUM($L68:$U68))</f>
        <v>1200</v>
      </c>
      <c r="AG68" s="39" t="n">
        <f aca="false">SUM(V68:AE68)</f>
        <v>0</v>
      </c>
      <c r="AH68" s="39" t="n">
        <f aca="false">SUM(B68:K68)-AG67</f>
        <v>0</v>
      </c>
    </row>
    <row r="69" customFormat="false" ht="15" hidden="false" customHeight="false" outlineLevel="0" collapsed="false">
      <c r="A69" s="40" t="n">
        <f aca="false">DATE(YEAR('Start Here'!$C$6),MONTH('Start Here'!$C$6)+62,1)</f>
        <v>48183</v>
      </c>
      <c r="B69" s="39" t="n">
        <f aca="false">ROUND(V68*(1+N('My Debts'!$D$6)/12),2)</f>
        <v>0</v>
      </c>
      <c r="C69" s="39" t="n">
        <f aca="false">ROUND(W68*(1+N('My Debts'!$D$7)/12),2)</f>
        <v>0</v>
      </c>
      <c r="D69" s="39" t="n">
        <f aca="false">ROUND(X68*(1+N('My Debts'!$D$8)/12),2)</f>
        <v>0</v>
      </c>
      <c r="E69" s="39" t="n">
        <f aca="false">ROUND(Y68*(1+N('My Debts'!$D$9)/12),2)</f>
        <v>0</v>
      </c>
      <c r="F69" s="39" t="n">
        <f aca="false">ROUND(Z68*(1+N('My Debts'!$D$10)/12),2)</f>
        <v>0</v>
      </c>
      <c r="G69" s="39" t="n">
        <f aca="false">ROUND(AA68*(1+N('My Debts'!$D$11)/12),2)</f>
        <v>0</v>
      </c>
      <c r="H69" s="39" t="n">
        <f aca="false">ROUND(AB68*(1+N('My Debts'!$D$12)/12),2)</f>
        <v>0</v>
      </c>
      <c r="I69" s="39" t="n">
        <f aca="false">ROUND(AC68*(1+N('My Debts'!$D$13)/12),2)</f>
        <v>0</v>
      </c>
      <c r="J69" s="39" t="n">
        <f aca="false">ROUND(AD68*(1+N('My Debts'!$D$14)/12),2)</f>
        <v>0</v>
      </c>
      <c r="K69" s="39" t="n">
        <f aca="false">ROUND(AE68*(1+N('My Debts'!$D$15)/12),2)</f>
        <v>0</v>
      </c>
      <c r="L69" s="39" t="n">
        <f aca="false">MIN(N('My Debts'!$E$6),B69)</f>
        <v>0</v>
      </c>
      <c r="M69" s="39" t="n">
        <f aca="false">MIN(N('My Debts'!$E$7),C69)</f>
        <v>0</v>
      </c>
      <c r="N69" s="39" t="n">
        <f aca="false">MIN(N('My Debts'!$E$8),D69)</f>
        <v>0</v>
      </c>
      <c r="O69" s="39" t="n">
        <f aca="false">MIN(N('My Debts'!$E$9),E69)</f>
        <v>0</v>
      </c>
      <c r="P69" s="39" t="n">
        <f aca="false">MIN(N('My Debts'!$E$10),F69)</f>
        <v>0</v>
      </c>
      <c r="Q69" s="39" t="n">
        <f aca="false">MIN(N('My Debts'!$E$11),G69)</f>
        <v>0</v>
      </c>
      <c r="R69" s="39" t="n">
        <f aca="false">MIN(N('My Debts'!$E$12),H69)</f>
        <v>0</v>
      </c>
      <c r="S69" s="39" t="n">
        <f aca="false">MIN(N('My Debts'!$E$13),I69)</f>
        <v>0</v>
      </c>
      <c r="T69" s="39" t="n">
        <f aca="false">MIN(N('My Debts'!$E$14),J69)</f>
        <v>0</v>
      </c>
      <c r="U69" s="39" t="n">
        <f aca="false">MIN(N('My Debts'!$E$15),K69)</f>
        <v>0</v>
      </c>
      <c r="V69" s="39" t="n">
        <f aca="false">ROUND(B69-L69-MIN(B69-L69,MAX(0,$AF69-SUMPRODUCT(--($B$4:$K$4&lt;B$4),$B69:$K69-$L69:$U69))),2)</f>
        <v>0</v>
      </c>
      <c r="W69" s="39" t="n">
        <f aca="false">ROUND(C69-M69-MIN(C69-M69,MAX(0,$AF69-SUMPRODUCT(--($B$4:$K$4&lt;C$4),$B69:$K69-$L69:$U69))),2)</f>
        <v>0</v>
      </c>
      <c r="X69" s="39" t="n">
        <f aca="false">ROUND(D69-N69-MIN(D69-N69,MAX(0,$AF69-SUMPRODUCT(--($B$4:$K$4&lt;D$4),$B69:$K69-$L69:$U69))),2)</f>
        <v>0</v>
      </c>
      <c r="Y69" s="39" t="n">
        <f aca="false">ROUND(E69-O69-MIN(E69-O69,MAX(0,$AF69-SUMPRODUCT(--($B$4:$K$4&lt;E$4),$B69:$K69-$L69:$U69))),2)</f>
        <v>0</v>
      </c>
      <c r="Z69" s="39" t="n">
        <f aca="false">ROUND(F69-P69-MIN(F69-P69,MAX(0,$AF69-SUMPRODUCT(--($B$4:$K$4&lt;F$4),$B69:$K69-$L69:$U69))),2)</f>
        <v>0</v>
      </c>
      <c r="AA69" s="39" t="n">
        <f aca="false">ROUND(G69-Q69-MIN(G69-Q69,MAX(0,$AF69-SUMPRODUCT(--($B$4:$K$4&lt;G$4),$B69:$K69-$L69:$U69))),2)</f>
        <v>0</v>
      </c>
      <c r="AB69" s="39" t="n">
        <f aca="false">ROUND(H69-R69-MIN(H69-R69,MAX(0,$AF69-SUMPRODUCT(--($B$4:$K$4&lt;H$4),$B69:$K69-$L69:$U69))),2)</f>
        <v>0</v>
      </c>
      <c r="AC69" s="39" t="n">
        <f aca="false">ROUND(I69-S69-MIN(I69-S69,MAX(0,$AF69-SUMPRODUCT(--($B$4:$K$4&lt;I$4),$B69:$K69-$L69:$U69))),2)</f>
        <v>0</v>
      </c>
      <c r="AD69" s="39" t="n">
        <f aca="false">ROUND(J69-T69-MIN(J69-T69,MAX(0,$AF69-SUMPRODUCT(--($B$4:$K$4&lt;J$4),$B69:$K69-$L69:$U69))),2)</f>
        <v>0</v>
      </c>
      <c r="AE69" s="39" t="n">
        <f aca="false">ROUND(K69-U69-MIN(K69-U69,MAX(0,$AF69-SUMPRODUCT(--($B$4:$K$4&lt;K$4),$B69:$K69-$L69:$U69))),2)</f>
        <v>0</v>
      </c>
      <c r="AF69" s="39" t="n">
        <f aca="false">MAX(0,'Start Here'!$C$5-SUM($L69:$U69))</f>
        <v>1200</v>
      </c>
      <c r="AG69" s="39" t="n">
        <f aca="false">SUM(V69:AE69)</f>
        <v>0</v>
      </c>
      <c r="AH69" s="39" t="n">
        <f aca="false">SUM(B69:K69)-AG68</f>
        <v>0</v>
      </c>
    </row>
    <row r="70" customFormat="false" ht="15" hidden="false" customHeight="false" outlineLevel="0" collapsed="false">
      <c r="A70" s="40" t="n">
        <f aca="false">DATE(YEAR('Start Here'!$C$6),MONTH('Start Here'!$C$6)+63,1)</f>
        <v>48214</v>
      </c>
      <c r="B70" s="39" t="n">
        <f aca="false">ROUND(V69*(1+N('My Debts'!$D$6)/12),2)</f>
        <v>0</v>
      </c>
      <c r="C70" s="39" t="n">
        <f aca="false">ROUND(W69*(1+N('My Debts'!$D$7)/12),2)</f>
        <v>0</v>
      </c>
      <c r="D70" s="39" t="n">
        <f aca="false">ROUND(X69*(1+N('My Debts'!$D$8)/12),2)</f>
        <v>0</v>
      </c>
      <c r="E70" s="39" t="n">
        <f aca="false">ROUND(Y69*(1+N('My Debts'!$D$9)/12),2)</f>
        <v>0</v>
      </c>
      <c r="F70" s="39" t="n">
        <f aca="false">ROUND(Z69*(1+N('My Debts'!$D$10)/12),2)</f>
        <v>0</v>
      </c>
      <c r="G70" s="39" t="n">
        <f aca="false">ROUND(AA69*(1+N('My Debts'!$D$11)/12),2)</f>
        <v>0</v>
      </c>
      <c r="H70" s="39" t="n">
        <f aca="false">ROUND(AB69*(1+N('My Debts'!$D$12)/12),2)</f>
        <v>0</v>
      </c>
      <c r="I70" s="39" t="n">
        <f aca="false">ROUND(AC69*(1+N('My Debts'!$D$13)/12),2)</f>
        <v>0</v>
      </c>
      <c r="J70" s="39" t="n">
        <f aca="false">ROUND(AD69*(1+N('My Debts'!$D$14)/12),2)</f>
        <v>0</v>
      </c>
      <c r="K70" s="39" t="n">
        <f aca="false">ROUND(AE69*(1+N('My Debts'!$D$15)/12),2)</f>
        <v>0</v>
      </c>
      <c r="L70" s="39" t="n">
        <f aca="false">MIN(N('My Debts'!$E$6),B70)</f>
        <v>0</v>
      </c>
      <c r="M70" s="39" t="n">
        <f aca="false">MIN(N('My Debts'!$E$7),C70)</f>
        <v>0</v>
      </c>
      <c r="N70" s="39" t="n">
        <f aca="false">MIN(N('My Debts'!$E$8),D70)</f>
        <v>0</v>
      </c>
      <c r="O70" s="39" t="n">
        <f aca="false">MIN(N('My Debts'!$E$9),E70)</f>
        <v>0</v>
      </c>
      <c r="P70" s="39" t="n">
        <f aca="false">MIN(N('My Debts'!$E$10),F70)</f>
        <v>0</v>
      </c>
      <c r="Q70" s="39" t="n">
        <f aca="false">MIN(N('My Debts'!$E$11),G70)</f>
        <v>0</v>
      </c>
      <c r="R70" s="39" t="n">
        <f aca="false">MIN(N('My Debts'!$E$12),H70)</f>
        <v>0</v>
      </c>
      <c r="S70" s="39" t="n">
        <f aca="false">MIN(N('My Debts'!$E$13),I70)</f>
        <v>0</v>
      </c>
      <c r="T70" s="39" t="n">
        <f aca="false">MIN(N('My Debts'!$E$14),J70)</f>
        <v>0</v>
      </c>
      <c r="U70" s="39" t="n">
        <f aca="false">MIN(N('My Debts'!$E$15),K70)</f>
        <v>0</v>
      </c>
      <c r="V70" s="39" t="n">
        <f aca="false">ROUND(B70-L70-MIN(B70-L70,MAX(0,$AF70-SUMPRODUCT(--($B$4:$K$4&lt;B$4),$B70:$K70-$L70:$U70))),2)</f>
        <v>0</v>
      </c>
      <c r="W70" s="39" t="n">
        <f aca="false">ROUND(C70-M70-MIN(C70-M70,MAX(0,$AF70-SUMPRODUCT(--($B$4:$K$4&lt;C$4),$B70:$K70-$L70:$U70))),2)</f>
        <v>0</v>
      </c>
      <c r="X70" s="39" t="n">
        <f aca="false">ROUND(D70-N70-MIN(D70-N70,MAX(0,$AF70-SUMPRODUCT(--($B$4:$K$4&lt;D$4),$B70:$K70-$L70:$U70))),2)</f>
        <v>0</v>
      </c>
      <c r="Y70" s="39" t="n">
        <f aca="false">ROUND(E70-O70-MIN(E70-O70,MAX(0,$AF70-SUMPRODUCT(--($B$4:$K$4&lt;E$4),$B70:$K70-$L70:$U70))),2)</f>
        <v>0</v>
      </c>
      <c r="Z70" s="39" t="n">
        <f aca="false">ROUND(F70-P70-MIN(F70-P70,MAX(0,$AF70-SUMPRODUCT(--($B$4:$K$4&lt;F$4),$B70:$K70-$L70:$U70))),2)</f>
        <v>0</v>
      </c>
      <c r="AA70" s="39" t="n">
        <f aca="false">ROUND(G70-Q70-MIN(G70-Q70,MAX(0,$AF70-SUMPRODUCT(--($B$4:$K$4&lt;G$4),$B70:$K70-$L70:$U70))),2)</f>
        <v>0</v>
      </c>
      <c r="AB70" s="39" t="n">
        <f aca="false">ROUND(H70-R70-MIN(H70-R70,MAX(0,$AF70-SUMPRODUCT(--($B$4:$K$4&lt;H$4),$B70:$K70-$L70:$U70))),2)</f>
        <v>0</v>
      </c>
      <c r="AC70" s="39" t="n">
        <f aca="false">ROUND(I70-S70-MIN(I70-S70,MAX(0,$AF70-SUMPRODUCT(--($B$4:$K$4&lt;I$4),$B70:$K70-$L70:$U70))),2)</f>
        <v>0</v>
      </c>
      <c r="AD70" s="39" t="n">
        <f aca="false">ROUND(J70-T70-MIN(J70-T70,MAX(0,$AF70-SUMPRODUCT(--($B$4:$K$4&lt;J$4),$B70:$K70-$L70:$U70))),2)</f>
        <v>0</v>
      </c>
      <c r="AE70" s="39" t="n">
        <f aca="false">ROUND(K70-U70-MIN(K70-U70,MAX(0,$AF70-SUMPRODUCT(--($B$4:$K$4&lt;K$4),$B70:$K70-$L70:$U70))),2)</f>
        <v>0</v>
      </c>
      <c r="AF70" s="39" t="n">
        <f aca="false">MAX(0,'Start Here'!$C$5-SUM($L70:$U70))</f>
        <v>1200</v>
      </c>
      <c r="AG70" s="39" t="n">
        <f aca="false">SUM(V70:AE70)</f>
        <v>0</v>
      </c>
      <c r="AH70" s="39" t="n">
        <f aca="false">SUM(B70:K70)-AG69</f>
        <v>0</v>
      </c>
    </row>
    <row r="71" customFormat="false" ht="15" hidden="false" customHeight="false" outlineLevel="0" collapsed="false">
      <c r="A71" s="40" t="n">
        <f aca="false">DATE(YEAR('Start Here'!$C$6),MONTH('Start Here'!$C$6)+64,1)</f>
        <v>48245</v>
      </c>
      <c r="B71" s="39" t="n">
        <f aca="false">ROUND(V70*(1+N('My Debts'!$D$6)/12),2)</f>
        <v>0</v>
      </c>
      <c r="C71" s="39" t="n">
        <f aca="false">ROUND(W70*(1+N('My Debts'!$D$7)/12),2)</f>
        <v>0</v>
      </c>
      <c r="D71" s="39" t="n">
        <f aca="false">ROUND(X70*(1+N('My Debts'!$D$8)/12),2)</f>
        <v>0</v>
      </c>
      <c r="E71" s="39" t="n">
        <f aca="false">ROUND(Y70*(1+N('My Debts'!$D$9)/12),2)</f>
        <v>0</v>
      </c>
      <c r="F71" s="39" t="n">
        <f aca="false">ROUND(Z70*(1+N('My Debts'!$D$10)/12),2)</f>
        <v>0</v>
      </c>
      <c r="G71" s="39" t="n">
        <f aca="false">ROUND(AA70*(1+N('My Debts'!$D$11)/12),2)</f>
        <v>0</v>
      </c>
      <c r="H71" s="39" t="n">
        <f aca="false">ROUND(AB70*(1+N('My Debts'!$D$12)/12),2)</f>
        <v>0</v>
      </c>
      <c r="I71" s="39" t="n">
        <f aca="false">ROUND(AC70*(1+N('My Debts'!$D$13)/12),2)</f>
        <v>0</v>
      </c>
      <c r="J71" s="39" t="n">
        <f aca="false">ROUND(AD70*(1+N('My Debts'!$D$14)/12),2)</f>
        <v>0</v>
      </c>
      <c r="K71" s="39" t="n">
        <f aca="false">ROUND(AE70*(1+N('My Debts'!$D$15)/12),2)</f>
        <v>0</v>
      </c>
      <c r="L71" s="39" t="n">
        <f aca="false">MIN(N('My Debts'!$E$6),B71)</f>
        <v>0</v>
      </c>
      <c r="M71" s="39" t="n">
        <f aca="false">MIN(N('My Debts'!$E$7),C71)</f>
        <v>0</v>
      </c>
      <c r="N71" s="39" t="n">
        <f aca="false">MIN(N('My Debts'!$E$8),D71)</f>
        <v>0</v>
      </c>
      <c r="O71" s="39" t="n">
        <f aca="false">MIN(N('My Debts'!$E$9),E71)</f>
        <v>0</v>
      </c>
      <c r="P71" s="39" t="n">
        <f aca="false">MIN(N('My Debts'!$E$10),F71)</f>
        <v>0</v>
      </c>
      <c r="Q71" s="39" t="n">
        <f aca="false">MIN(N('My Debts'!$E$11),G71)</f>
        <v>0</v>
      </c>
      <c r="R71" s="39" t="n">
        <f aca="false">MIN(N('My Debts'!$E$12),H71)</f>
        <v>0</v>
      </c>
      <c r="S71" s="39" t="n">
        <f aca="false">MIN(N('My Debts'!$E$13),I71)</f>
        <v>0</v>
      </c>
      <c r="T71" s="39" t="n">
        <f aca="false">MIN(N('My Debts'!$E$14),J71)</f>
        <v>0</v>
      </c>
      <c r="U71" s="39" t="n">
        <f aca="false">MIN(N('My Debts'!$E$15),K71)</f>
        <v>0</v>
      </c>
      <c r="V71" s="39" t="n">
        <f aca="false">ROUND(B71-L71-MIN(B71-L71,MAX(0,$AF71-SUMPRODUCT(--($B$4:$K$4&lt;B$4),$B71:$K71-$L71:$U71))),2)</f>
        <v>0</v>
      </c>
      <c r="W71" s="39" t="n">
        <f aca="false">ROUND(C71-M71-MIN(C71-M71,MAX(0,$AF71-SUMPRODUCT(--($B$4:$K$4&lt;C$4),$B71:$K71-$L71:$U71))),2)</f>
        <v>0</v>
      </c>
      <c r="X71" s="39" t="n">
        <f aca="false">ROUND(D71-N71-MIN(D71-N71,MAX(0,$AF71-SUMPRODUCT(--($B$4:$K$4&lt;D$4),$B71:$K71-$L71:$U71))),2)</f>
        <v>0</v>
      </c>
      <c r="Y71" s="39" t="n">
        <f aca="false">ROUND(E71-O71-MIN(E71-O71,MAX(0,$AF71-SUMPRODUCT(--($B$4:$K$4&lt;E$4),$B71:$K71-$L71:$U71))),2)</f>
        <v>0</v>
      </c>
      <c r="Z71" s="39" t="n">
        <f aca="false">ROUND(F71-P71-MIN(F71-P71,MAX(0,$AF71-SUMPRODUCT(--($B$4:$K$4&lt;F$4),$B71:$K71-$L71:$U71))),2)</f>
        <v>0</v>
      </c>
      <c r="AA71" s="39" t="n">
        <f aca="false">ROUND(G71-Q71-MIN(G71-Q71,MAX(0,$AF71-SUMPRODUCT(--($B$4:$K$4&lt;G$4),$B71:$K71-$L71:$U71))),2)</f>
        <v>0</v>
      </c>
      <c r="AB71" s="39" t="n">
        <f aca="false">ROUND(H71-R71-MIN(H71-R71,MAX(0,$AF71-SUMPRODUCT(--($B$4:$K$4&lt;H$4),$B71:$K71-$L71:$U71))),2)</f>
        <v>0</v>
      </c>
      <c r="AC71" s="39" t="n">
        <f aca="false">ROUND(I71-S71-MIN(I71-S71,MAX(0,$AF71-SUMPRODUCT(--($B$4:$K$4&lt;I$4),$B71:$K71-$L71:$U71))),2)</f>
        <v>0</v>
      </c>
      <c r="AD71" s="39" t="n">
        <f aca="false">ROUND(J71-T71-MIN(J71-T71,MAX(0,$AF71-SUMPRODUCT(--($B$4:$K$4&lt;J$4),$B71:$K71-$L71:$U71))),2)</f>
        <v>0</v>
      </c>
      <c r="AE71" s="39" t="n">
        <f aca="false">ROUND(K71-U71-MIN(K71-U71,MAX(0,$AF71-SUMPRODUCT(--($B$4:$K$4&lt;K$4),$B71:$K71-$L71:$U71))),2)</f>
        <v>0</v>
      </c>
      <c r="AF71" s="39" t="n">
        <f aca="false">MAX(0,'Start Here'!$C$5-SUM($L71:$U71))</f>
        <v>1200</v>
      </c>
      <c r="AG71" s="39" t="n">
        <f aca="false">SUM(V71:AE71)</f>
        <v>0</v>
      </c>
      <c r="AH71" s="39" t="n">
        <f aca="false">SUM(B71:K71)-AG70</f>
        <v>0</v>
      </c>
    </row>
    <row r="72" customFormat="false" ht="15" hidden="false" customHeight="false" outlineLevel="0" collapsed="false">
      <c r="A72" s="40" t="n">
        <f aca="false">DATE(YEAR('Start Here'!$C$6),MONTH('Start Here'!$C$6)+65,1)</f>
        <v>48274</v>
      </c>
      <c r="B72" s="39" t="n">
        <f aca="false">ROUND(V71*(1+N('My Debts'!$D$6)/12),2)</f>
        <v>0</v>
      </c>
      <c r="C72" s="39" t="n">
        <f aca="false">ROUND(W71*(1+N('My Debts'!$D$7)/12),2)</f>
        <v>0</v>
      </c>
      <c r="D72" s="39" t="n">
        <f aca="false">ROUND(X71*(1+N('My Debts'!$D$8)/12),2)</f>
        <v>0</v>
      </c>
      <c r="E72" s="39" t="n">
        <f aca="false">ROUND(Y71*(1+N('My Debts'!$D$9)/12),2)</f>
        <v>0</v>
      </c>
      <c r="F72" s="39" t="n">
        <f aca="false">ROUND(Z71*(1+N('My Debts'!$D$10)/12),2)</f>
        <v>0</v>
      </c>
      <c r="G72" s="39" t="n">
        <f aca="false">ROUND(AA71*(1+N('My Debts'!$D$11)/12),2)</f>
        <v>0</v>
      </c>
      <c r="H72" s="39" t="n">
        <f aca="false">ROUND(AB71*(1+N('My Debts'!$D$12)/12),2)</f>
        <v>0</v>
      </c>
      <c r="I72" s="39" t="n">
        <f aca="false">ROUND(AC71*(1+N('My Debts'!$D$13)/12),2)</f>
        <v>0</v>
      </c>
      <c r="J72" s="39" t="n">
        <f aca="false">ROUND(AD71*(1+N('My Debts'!$D$14)/12),2)</f>
        <v>0</v>
      </c>
      <c r="K72" s="39" t="n">
        <f aca="false">ROUND(AE71*(1+N('My Debts'!$D$15)/12),2)</f>
        <v>0</v>
      </c>
      <c r="L72" s="39" t="n">
        <f aca="false">MIN(N('My Debts'!$E$6),B72)</f>
        <v>0</v>
      </c>
      <c r="M72" s="39" t="n">
        <f aca="false">MIN(N('My Debts'!$E$7),C72)</f>
        <v>0</v>
      </c>
      <c r="N72" s="39" t="n">
        <f aca="false">MIN(N('My Debts'!$E$8),D72)</f>
        <v>0</v>
      </c>
      <c r="O72" s="39" t="n">
        <f aca="false">MIN(N('My Debts'!$E$9),E72)</f>
        <v>0</v>
      </c>
      <c r="P72" s="39" t="n">
        <f aca="false">MIN(N('My Debts'!$E$10),F72)</f>
        <v>0</v>
      </c>
      <c r="Q72" s="39" t="n">
        <f aca="false">MIN(N('My Debts'!$E$11),G72)</f>
        <v>0</v>
      </c>
      <c r="R72" s="39" t="n">
        <f aca="false">MIN(N('My Debts'!$E$12),H72)</f>
        <v>0</v>
      </c>
      <c r="S72" s="39" t="n">
        <f aca="false">MIN(N('My Debts'!$E$13),I72)</f>
        <v>0</v>
      </c>
      <c r="T72" s="39" t="n">
        <f aca="false">MIN(N('My Debts'!$E$14),J72)</f>
        <v>0</v>
      </c>
      <c r="U72" s="39" t="n">
        <f aca="false">MIN(N('My Debts'!$E$15),K72)</f>
        <v>0</v>
      </c>
      <c r="V72" s="39" t="n">
        <f aca="false">ROUND(B72-L72-MIN(B72-L72,MAX(0,$AF72-SUMPRODUCT(--($B$4:$K$4&lt;B$4),$B72:$K72-$L72:$U72))),2)</f>
        <v>0</v>
      </c>
      <c r="W72" s="39" t="n">
        <f aca="false">ROUND(C72-M72-MIN(C72-M72,MAX(0,$AF72-SUMPRODUCT(--($B$4:$K$4&lt;C$4),$B72:$K72-$L72:$U72))),2)</f>
        <v>0</v>
      </c>
      <c r="X72" s="39" t="n">
        <f aca="false">ROUND(D72-N72-MIN(D72-N72,MAX(0,$AF72-SUMPRODUCT(--($B$4:$K$4&lt;D$4),$B72:$K72-$L72:$U72))),2)</f>
        <v>0</v>
      </c>
      <c r="Y72" s="39" t="n">
        <f aca="false">ROUND(E72-O72-MIN(E72-O72,MAX(0,$AF72-SUMPRODUCT(--($B$4:$K$4&lt;E$4),$B72:$K72-$L72:$U72))),2)</f>
        <v>0</v>
      </c>
      <c r="Z72" s="39" t="n">
        <f aca="false">ROUND(F72-P72-MIN(F72-P72,MAX(0,$AF72-SUMPRODUCT(--($B$4:$K$4&lt;F$4),$B72:$K72-$L72:$U72))),2)</f>
        <v>0</v>
      </c>
      <c r="AA72" s="39" t="n">
        <f aca="false">ROUND(G72-Q72-MIN(G72-Q72,MAX(0,$AF72-SUMPRODUCT(--($B$4:$K$4&lt;G$4),$B72:$K72-$L72:$U72))),2)</f>
        <v>0</v>
      </c>
      <c r="AB72" s="39" t="n">
        <f aca="false">ROUND(H72-R72-MIN(H72-R72,MAX(0,$AF72-SUMPRODUCT(--($B$4:$K$4&lt;H$4),$B72:$K72-$L72:$U72))),2)</f>
        <v>0</v>
      </c>
      <c r="AC72" s="39" t="n">
        <f aca="false">ROUND(I72-S72-MIN(I72-S72,MAX(0,$AF72-SUMPRODUCT(--($B$4:$K$4&lt;I$4),$B72:$K72-$L72:$U72))),2)</f>
        <v>0</v>
      </c>
      <c r="AD72" s="39" t="n">
        <f aca="false">ROUND(J72-T72-MIN(J72-T72,MAX(0,$AF72-SUMPRODUCT(--($B$4:$K$4&lt;J$4),$B72:$K72-$L72:$U72))),2)</f>
        <v>0</v>
      </c>
      <c r="AE72" s="39" t="n">
        <f aca="false">ROUND(K72-U72-MIN(K72-U72,MAX(0,$AF72-SUMPRODUCT(--($B$4:$K$4&lt;K$4),$B72:$K72-$L72:$U72))),2)</f>
        <v>0</v>
      </c>
      <c r="AF72" s="39" t="n">
        <f aca="false">MAX(0,'Start Here'!$C$5-SUM($L72:$U72))</f>
        <v>1200</v>
      </c>
      <c r="AG72" s="39" t="n">
        <f aca="false">SUM(V72:AE72)</f>
        <v>0</v>
      </c>
      <c r="AH72" s="39" t="n">
        <f aca="false">SUM(B72:K72)-AG71</f>
        <v>0</v>
      </c>
    </row>
    <row r="73" customFormat="false" ht="15" hidden="false" customHeight="false" outlineLevel="0" collapsed="false">
      <c r="A73" s="40" t="n">
        <f aca="false">DATE(YEAR('Start Here'!$C$6),MONTH('Start Here'!$C$6)+66,1)</f>
        <v>48305</v>
      </c>
      <c r="B73" s="39" t="n">
        <f aca="false">ROUND(V72*(1+N('My Debts'!$D$6)/12),2)</f>
        <v>0</v>
      </c>
      <c r="C73" s="39" t="n">
        <f aca="false">ROUND(W72*(1+N('My Debts'!$D$7)/12),2)</f>
        <v>0</v>
      </c>
      <c r="D73" s="39" t="n">
        <f aca="false">ROUND(X72*(1+N('My Debts'!$D$8)/12),2)</f>
        <v>0</v>
      </c>
      <c r="E73" s="39" t="n">
        <f aca="false">ROUND(Y72*(1+N('My Debts'!$D$9)/12),2)</f>
        <v>0</v>
      </c>
      <c r="F73" s="39" t="n">
        <f aca="false">ROUND(Z72*(1+N('My Debts'!$D$10)/12),2)</f>
        <v>0</v>
      </c>
      <c r="G73" s="39" t="n">
        <f aca="false">ROUND(AA72*(1+N('My Debts'!$D$11)/12),2)</f>
        <v>0</v>
      </c>
      <c r="H73" s="39" t="n">
        <f aca="false">ROUND(AB72*(1+N('My Debts'!$D$12)/12),2)</f>
        <v>0</v>
      </c>
      <c r="I73" s="39" t="n">
        <f aca="false">ROUND(AC72*(1+N('My Debts'!$D$13)/12),2)</f>
        <v>0</v>
      </c>
      <c r="J73" s="39" t="n">
        <f aca="false">ROUND(AD72*(1+N('My Debts'!$D$14)/12),2)</f>
        <v>0</v>
      </c>
      <c r="K73" s="39" t="n">
        <f aca="false">ROUND(AE72*(1+N('My Debts'!$D$15)/12),2)</f>
        <v>0</v>
      </c>
      <c r="L73" s="39" t="n">
        <f aca="false">MIN(N('My Debts'!$E$6),B73)</f>
        <v>0</v>
      </c>
      <c r="M73" s="39" t="n">
        <f aca="false">MIN(N('My Debts'!$E$7),C73)</f>
        <v>0</v>
      </c>
      <c r="N73" s="39" t="n">
        <f aca="false">MIN(N('My Debts'!$E$8),D73)</f>
        <v>0</v>
      </c>
      <c r="O73" s="39" t="n">
        <f aca="false">MIN(N('My Debts'!$E$9),E73)</f>
        <v>0</v>
      </c>
      <c r="P73" s="39" t="n">
        <f aca="false">MIN(N('My Debts'!$E$10),F73)</f>
        <v>0</v>
      </c>
      <c r="Q73" s="39" t="n">
        <f aca="false">MIN(N('My Debts'!$E$11),G73)</f>
        <v>0</v>
      </c>
      <c r="R73" s="39" t="n">
        <f aca="false">MIN(N('My Debts'!$E$12),H73)</f>
        <v>0</v>
      </c>
      <c r="S73" s="39" t="n">
        <f aca="false">MIN(N('My Debts'!$E$13),I73)</f>
        <v>0</v>
      </c>
      <c r="T73" s="39" t="n">
        <f aca="false">MIN(N('My Debts'!$E$14),J73)</f>
        <v>0</v>
      </c>
      <c r="U73" s="39" t="n">
        <f aca="false">MIN(N('My Debts'!$E$15),K73)</f>
        <v>0</v>
      </c>
      <c r="V73" s="39" t="n">
        <f aca="false">ROUND(B73-L73-MIN(B73-L73,MAX(0,$AF73-SUMPRODUCT(--($B$4:$K$4&lt;B$4),$B73:$K73-$L73:$U73))),2)</f>
        <v>0</v>
      </c>
      <c r="W73" s="39" t="n">
        <f aca="false">ROUND(C73-M73-MIN(C73-M73,MAX(0,$AF73-SUMPRODUCT(--($B$4:$K$4&lt;C$4),$B73:$K73-$L73:$U73))),2)</f>
        <v>0</v>
      </c>
      <c r="X73" s="39" t="n">
        <f aca="false">ROUND(D73-N73-MIN(D73-N73,MAX(0,$AF73-SUMPRODUCT(--($B$4:$K$4&lt;D$4),$B73:$K73-$L73:$U73))),2)</f>
        <v>0</v>
      </c>
      <c r="Y73" s="39" t="n">
        <f aca="false">ROUND(E73-O73-MIN(E73-O73,MAX(0,$AF73-SUMPRODUCT(--($B$4:$K$4&lt;E$4),$B73:$K73-$L73:$U73))),2)</f>
        <v>0</v>
      </c>
      <c r="Z73" s="39" t="n">
        <f aca="false">ROUND(F73-P73-MIN(F73-P73,MAX(0,$AF73-SUMPRODUCT(--($B$4:$K$4&lt;F$4),$B73:$K73-$L73:$U73))),2)</f>
        <v>0</v>
      </c>
      <c r="AA73" s="39" t="n">
        <f aca="false">ROUND(G73-Q73-MIN(G73-Q73,MAX(0,$AF73-SUMPRODUCT(--($B$4:$K$4&lt;G$4),$B73:$K73-$L73:$U73))),2)</f>
        <v>0</v>
      </c>
      <c r="AB73" s="39" t="n">
        <f aca="false">ROUND(H73-R73-MIN(H73-R73,MAX(0,$AF73-SUMPRODUCT(--($B$4:$K$4&lt;H$4),$B73:$K73-$L73:$U73))),2)</f>
        <v>0</v>
      </c>
      <c r="AC73" s="39" t="n">
        <f aca="false">ROUND(I73-S73-MIN(I73-S73,MAX(0,$AF73-SUMPRODUCT(--($B$4:$K$4&lt;I$4),$B73:$K73-$L73:$U73))),2)</f>
        <v>0</v>
      </c>
      <c r="AD73" s="39" t="n">
        <f aca="false">ROUND(J73-T73-MIN(J73-T73,MAX(0,$AF73-SUMPRODUCT(--($B$4:$K$4&lt;J$4),$B73:$K73-$L73:$U73))),2)</f>
        <v>0</v>
      </c>
      <c r="AE73" s="39" t="n">
        <f aca="false">ROUND(K73-U73-MIN(K73-U73,MAX(0,$AF73-SUMPRODUCT(--($B$4:$K$4&lt;K$4),$B73:$K73-$L73:$U73))),2)</f>
        <v>0</v>
      </c>
      <c r="AF73" s="39" t="n">
        <f aca="false">MAX(0,'Start Here'!$C$5-SUM($L73:$U73))</f>
        <v>1200</v>
      </c>
      <c r="AG73" s="39" t="n">
        <f aca="false">SUM(V73:AE73)</f>
        <v>0</v>
      </c>
      <c r="AH73" s="39" t="n">
        <f aca="false">SUM(B73:K73)-AG72</f>
        <v>0</v>
      </c>
    </row>
    <row r="74" customFormat="false" ht="15" hidden="false" customHeight="false" outlineLevel="0" collapsed="false">
      <c r="A74" s="40" t="n">
        <f aca="false">DATE(YEAR('Start Here'!$C$6),MONTH('Start Here'!$C$6)+67,1)</f>
        <v>48335</v>
      </c>
      <c r="B74" s="39" t="n">
        <f aca="false">ROUND(V73*(1+N('My Debts'!$D$6)/12),2)</f>
        <v>0</v>
      </c>
      <c r="C74" s="39" t="n">
        <f aca="false">ROUND(W73*(1+N('My Debts'!$D$7)/12),2)</f>
        <v>0</v>
      </c>
      <c r="D74" s="39" t="n">
        <f aca="false">ROUND(X73*(1+N('My Debts'!$D$8)/12),2)</f>
        <v>0</v>
      </c>
      <c r="E74" s="39" t="n">
        <f aca="false">ROUND(Y73*(1+N('My Debts'!$D$9)/12),2)</f>
        <v>0</v>
      </c>
      <c r="F74" s="39" t="n">
        <f aca="false">ROUND(Z73*(1+N('My Debts'!$D$10)/12),2)</f>
        <v>0</v>
      </c>
      <c r="G74" s="39" t="n">
        <f aca="false">ROUND(AA73*(1+N('My Debts'!$D$11)/12),2)</f>
        <v>0</v>
      </c>
      <c r="H74" s="39" t="n">
        <f aca="false">ROUND(AB73*(1+N('My Debts'!$D$12)/12),2)</f>
        <v>0</v>
      </c>
      <c r="I74" s="39" t="n">
        <f aca="false">ROUND(AC73*(1+N('My Debts'!$D$13)/12),2)</f>
        <v>0</v>
      </c>
      <c r="J74" s="39" t="n">
        <f aca="false">ROUND(AD73*(1+N('My Debts'!$D$14)/12),2)</f>
        <v>0</v>
      </c>
      <c r="K74" s="39" t="n">
        <f aca="false">ROUND(AE73*(1+N('My Debts'!$D$15)/12),2)</f>
        <v>0</v>
      </c>
      <c r="L74" s="39" t="n">
        <f aca="false">MIN(N('My Debts'!$E$6),B74)</f>
        <v>0</v>
      </c>
      <c r="M74" s="39" t="n">
        <f aca="false">MIN(N('My Debts'!$E$7),C74)</f>
        <v>0</v>
      </c>
      <c r="N74" s="39" t="n">
        <f aca="false">MIN(N('My Debts'!$E$8),D74)</f>
        <v>0</v>
      </c>
      <c r="O74" s="39" t="n">
        <f aca="false">MIN(N('My Debts'!$E$9),E74)</f>
        <v>0</v>
      </c>
      <c r="P74" s="39" t="n">
        <f aca="false">MIN(N('My Debts'!$E$10),F74)</f>
        <v>0</v>
      </c>
      <c r="Q74" s="39" t="n">
        <f aca="false">MIN(N('My Debts'!$E$11),G74)</f>
        <v>0</v>
      </c>
      <c r="R74" s="39" t="n">
        <f aca="false">MIN(N('My Debts'!$E$12),H74)</f>
        <v>0</v>
      </c>
      <c r="S74" s="39" t="n">
        <f aca="false">MIN(N('My Debts'!$E$13),I74)</f>
        <v>0</v>
      </c>
      <c r="T74" s="39" t="n">
        <f aca="false">MIN(N('My Debts'!$E$14),J74)</f>
        <v>0</v>
      </c>
      <c r="U74" s="39" t="n">
        <f aca="false">MIN(N('My Debts'!$E$15),K74)</f>
        <v>0</v>
      </c>
      <c r="V74" s="39" t="n">
        <f aca="false">ROUND(B74-L74-MIN(B74-L74,MAX(0,$AF74-SUMPRODUCT(--($B$4:$K$4&lt;B$4),$B74:$K74-$L74:$U74))),2)</f>
        <v>0</v>
      </c>
      <c r="W74" s="39" t="n">
        <f aca="false">ROUND(C74-M74-MIN(C74-M74,MAX(0,$AF74-SUMPRODUCT(--($B$4:$K$4&lt;C$4),$B74:$K74-$L74:$U74))),2)</f>
        <v>0</v>
      </c>
      <c r="X74" s="39" t="n">
        <f aca="false">ROUND(D74-N74-MIN(D74-N74,MAX(0,$AF74-SUMPRODUCT(--($B$4:$K$4&lt;D$4),$B74:$K74-$L74:$U74))),2)</f>
        <v>0</v>
      </c>
      <c r="Y74" s="39" t="n">
        <f aca="false">ROUND(E74-O74-MIN(E74-O74,MAX(0,$AF74-SUMPRODUCT(--($B$4:$K$4&lt;E$4),$B74:$K74-$L74:$U74))),2)</f>
        <v>0</v>
      </c>
      <c r="Z74" s="39" t="n">
        <f aca="false">ROUND(F74-P74-MIN(F74-P74,MAX(0,$AF74-SUMPRODUCT(--($B$4:$K$4&lt;F$4),$B74:$K74-$L74:$U74))),2)</f>
        <v>0</v>
      </c>
      <c r="AA74" s="39" t="n">
        <f aca="false">ROUND(G74-Q74-MIN(G74-Q74,MAX(0,$AF74-SUMPRODUCT(--($B$4:$K$4&lt;G$4),$B74:$K74-$L74:$U74))),2)</f>
        <v>0</v>
      </c>
      <c r="AB74" s="39" t="n">
        <f aca="false">ROUND(H74-R74-MIN(H74-R74,MAX(0,$AF74-SUMPRODUCT(--($B$4:$K$4&lt;H$4),$B74:$K74-$L74:$U74))),2)</f>
        <v>0</v>
      </c>
      <c r="AC74" s="39" t="n">
        <f aca="false">ROUND(I74-S74-MIN(I74-S74,MAX(0,$AF74-SUMPRODUCT(--($B$4:$K$4&lt;I$4),$B74:$K74-$L74:$U74))),2)</f>
        <v>0</v>
      </c>
      <c r="AD74" s="39" t="n">
        <f aca="false">ROUND(J74-T74-MIN(J74-T74,MAX(0,$AF74-SUMPRODUCT(--($B$4:$K$4&lt;J$4),$B74:$K74-$L74:$U74))),2)</f>
        <v>0</v>
      </c>
      <c r="AE74" s="39" t="n">
        <f aca="false">ROUND(K74-U74-MIN(K74-U74,MAX(0,$AF74-SUMPRODUCT(--($B$4:$K$4&lt;K$4),$B74:$K74-$L74:$U74))),2)</f>
        <v>0</v>
      </c>
      <c r="AF74" s="39" t="n">
        <f aca="false">MAX(0,'Start Here'!$C$5-SUM($L74:$U74))</f>
        <v>1200</v>
      </c>
      <c r="AG74" s="39" t="n">
        <f aca="false">SUM(V74:AE74)</f>
        <v>0</v>
      </c>
      <c r="AH74" s="39" t="n">
        <f aca="false">SUM(B74:K74)-AG73</f>
        <v>0</v>
      </c>
    </row>
    <row r="75" customFormat="false" ht="15" hidden="false" customHeight="false" outlineLevel="0" collapsed="false">
      <c r="A75" s="40" t="n">
        <f aca="false">DATE(YEAR('Start Here'!$C$6),MONTH('Start Here'!$C$6)+68,1)</f>
        <v>48366</v>
      </c>
      <c r="B75" s="39" t="n">
        <f aca="false">ROUND(V74*(1+N('My Debts'!$D$6)/12),2)</f>
        <v>0</v>
      </c>
      <c r="C75" s="39" t="n">
        <f aca="false">ROUND(W74*(1+N('My Debts'!$D$7)/12),2)</f>
        <v>0</v>
      </c>
      <c r="D75" s="39" t="n">
        <f aca="false">ROUND(X74*(1+N('My Debts'!$D$8)/12),2)</f>
        <v>0</v>
      </c>
      <c r="E75" s="39" t="n">
        <f aca="false">ROUND(Y74*(1+N('My Debts'!$D$9)/12),2)</f>
        <v>0</v>
      </c>
      <c r="F75" s="39" t="n">
        <f aca="false">ROUND(Z74*(1+N('My Debts'!$D$10)/12),2)</f>
        <v>0</v>
      </c>
      <c r="G75" s="39" t="n">
        <f aca="false">ROUND(AA74*(1+N('My Debts'!$D$11)/12),2)</f>
        <v>0</v>
      </c>
      <c r="H75" s="39" t="n">
        <f aca="false">ROUND(AB74*(1+N('My Debts'!$D$12)/12),2)</f>
        <v>0</v>
      </c>
      <c r="I75" s="39" t="n">
        <f aca="false">ROUND(AC74*(1+N('My Debts'!$D$13)/12),2)</f>
        <v>0</v>
      </c>
      <c r="J75" s="39" t="n">
        <f aca="false">ROUND(AD74*(1+N('My Debts'!$D$14)/12),2)</f>
        <v>0</v>
      </c>
      <c r="K75" s="39" t="n">
        <f aca="false">ROUND(AE74*(1+N('My Debts'!$D$15)/12),2)</f>
        <v>0</v>
      </c>
      <c r="L75" s="39" t="n">
        <f aca="false">MIN(N('My Debts'!$E$6),B75)</f>
        <v>0</v>
      </c>
      <c r="M75" s="39" t="n">
        <f aca="false">MIN(N('My Debts'!$E$7),C75)</f>
        <v>0</v>
      </c>
      <c r="N75" s="39" t="n">
        <f aca="false">MIN(N('My Debts'!$E$8),D75)</f>
        <v>0</v>
      </c>
      <c r="O75" s="39" t="n">
        <f aca="false">MIN(N('My Debts'!$E$9),E75)</f>
        <v>0</v>
      </c>
      <c r="P75" s="39" t="n">
        <f aca="false">MIN(N('My Debts'!$E$10),F75)</f>
        <v>0</v>
      </c>
      <c r="Q75" s="39" t="n">
        <f aca="false">MIN(N('My Debts'!$E$11),G75)</f>
        <v>0</v>
      </c>
      <c r="R75" s="39" t="n">
        <f aca="false">MIN(N('My Debts'!$E$12),H75)</f>
        <v>0</v>
      </c>
      <c r="S75" s="39" t="n">
        <f aca="false">MIN(N('My Debts'!$E$13),I75)</f>
        <v>0</v>
      </c>
      <c r="T75" s="39" t="n">
        <f aca="false">MIN(N('My Debts'!$E$14),J75)</f>
        <v>0</v>
      </c>
      <c r="U75" s="39" t="n">
        <f aca="false">MIN(N('My Debts'!$E$15),K75)</f>
        <v>0</v>
      </c>
      <c r="V75" s="39" t="n">
        <f aca="false">ROUND(B75-L75-MIN(B75-L75,MAX(0,$AF75-SUMPRODUCT(--($B$4:$K$4&lt;B$4),$B75:$K75-$L75:$U75))),2)</f>
        <v>0</v>
      </c>
      <c r="W75" s="39" t="n">
        <f aca="false">ROUND(C75-M75-MIN(C75-M75,MAX(0,$AF75-SUMPRODUCT(--($B$4:$K$4&lt;C$4),$B75:$K75-$L75:$U75))),2)</f>
        <v>0</v>
      </c>
      <c r="X75" s="39" t="n">
        <f aca="false">ROUND(D75-N75-MIN(D75-N75,MAX(0,$AF75-SUMPRODUCT(--($B$4:$K$4&lt;D$4),$B75:$K75-$L75:$U75))),2)</f>
        <v>0</v>
      </c>
      <c r="Y75" s="39" t="n">
        <f aca="false">ROUND(E75-O75-MIN(E75-O75,MAX(0,$AF75-SUMPRODUCT(--($B$4:$K$4&lt;E$4),$B75:$K75-$L75:$U75))),2)</f>
        <v>0</v>
      </c>
      <c r="Z75" s="39" t="n">
        <f aca="false">ROUND(F75-P75-MIN(F75-P75,MAX(0,$AF75-SUMPRODUCT(--($B$4:$K$4&lt;F$4),$B75:$K75-$L75:$U75))),2)</f>
        <v>0</v>
      </c>
      <c r="AA75" s="39" t="n">
        <f aca="false">ROUND(G75-Q75-MIN(G75-Q75,MAX(0,$AF75-SUMPRODUCT(--($B$4:$K$4&lt;G$4),$B75:$K75-$L75:$U75))),2)</f>
        <v>0</v>
      </c>
      <c r="AB75" s="39" t="n">
        <f aca="false">ROUND(H75-R75-MIN(H75-R75,MAX(0,$AF75-SUMPRODUCT(--($B$4:$K$4&lt;H$4),$B75:$K75-$L75:$U75))),2)</f>
        <v>0</v>
      </c>
      <c r="AC75" s="39" t="n">
        <f aca="false">ROUND(I75-S75-MIN(I75-S75,MAX(0,$AF75-SUMPRODUCT(--($B$4:$K$4&lt;I$4),$B75:$K75-$L75:$U75))),2)</f>
        <v>0</v>
      </c>
      <c r="AD75" s="39" t="n">
        <f aca="false">ROUND(J75-T75-MIN(J75-T75,MAX(0,$AF75-SUMPRODUCT(--($B$4:$K$4&lt;J$4),$B75:$K75-$L75:$U75))),2)</f>
        <v>0</v>
      </c>
      <c r="AE75" s="39" t="n">
        <f aca="false">ROUND(K75-U75-MIN(K75-U75,MAX(0,$AF75-SUMPRODUCT(--($B$4:$K$4&lt;K$4),$B75:$K75-$L75:$U75))),2)</f>
        <v>0</v>
      </c>
      <c r="AF75" s="39" t="n">
        <f aca="false">MAX(0,'Start Here'!$C$5-SUM($L75:$U75))</f>
        <v>1200</v>
      </c>
      <c r="AG75" s="39" t="n">
        <f aca="false">SUM(V75:AE75)</f>
        <v>0</v>
      </c>
      <c r="AH75" s="39" t="n">
        <f aca="false">SUM(B75:K75)-AG74</f>
        <v>0</v>
      </c>
    </row>
    <row r="76" customFormat="false" ht="15" hidden="false" customHeight="false" outlineLevel="0" collapsed="false">
      <c r="A76" s="40" t="n">
        <f aca="false">DATE(YEAR('Start Here'!$C$6),MONTH('Start Here'!$C$6)+69,1)</f>
        <v>48396</v>
      </c>
      <c r="B76" s="39" t="n">
        <f aca="false">ROUND(V75*(1+N('My Debts'!$D$6)/12),2)</f>
        <v>0</v>
      </c>
      <c r="C76" s="39" t="n">
        <f aca="false">ROUND(W75*(1+N('My Debts'!$D$7)/12),2)</f>
        <v>0</v>
      </c>
      <c r="D76" s="39" t="n">
        <f aca="false">ROUND(X75*(1+N('My Debts'!$D$8)/12),2)</f>
        <v>0</v>
      </c>
      <c r="E76" s="39" t="n">
        <f aca="false">ROUND(Y75*(1+N('My Debts'!$D$9)/12),2)</f>
        <v>0</v>
      </c>
      <c r="F76" s="39" t="n">
        <f aca="false">ROUND(Z75*(1+N('My Debts'!$D$10)/12),2)</f>
        <v>0</v>
      </c>
      <c r="G76" s="39" t="n">
        <f aca="false">ROUND(AA75*(1+N('My Debts'!$D$11)/12),2)</f>
        <v>0</v>
      </c>
      <c r="H76" s="39" t="n">
        <f aca="false">ROUND(AB75*(1+N('My Debts'!$D$12)/12),2)</f>
        <v>0</v>
      </c>
      <c r="I76" s="39" t="n">
        <f aca="false">ROUND(AC75*(1+N('My Debts'!$D$13)/12),2)</f>
        <v>0</v>
      </c>
      <c r="J76" s="39" t="n">
        <f aca="false">ROUND(AD75*(1+N('My Debts'!$D$14)/12),2)</f>
        <v>0</v>
      </c>
      <c r="K76" s="39" t="n">
        <f aca="false">ROUND(AE75*(1+N('My Debts'!$D$15)/12),2)</f>
        <v>0</v>
      </c>
      <c r="L76" s="39" t="n">
        <f aca="false">MIN(N('My Debts'!$E$6),B76)</f>
        <v>0</v>
      </c>
      <c r="M76" s="39" t="n">
        <f aca="false">MIN(N('My Debts'!$E$7),C76)</f>
        <v>0</v>
      </c>
      <c r="N76" s="39" t="n">
        <f aca="false">MIN(N('My Debts'!$E$8),D76)</f>
        <v>0</v>
      </c>
      <c r="O76" s="39" t="n">
        <f aca="false">MIN(N('My Debts'!$E$9),E76)</f>
        <v>0</v>
      </c>
      <c r="P76" s="39" t="n">
        <f aca="false">MIN(N('My Debts'!$E$10),F76)</f>
        <v>0</v>
      </c>
      <c r="Q76" s="39" t="n">
        <f aca="false">MIN(N('My Debts'!$E$11),G76)</f>
        <v>0</v>
      </c>
      <c r="R76" s="39" t="n">
        <f aca="false">MIN(N('My Debts'!$E$12),H76)</f>
        <v>0</v>
      </c>
      <c r="S76" s="39" t="n">
        <f aca="false">MIN(N('My Debts'!$E$13),I76)</f>
        <v>0</v>
      </c>
      <c r="T76" s="39" t="n">
        <f aca="false">MIN(N('My Debts'!$E$14),J76)</f>
        <v>0</v>
      </c>
      <c r="U76" s="39" t="n">
        <f aca="false">MIN(N('My Debts'!$E$15),K76)</f>
        <v>0</v>
      </c>
      <c r="V76" s="39" t="n">
        <f aca="false">ROUND(B76-L76-MIN(B76-L76,MAX(0,$AF76-SUMPRODUCT(--($B$4:$K$4&lt;B$4),$B76:$K76-$L76:$U76))),2)</f>
        <v>0</v>
      </c>
      <c r="W76" s="39" t="n">
        <f aca="false">ROUND(C76-M76-MIN(C76-M76,MAX(0,$AF76-SUMPRODUCT(--($B$4:$K$4&lt;C$4),$B76:$K76-$L76:$U76))),2)</f>
        <v>0</v>
      </c>
      <c r="X76" s="39" t="n">
        <f aca="false">ROUND(D76-N76-MIN(D76-N76,MAX(0,$AF76-SUMPRODUCT(--($B$4:$K$4&lt;D$4),$B76:$K76-$L76:$U76))),2)</f>
        <v>0</v>
      </c>
      <c r="Y76" s="39" t="n">
        <f aca="false">ROUND(E76-O76-MIN(E76-O76,MAX(0,$AF76-SUMPRODUCT(--($B$4:$K$4&lt;E$4),$B76:$K76-$L76:$U76))),2)</f>
        <v>0</v>
      </c>
      <c r="Z76" s="39" t="n">
        <f aca="false">ROUND(F76-P76-MIN(F76-P76,MAX(0,$AF76-SUMPRODUCT(--($B$4:$K$4&lt;F$4),$B76:$K76-$L76:$U76))),2)</f>
        <v>0</v>
      </c>
      <c r="AA76" s="39" t="n">
        <f aca="false">ROUND(G76-Q76-MIN(G76-Q76,MAX(0,$AF76-SUMPRODUCT(--($B$4:$K$4&lt;G$4),$B76:$K76-$L76:$U76))),2)</f>
        <v>0</v>
      </c>
      <c r="AB76" s="39" t="n">
        <f aca="false">ROUND(H76-R76-MIN(H76-R76,MAX(0,$AF76-SUMPRODUCT(--($B$4:$K$4&lt;H$4),$B76:$K76-$L76:$U76))),2)</f>
        <v>0</v>
      </c>
      <c r="AC76" s="39" t="n">
        <f aca="false">ROUND(I76-S76-MIN(I76-S76,MAX(0,$AF76-SUMPRODUCT(--($B$4:$K$4&lt;I$4),$B76:$K76-$L76:$U76))),2)</f>
        <v>0</v>
      </c>
      <c r="AD76" s="39" t="n">
        <f aca="false">ROUND(J76-T76-MIN(J76-T76,MAX(0,$AF76-SUMPRODUCT(--($B$4:$K$4&lt;J$4),$B76:$K76-$L76:$U76))),2)</f>
        <v>0</v>
      </c>
      <c r="AE76" s="39" t="n">
        <f aca="false">ROUND(K76-U76-MIN(K76-U76,MAX(0,$AF76-SUMPRODUCT(--($B$4:$K$4&lt;K$4),$B76:$K76-$L76:$U76))),2)</f>
        <v>0</v>
      </c>
      <c r="AF76" s="39" t="n">
        <f aca="false">MAX(0,'Start Here'!$C$5-SUM($L76:$U76))</f>
        <v>1200</v>
      </c>
      <c r="AG76" s="39" t="n">
        <f aca="false">SUM(V76:AE76)</f>
        <v>0</v>
      </c>
      <c r="AH76" s="39" t="n">
        <f aca="false">SUM(B76:K76)-AG75</f>
        <v>0</v>
      </c>
    </row>
    <row r="77" customFormat="false" ht="15" hidden="false" customHeight="false" outlineLevel="0" collapsed="false">
      <c r="A77" s="40" t="n">
        <f aca="false">DATE(YEAR('Start Here'!$C$6),MONTH('Start Here'!$C$6)+70,1)</f>
        <v>48427</v>
      </c>
      <c r="B77" s="39" t="n">
        <f aca="false">ROUND(V76*(1+N('My Debts'!$D$6)/12),2)</f>
        <v>0</v>
      </c>
      <c r="C77" s="39" t="n">
        <f aca="false">ROUND(W76*(1+N('My Debts'!$D$7)/12),2)</f>
        <v>0</v>
      </c>
      <c r="D77" s="39" t="n">
        <f aca="false">ROUND(X76*(1+N('My Debts'!$D$8)/12),2)</f>
        <v>0</v>
      </c>
      <c r="E77" s="39" t="n">
        <f aca="false">ROUND(Y76*(1+N('My Debts'!$D$9)/12),2)</f>
        <v>0</v>
      </c>
      <c r="F77" s="39" t="n">
        <f aca="false">ROUND(Z76*(1+N('My Debts'!$D$10)/12),2)</f>
        <v>0</v>
      </c>
      <c r="G77" s="39" t="n">
        <f aca="false">ROUND(AA76*(1+N('My Debts'!$D$11)/12),2)</f>
        <v>0</v>
      </c>
      <c r="H77" s="39" t="n">
        <f aca="false">ROUND(AB76*(1+N('My Debts'!$D$12)/12),2)</f>
        <v>0</v>
      </c>
      <c r="I77" s="39" t="n">
        <f aca="false">ROUND(AC76*(1+N('My Debts'!$D$13)/12),2)</f>
        <v>0</v>
      </c>
      <c r="J77" s="39" t="n">
        <f aca="false">ROUND(AD76*(1+N('My Debts'!$D$14)/12),2)</f>
        <v>0</v>
      </c>
      <c r="K77" s="39" t="n">
        <f aca="false">ROUND(AE76*(1+N('My Debts'!$D$15)/12),2)</f>
        <v>0</v>
      </c>
      <c r="L77" s="39" t="n">
        <f aca="false">MIN(N('My Debts'!$E$6),B77)</f>
        <v>0</v>
      </c>
      <c r="M77" s="39" t="n">
        <f aca="false">MIN(N('My Debts'!$E$7),C77)</f>
        <v>0</v>
      </c>
      <c r="N77" s="39" t="n">
        <f aca="false">MIN(N('My Debts'!$E$8),D77)</f>
        <v>0</v>
      </c>
      <c r="O77" s="39" t="n">
        <f aca="false">MIN(N('My Debts'!$E$9),E77)</f>
        <v>0</v>
      </c>
      <c r="P77" s="39" t="n">
        <f aca="false">MIN(N('My Debts'!$E$10),F77)</f>
        <v>0</v>
      </c>
      <c r="Q77" s="39" t="n">
        <f aca="false">MIN(N('My Debts'!$E$11),G77)</f>
        <v>0</v>
      </c>
      <c r="R77" s="39" t="n">
        <f aca="false">MIN(N('My Debts'!$E$12),H77)</f>
        <v>0</v>
      </c>
      <c r="S77" s="39" t="n">
        <f aca="false">MIN(N('My Debts'!$E$13),I77)</f>
        <v>0</v>
      </c>
      <c r="T77" s="39" t="n">
        <f aca="false">MIN(N('My Debts'!$E$14),J77)</f>
        <v>0</v>
      </c>
      <c r="U77" s="39" t="n">
        <f aca="false">MIN(N('My Debts'!$E$15),K77)</f>
        <v>0</v>
      </c>
      <c r="V77" s="39" t="n">
        <f aca="false">ROUND(B77-L77-MIN(B77-L77,MAX(0,$AF77-SUMPRODUCT(--($B$4:$K$4&lt;B$4),$B77:$K77-$L77:$U77))),2)</f>
        <v>0</v>
      </c>
      <c r="W77" s="39" t="n">
        <f aca="false">ROUND(C77-M77-MIN(C77-M77,MAX(0,$AF77-SUMPRODUCT(--($B$4:$K$4&lt;C$4),$B77:$K77-$L77:$U77))),2)</f>
        <v>0</v>
      </c>
      <c r="X77" s="39" t="n">
        <f aca="false">ROUND(D77-N77-MIN(D77-N77,MAX(0,$AF77-SUMPRODUCT(--($B$4:$K$4&lt;D$4),$B77:$K77-$L77:$U77))),2)</f>
        <v>0</v>
      </c>
      <c r="Y77" s="39" t="n">
        <f aca="false">ROUND(E77-O77-MIN(E77-O77,MAX(0,$AF77-SUMPRODUCT(--($B$4:$K$4&lt;E$4),$B77:$K77-$L77:$U77))),2)</f>
        <v>0</v>
      </c>
      <c r="Z77" s="39" t="n">
        <f aca="false">ROUND(F77-P77-MIN(F77-P77,MAX(0,$AF77-SUMPRODUCT(--($B$4:$K$4&lt;F$4),$B77:$K77-$L77:$U77))),2)</f>
        <v>0</v>
      </c>
      <c r="AA77" s="39" t="n">
        <f aca="false">ROUND(G77-Q77-MIN(G77-Q77,MAX(0,$AF77-SUMPRODUCT(--($B$4:$K$4&lt;G$4),$B77:$K77-$L77:$U77))),2)</f>
        <v>0</v>
      </c>
      <c r="AB77" s="39" t="n">
        <f aca="false">ROUND(H77-R77-MIN(H77-R77,MAX(0,$AF77-SUMPRODUCT(--($B$4:$K$4&lt;H$4),$B77:$K77-$L77:$U77))),2)</f>
        <v>0</v>
      </c>
      <c r="AC77" s="39" t="n">
        <f aca="false">ROUND(I77-S77-MIN(I77-S77,MAX(0,$AF77-SUMPRODUCT(--($B$4:$K$4&lt;I$4),$B77:$K77-$L77:$U77))),2)</f>
        <v>0</v>
      </c>
      <c r="AD77" s="39" t="n">
        <f aca="false">ROUND(J77-T77-MIN(J77-T77,MAX(0,$AF77-SUMPRODUCT(--($B$4:$K$4&lt;J$4),$B77:$K77-$L77:$U77))),2)</f>
        <v>0</v>
      </c>
      <c r="AE77" s="39" t="n">
        <f aca="false">ROUND(K77-U77-MIN(K77-U77,MAX(0,$AF77-SUMPRODUCT(--($B$4:$K$4&lt;K$4),$B77:$K77-$L77:$U77))),2)</f>
        <v>0</v>
      </c>
      <c r="AF77" s="39" t="n">
        <f aca="false">MAX(0,'Start Here'!$C$5-SUM($L77:$U77))</f>
        <v>1200</v>
      </c>
      <c r="AG77" s="39" t="n">
        <f aca="false">SUM(V77:AE77)</f>
        <v>0</v>
      </c>
      <c r="AH77" s="39" t="n">
        <f aca="false">SUM(B77:K77)-AG76</f>
        <v>0</v>
      </c>
    </row>
    <row r="78" customFormat="false" ht="15" hidden="false" customHeight="false" outlineLevel="0" collapsed="false">
      <c r="A78" s="40" t="n">
        <f aca="false">DATE(YEAR('Start Here'!$C$6),MONTH('Start Here'!$C$6)+71,1)</f>
        <v>48458</v>
      </c>
      <c r="B78" s="39" t="n">
        <f aca="false">ROUND(V77*(1+N('My Debts'!$D$6)/12),2)</f>
        <v>0</v>
      </c>
      <c r="C78" s="39" t="n">
        <f aca="false">ROUND(W77*(1+N('My Debts'!$D$7)/12),2)</f>
        <v>0</v>
      </c>
      <c r="D78" s="39" t="n">
        <f aca="false">ROUND(X77*(1+N('My Debts'!$D$8)/12),2)</f>
        <v>0</v>
      </c>
      <c r="E78" s="39" t="n">
        <f aca="false">ROUND(Y77*(1+N('My Debts'!$D$9)/12),2)</f>
        <v>0</v>
      </c>
      <c r="F78" s="39" t="n">
        <f aca="false">ROUND(Z77*(1+N('My Debts'!$D$10)/12),2)</f>
        <v>0</v>
      </c>
      <c r="G78" s="39" t="n">
        <f aca="false">ROUND(AA77*(1+N('My Debts'!$D$11)/12),2)</f>
        <v>0</v>
      </c>
      <c r="H78" s="39" t="n">
        <f aca="false">ROUND(AB77*(1+N('My Debts'!$D$12)/12),2)</f>
        <v>0</v>
      </c>
      <c r="I78" s="39" t="n">
        <f aca="false">ROUND(AC77*(1+N('My Debts'!$D$13)/12),2)</f>
        <v>0</v>
      </c>
      <c r="J78" s="39" t="n">
        <f aca="false">ROUND(AD77*(1+N('My Debts'!$D$14)/12),2)</f>
        <v>0</v>
      </c>
      <c r="K78" s="39" t="n">
        <f aca="false">ROUND(AE77*(1+N('My Debts'!$D$15)/12),2)</f>
        <v>0</v>
      </c>
      <c r="L78" s="39" t="n">
        <f aca="false">MIN(N('My Debts'!$E$6),B78)</f>
        <v>0</v>
      </c>
      <c r="M78" s="39" t="n">
        <f aca="false">MIN(N('My Debts'!$E$7),C78)</f>
        <v>0</v>
      </c>
      <c r="N78" s="39" t="n">
        <f aca="false">MIN(N('My Debts'!$E$8),D78)</f>
        <v>0</v>
      </c>
      <c r="O78" s="39" t="n">
        <f aca="false">MIN(N('My Debts'!$E$9),E78)</f>
        <v>0</v>
      </c>
      <c r="P78" s="39" t="n">
        <f aca="false">MIN(N('My Debts'!$E$10),F78)</f>
        <v>0</v>
      </c>
      <c r="Q78" s="39" t="n">
        <f aca="false">MIN(N('My Debts'!$E$11),G78)</f>
        <v>0</v>
      </c>
      <c r="R78" s="39" t="n">
        <f aca="false">MIN(N('My Debts'!$E$12),H78)</f>
        <v>0</v>
      </c>
      <c r="S78" s="39" t="n">
        <f aca="false">MIN(N('My Debts'!$E$13),I78)</f>
        <v>0</v>
      </c>
      <c r="T78" s="39" t="n">
        <f aca="false">MIN(N('My Debts'!$E$14),J78)</f>
        <v>0</v>
      </c>
      <c r="U78" s="39" t="n">
        <f aca="false">MIN(N('My Debts'!$E$15),K78)</f>
        <v>0</v>
      </c>
      <c r="V78" s="39" t="n">
        <f aca="false">ROUND(B78-L78-MIN(B78-L78,MAX(0,$AF78-SUMPRODUCT(--($B$4:$K$4&lt;B$4),$B78:$K78-$L78:$U78))),2)</f>
        <v>0</v>
      </c>
      <c r="W78" s="39" t="n">
        <f aca="false">ROUND(C78-M78-MIN(C78-M78,MAX(0,$AF78-SUMPRODUCT(--($B$4:$K$4&lt;C$4),$B78:$K78-$L78:$U78))),2)</f>
        <v>0</v>
      </c>
      <c r="X78" s="39" t="n">
        <f aca="false">ROUND(D78-N78-MIN(D78-N78,MAX(0,$AF78-SUMPRODUCT(--($B$4:$K$4&lt;D$4),$B78:$K78-$L78:$U78))),2)</f>
        <v>0</v>
      </c>
      <c r="Y78" s="39" t="n">
        <f aca="false">ROUND(E78-O78-MIN(E78-O78,MAX(0,$AF78-SUMPRODUCT(--($B$4:$K$4&lt;E$4),$B78:$K78-$L78:$U78))),2)</f>
        <v>0</v>
      </c>
      <c r="Z78" s="39" t="n">
        <f aca="false">ROUND(F78-P78-MIN(F78-P78,MAX(0,$AF78-SUMPRODUCT(--($B$4:$K$4&lt;F$4),$B78:$K78-$L78:$U78))),2)</f>
        <v>0</v>
      </c>
      <c r="AA78" s="39" t="n">
        <f aca="false">ROUND(G78-Q78-MIN(G78-Q78,MAX(0,$AF78-SUMPRODUCT(--($B$4:$K$4&lt;G$4),$B78:$K78-$L78:$U78))),2)</f>
        <v>0</v>
      </c>
      <c r="AB78" s="39" t="n">
        <f aca="false">ROUND(H78-R78-MIN(H78-R78,MAX(0,$AF78-SUMPRODUCT(--($B$4:$K$4&lt;H$4),$B78:$K78-$L78:$U78))),2)</f>
        <v>0</v>
      </c>
      <c r="AC78" s="39" t="n">
        <f aca="false">ROUND(I78-S78-MIN(I78-S78,MAX(0,$AF78-SUMPRODUCT(--($B$4:$K$4&lt;I$4),$B78:$K78-$L78:$U78))),2)</f>
        <v>0</v>
      </c>
      <c r="AD78" s="39" t="n">
        <f aca="false">ROUND(J78-T78-MIN(J78-T78,MAX(0,$AF78-SUMPRODUCT(--($B$4:$K$4&lt;J$4),$B78:$K78-$L78:$U78))),2)</f>
        <v>0</v>
      </c>
      <c r="AE78" s="39" t="n">
        <f aca="false">ROUND(K78-U78-MIN(K78-U78,MAX(0,$AF78-SUMPRODUCT(--($B$4:$K$4&lt;K$4),$B78:$K78-$L78:$U78))),2)</f>
        <v>0</v>
      </c>
      <c r="AF78" s="39" t="n">
        <f aca="false">MAX(0,'Start Here'!$C$5-SUM($L78:$U78))</f>
        <v>1200</v>
      </c>
      <c r="AG78" s="39" t="n">
        <f aca="false">SUM(V78:AE78)</f>
        <v>0</v>
      </c>
      <c r="AH78" s="39" t="n">
        <f aca="false">SUM(B78:K78)-AG77</f>
        <v>0</v>
      </c>
    </row>
    <row r="79" customFormat="false" ht="15" hidden="false" customHeight="false" outlineLevel="0" collapsed="false">
      <c r="A79" s="40" t="n">
        <f aca="false">DATE(YEAR('Start Here'!$C$6),MONTH('Start Here'!$C$6)+72,1)</f>
        <v>48488</v>
      </c>
      <c r="B79" s="39" t="n">
        <f aca="false">ROUND(V78*(1+N('My Debts'!$D$6)/12),2)</f>
        <v>0</v>
      </c>
      <c r="C79" s="39" t="n">
        <f aca="false">ROUND(W78*(1+N('My Debts'!$D$7)/12),2)</f>
        <v>0</v>
      </c>
      <c r="D79" s="39" t="n">
        <f aca="false">ROUND(X78*(1+N('My Debts'!$D$8)/12),2)</f>
        <v>0</v>
      </c>
      <c r="E79" s="39" t="n">
        <f aca="false">ROUND(Y78*(1+N('My Debts'!$D$9)/12),2)</f>
        <v>0</v>
      </c>
      <c r="F79" s="39" t="n">
        <f aca="false">ROUND(Z78*(1+N('My Debts'!$D$10)/12),2)</f>
        <v>0</v>
      </c>
      <c r="G79" s="39" t="n">
        <f aca="false">ROUND(AA78*(1+N('My Debts'!$D$11)/12),2)</f>
        <v>0</v>
      </c>
      <c r="H79" s="39" t="n">
        <f aca="false">ROUND(AB78*(1+N('My Debts'!$D$12)/12),2)</f>
        <v>0</v>
      </c>
      <c r="I79" s="39" t="n">
        <f aca="false">ROUND(AC78*(1+N('My Debts'!$D$13)/12),2)</f>
        <v>0</v>
      </c>
      <c r="J79" s="39" t="n">
        <f aca="false">ROUND(AD78*(1+N('My Debts'!$D$14)/12),2)</f>
        <v>0</v>
      </c>
      <c r="K79" s="39" t="n">
        <f aca="false">ROUND(AE78*(1+N('My Debts'!$D$15)/12),2)</f>
        <v>0</v>
      </c>
      <c r="L79" s="39" t="n">
        <f aca="false">MIN(N('My Debts'!$E$6),B79)</f>
        <v>0</v>
      </c>
      <c r="M79" s="39" t="n">
        <f aca="false">MIN(N('My Debts'!$E$7),C79)</f>
        <v>0</v>
      </c>
      <c r="N79" s="39" t="n">
        <f aca="false">MIN(N('My Debts'!$E$8),D79)</f>
        <v>0</v>
      </c>
      <c r="O79" s="39" t="n">
        <f aca="false">MIN(N('My Debts'!$E$9),E79)</f>
        <v>0</v>
      </c>
      <c r="P79" s="39" t="n">
        <f aca="false">MIN(N('My Debts'!$E$10),F79)</f>
        <v>0</v>
      </c>
      <c r="Q79" s="39" t="n">
        <f aca="false">MIN(N('My Debts'!$E$11),G79)</f>
        <v>0</v>
      </c>
      <c r="R79" s="39" t="n">
        <f aca="false">MIN(N('My Debts'!$E$12),H79)</f>
        <v>0</v>
      </c>
      <c r="S79" s="39" t="n">
        <f aca="false">MIN(N('My Debts'!$E$13),I79)</f>
        <v>0</v>
      </c>
      <c r="T79" s="39" t="n">
        <f aca="false">MIN(N('My Debts'!$E$14),J79)</f>
        <v>0</v>
      </c>
      <c r="U79" s="39" t="n">
        <f aca="false">MIN(N('My Debts'!$E$15),K79)</f>
        <v>0</v>
      </c>
      <c r="V79" s="39" t="n">
        <f aca="false">ROUND(B79-L79-MIN(B79-L79,MAX(0,$AF79-SUMPRODUCT(--($B$4:$K$4&lt;B$4),$B79:$K79-$L79:$U79))),2)</f>
        <v>0</v>
      </c>
      <c r="W79" s="39" t="n">
        <f aca="false">ROUND(C79-M79-MIN(C79-M79,MAX(0,$AF79-SUMPRODUCT(--($B$4:$K$4&lt;C$4),$B79:$K79-$L79:$U79))),2)</f>
        <v>0</v>
      </c>
      <c r="X79" s="39" t="n">
        <f aca="false">ROUND(D79-N79-MIN(D79-N79,MAX(0,$AF79-SUMPRODUCT(--($B$4:$K$4&lt;D$4),$B79:$K79-$L79:$U79))),2)</f>
        <v>0</v>
      </c>
      <c r="Y79" s="39" t="n">
        <f aca="false">ROUND(E79-O79-MIN(E79-O79,MAX(0,$AF79-SUMPRODUCT(--($B$4:$K$4&lt;E$4),$B79:$K79-$L79:$U79))),2)</f>
        <v>0</v>
      </c>
      <c r="Z79" s="39" t="n">
        <f aca="false">ROUND(F79-P79-MIN(F79-P79,MAX(0,$AF79-SUMPRODUCT(--($B$4:$K$4&lt;F$4),$B79:$K79-$L79:$U79))),2)</f>
        <v>0</v>
      </c>
      <c r="AA79" s="39" t="n">
        <f aca="false">ROUND(G79-Q79-MIN(G79-Q79,MAX(0,$AF79-SUMPRODUCT(--($B$4:$K$4&lt;G$4),$B79:$K79-$L79:$U79))),2)</f>
        <v>0</v>
      </c>
      <c r="AB79" s="39" t="n">
        <f aca="false">ROUND(H79-R79-MIN(H79-R79,MAX(0,$AF79-SUMPRODUCT(--($B$4:$K$4&lt;H$4),$B79:$K79-$L79:$U79))),2)</f>
        <v>0</v>
      </c>
      <c r="AC79" s="39" t="n">
        <f aca="false">ROUND(I79-S79-MIN(I79-S79,MAX(0,$AF79-SUMPRODUCT(--($B$4:$K$4&lt;I$4),$B79:$K79-$L79:$U79))),2)</f>
        <v>0</v>
      </c>
      <c r="AD79" s="39" t="n">
        <f aca="false">ROUND(J79-T79-MIN(J79-T79,MAX(0,$AF79-SUMPRODUCT(--($B$4:$K$4&lt;J$4),$B79:$K79-$L79:$U79))),2)</f>
        <v>0</v>
      </c>
      <c r="AE79" s="39" t="n">
        <f aca="false">ROUND(K79-U79-MIN(K79-U79,MAX(0,$AF79-SUMPRODUCT(--($B$4:$K$4&lt;K$4),$B79:$K79-$L79:$U79))),2)</f>
        <v>0</v>
      </c>
      <c r="AF79" s="39" t="n">
        <f aca="false">MAX(0,'Start Here'!$C$5-SUM($L79:$U79))</f>
        <v>1200</v>
      </c>
      <c r="AG79" s="39" t="n">
        <f aca="false">SUM(V79:AE79)</f>
        <v>0</v>
      </c>
      <c r="AH79" s="39" t="n">
        <f aca="false">SUM(B79:K79)-AG78</f>
        <v>0</v>
      </c>
    </row>
    <row r="80" customFormat="false" ht="15" hidden="false" customHeight="false" outlineLevel="0" collapsed="false">
      <c r="A80" s="40" t="n">
        <f aca="false">DATE(YEAR('Start Here'!$C$6),MONTH('Start Here'!$C$6)+73,1)</f>
        <v>48519</v>
      </c>
      <c r="B80" s="39" t="n">
        <f aca="false">ROUND(V79*(1+N('My Debts'!$D$6)/12),2)</f>
        <v>0</v>
      </c>
      <c r="C80" s="39" t="n">
        <f aca="false">ROUND(W79*(1+N('My Debts'!$D$7)/12),2)</f>
        <v>0</v>
      </c>
      <c r="D80" s="39" t="n">
        <f aca="false">ROUND(X79*(1+N('My Debts'!$D$8)/12),2)</f>
        <v>0</v>
      </c>
      <c r="E80" s="39" t="n">
        <f aca="false">ROUND(Y79*(1+N('My Debts'!$D$9)/12),2)</f>
        <v>0</v>
      </c>
      <c r="F80" s="39" t="n">
        <f aca="false">ROUND(Z79*(1+N('My Debts'!$D$10)/12),2)</f>
        <v>0</v>
      </c>
      <c r="G80" s="39" t="n">
        <f aca="false">ROUND(AA79*(1+N('My Debts'!$D$11)/12),2)</f>
        <v>0</v>
      </c>
      <c r="H80" s="39" t="n">
        <f aca="false">ROUND(AB79*(1+N('My Debts'!$D$12)/12),2)</f>
        <v>0</v>
      </c>
      <c r="I80" s="39" t="n">
        <f aca="false">ROUND(AC79*(1+N('My Debts'!$D$13)/12),2)</f>
        <v>0</v>
      </c>
      <c r="J80" s="39" t="n">
        <f aca="false">ROUND(AD79*(1+N('My Debts'!$D$14)/12),2)</f>
        <v>0</v>
      </c>
      <c r="K80" s="39" t="n">
        <f aca="false">ROUND(AE79*(1+N('My Debts'!$D$15)/12),2)</f>
        <v>0</v>
      </c>
      <c r="L80" s="39" t="n">
        <f aca="false">MIN(N('My Debts'!$E$6),B80)</f>
        <v>0</v>
      </c>
      <c r="M80" s="39" t="n">
        <f aca="false">MIN(N('My Debts'!$E$7),C80)</f>
        <v>0</v>
      </c>
      <c r="N80" s="39" t="n">
        <f aca="false">MIN(N('My Debts'!$E$8),D80)</f>
        <v>0</v>
      </c>
      <c r="O80" s="39" t="n">
        <f aca="false">MIN(N('My Debts'!$E$9),E80)</f>
        <v>0</v>
      </c>
      <c r="P80" s="39" t="n">
        <f aca="false">MIN(N('My Debts'!$E$10),F80)</f>
        <v>0</v>
      </c>
      <c r="Q80" s="39" t="n">
        <f aca="false">MIN(N('My Debts'!$E$11),G80)</f>
        <v>0</v>
      </c>
      <c r="R80" s="39" t="n">
        <f aca="false">MIN(N('My Debts'!$E$12),H80)</f>
        <v>0</v>
      </c>
      <c r="S80" s="39" t="n">
        <f aca="false">MIN(N('My Debts'!$E$13),I80)</f>
        <v>0</v>
      </c>
      <c r="T80" s="39" t="n">
        <f aca="false">MIN(N('My Debts'!$E$14),J80)</f>
        <v>0</v>
      </c>
      <c r="U80" s="39" t="n">
        <f aca="false">MIN(N('My Debts'!$E$15),K80)</f>
        <v>0</v>
      </c>
      <c r="V80" s="39" t="n">
        <f aca="false">ROUND(B80-L80-MIN(B80-L80,MAX(0,$AF80-SUMPRODUCT(--($B$4:$K$4&lt;B$4),$B80:$K80-$L80:$U80))),2)</f>
        <v>0</v>
      </c>
      <c r="W80" s="39" t="n">
        <f aca="false">ROUND(C80-M80-MIN(C80-M80,MAX(0,$AF80-SUMPRODUCT(--($B$4:$K$4&lt;C$4),$B80:$K80-$L80:$U80))),2)</f>
        <v>0</v>
      </c>
      <c r="X80" s="39" t="n">
        <f aca="false">ROUND(D80-N80-MIN(D80-N80,MAX(0,$AF80-SUMPRODUCT(--($B$4:$K$4&lt;D$4),$B80:$K80-$L80:$U80))),2)</f>
        <v>0</v>
      </c>
      <c r="Y80" s="39" t="n">
        <f aca="false">ROUND(E80-O80-MIN(E80-O80,MAX(0,$AF80-SUMPRODUCT(--($B$4:$K$4&lt;E$4),$B80:$K80-$L80:$U80))),2)</f>
        <v>0</v>
      </c>
      <c r="Z80" s="39" t="n">
        <f aca="false">ROUND(F80-P80-MIN(F80-P80,MAX(0,$AF80-SUMPRODUCT(--($B$4:$K$4&lt;F$4),$B80:$K80-$L80:$U80))),2)</f>
        <v>0</v>
      </c>
      <c r="AA80" s="39" t="n">
        <f aca="false">ROUND(G80-Q80-MIN(G80-Q80,MAX(0,$AF80-SUMPRODUCT(--($B$4:$K$4&lt;G$4),$B80:$K80-$L80:$U80))),2)</f>
        <v>0</v>
      </c>
      <c r="AB80" s="39" t="n">
        <f aca="false">ROUND(H80-R80-MIN(H80-R80,MAX(0,$AF80-SUMPRODUCT(--($B$4:$K$4&lt;H$4),$B80:$K80-$L80:$U80))),2)</f>
        <v>0</v>
      </c>
      <c r="AC80" s="39" t="n">
        <f aca="false">ROUND(I80-S80-MIN(I80-S80,MAX(0,$AF80-SUMPRODUCT(--($B$4:$K$4&lt;I$4),$B80:$K80-$L80:$U80))),2)</f>
        <v>0</v>
      </c>
      <c r="AD80" s="39" t="n">
        <f aca="false">ROUND(J80-T80-MIN(J80-T80,MAX(0,$AF80-SUMPRODUCT(--($B$4:$K$4&lt;J$4),$B80:$K80-$L80:$U80))),2)</f>
        <v>0</v>
      </c>
      <c r="AE80" s="39" t="n">
        <f aca="false">ROUND(K80-U80-MIN(K80-U80,MAX(0,$AF80-SUMPRODUCT(--($B$4:$K$4&lt;K$4),$B80:$K80-$L80:$U80))),2)</f>
        <v>0</v>
      </c>
      <c r="AF80" s="39" t="n">
        <f aca="false">MAX(0,'Start Here'!$C$5-SUM($L80:$U80))</f>
        <v>1200</v>
      </c>
      <c r="AG80" s="39" t="n">
        <f aca="false">SUM(V80:AE80)</f>
        <v>0</v>
      </c>
      <c r="AH80" s="39" t="n">
        <f aca="false">SUM(B80:K80)-AG79</f>
        <v>0</v>
      </c>
    </row>
    <row r="81" customFormat="false" ht="15" hidden="false" customHeight="false" outlineLevel="0" collapsed="false">
      <c r="A81" s="40" t="n">
        <f aca="false">DATE(YEAR('Start Here'!$C$6),MONTH('Start Here'!$C$6)+74,1)</f>
        <v>48549</v>
      </c>
      <c r="B81" s="39" t="n">
        <f aca="false">ROUND(V80*(1+N('My Debts'!$D$6)/12),2)</f>
        <v>0</v>
      </c>
      <c r="C81" s="39" t="n">
        <f aca="false">ROUND(W80*(1+N('My Debts'!$D$7)/12),2)</f>
        <v>0</v>
      </c>
      <c r="D81" s="39" t="n">
        <f aca="false">ROUND(X80*(1+N('My Debts'!$D$8)/12),2)</f>
        <v>0</v>
      </c>
      <c r="E81" s="39" t="n">
        <f aca="false">ROUND(Y80*(1+N('My Debts'!$D$9)/12),2)</f>
        <v>0</v>
      </c>
      <c r="F81" s="39" t="n">
        <f aca="false">ROUND(Z80*(1+N('My Debts'!$D$10)/12),2)</f>
        <v>0</v>
      </c>
      <c r="G81" s="39" t="n">
        <f aca="false">ROUND(AA80*(1+N('My Debts'!$D$11)/12),2)</f>
        <v>0</v>
      </c>
      <c r="H81" s="39" t="n">
        <f aca="false">ROUND(AB80*(1+N('My Debts'!$D$12)/12),2)</f>
        <v>0</v>
      </c>
      <c r="I81" s="39" t="n">
        <f aca="false">ROUND(AC80*(1+N('My Debts'!$D$13)/12),2)</f>
        <v>0</v>
      </c>
      <c r="J81" s="39" t="n">
        <f aca="false">ROUND(AD80*(1+N('My Debts'!$D$14)/12),2)</f>
        <v>0</v>
      </c>
      <c r="K81" s="39" t="n">
        <f aca="false">ROUND(AE80*(1+N('My Debts'!$D$15)/12),2)</f>
        <v>0</v>
      </c>
      <c r="L81" s="39" t="n">
        <f aca="false">MIN(N('My Debts'!$E$6),B81)</f>
        <v>0</v>
      </c>
      <c r="M81" s="39" t="n">
        <f aca="false">MIN(N('My Debts'!$E$7),C81)</f>
        <v>0</v>
      </c>
      <c r="N81" s="39" t="n">
        <f aca="false">MIN(N('My Debts'!$E$8),D81)</f>
        <v>0</v>
      </c>
      <c r="O81" s="39" t="n">
        <f aca="false">MIN(N('My Debts'!$E$9),E81)</f>
        <v>0</v>
      </c>
      <c r="P81" s="39" t="n">
        <f aca="false">MIN(N('My Debts'!$E$10),F81)</f>
        <v>0</v>
      </c>
      <c r="Q81" s="39" t="n">
        <f aca="false">MIN(N('My Debts'!$E$11),G81)</f>
        <v>0</v>
      </c>
      <c r="R81" s="39" t="n">
        <f aca="false">MIN(N('My Debts'!$E$12),H81)</f>
        <v>0</v>
      </c>
      <c r="S81" s="39" t="n">
        <f aca="false">MIN(N('My Debts'!$E$13),I81)</f>
        <v>0</v>
      </c>
      <c r="T81" s="39" t="n">
        <f aca="false">MIN(N('My Debts'!$E$14),J81)</f>
        <v>0</v>
      </c>
      <c r="U81" s="39" t="n">
        <f aca="false">MIN(N('My Debts'!$E$15),K81)</f>
        <v>0</v>
      </c>
      <c r="V81" s="39" t="n">
        <f aca="false">ROUND(B81-L81-MIN(B81-L81,MAX(0,$AF81-SUMPRODUCT(--($B$4:$K$4&lt;B$4),$B81:$K81-$L81:$U81))),2)</f>
        <v>0</v>
      </c>
      <c r="W81" s="39" t="n">
        <f aca="false">ROUND(C81-M81-MIN(C81-M81,MAX(0,$AF81-SUMPRODUCT(--($B$4:$K$4&lt;C$4),$B81:$K81-$L81:$U81))),2)</f>
        <v>0</v>
      </c>
      <c r="X81" s="39" t="n">
        <f aca="false">ROUND(D81-N81-MIN(D81-N81,MAX(0,$AF81-SUMPRODUCT(--($B$4:$K$4&lt;D$4),$B81:$K81-$L81:$U81))),2)</f>
        <v>0</v>
      </c>
      <c r="Y81" s="39" t="n">
        <f aca="false">ROUND(E81-O81-MIN(E81-O81,MAX(0,$AF81-SUMPRODUCT(--($B$4:$K$4&lt;E$4),$B81:$K81-$L81:$U81))),2)</f>
        <v>0</v>
      </c>
      <c r="Z81" s="39" t="n">
        <f aca="false">ROUND(F81-P81-MIN(F81-P81,MAX(0,$AF81-SUMPRODUCT(--($B$4:$K$4&lt;F$4),$B81:$K81-$L81:$U81))),2)</f>
        <v>0</v>
      </c>
      <c r="AA81" s="39" t="n">
        <f aca="false">ROUND(G81-Q81-MIN(G81-Q81,MAX(0,$AF81-SUMPRODUCT(--($B$4:$K$4&lt;G$4),$B81:$K81-$L81:$U81))),2)</f>
        <v>0</v>
      </c>
      <c r="AB81" s="39" t="n">
        <f aca="false">ROUND(H81-R81-MIN(H81-R81,MAX(0,$AF81-SUMPRODUCT(--($B$4:$K$4&lt;H$4),$B81:$K81-$L81:$U81))),2)</f>
        <v>0</v>
      </c>
      <c r="AC81" s="39" t="n">
        <f aca="false">ROUND(I81-S81-MIN(I81-S81,MAX(0,$AF81-SUMPRODUCT(--($B$4:$K$4&lt;I$4),$B81:$K81-$L81:$U81))),2)</f>
        <v>0</v>
      </c>
      <c r="AD81" s="39" t="n">
        <f aca="false">ROUND(J81-T81-MIN(J81-T81,MAX(0,$AF81-SUMPRODUCT(--($B$4:$K$4&lt;J$4),$B81:$K81-$L81:$U81))),2)</f>
        <v>0</v>
      </c>
      <c r="AE81" s="39" t="n">
        <f aca="false">ROUND(K81-U81-MIN(K81-U81,MAX(0,$AF81-SUMPRODUCT(--($B$4:$K$4&lt;K$4),$B81:$K81-$L81:$U81))),2)</f>
        <v>0</v>
      </c>
      <c r="AF81" s="39" t="n">
        <f aca="false">MAX(0,'Start Here'!$C$5-SUM($L81:$U81))</f>
        <v>1200</v>
      </c>
      <c r="AG81" s="39" t="n">
        <f aca="false">SUM(V81:AE81)</f>
        <v>0</v>
      </c>
      <c r="AH81" s="39" t="n">
        <f aca="false">SUM(B81:K81)-AG80</f>
        <v>0</v>
      </c>
    </row>
    <row r="82" customFormat="false" ht="15" hidden="false" customHeight="false" outlineLevel="0" collapsed="false">
      <c r="A82" s="40" t="n">
        <f aca="false">DATE(YEAR('Start Here'!$C$6),MONTH('Start Here'!$C$6)+75,1)</f>
        <v>48580</v>
      </c>
      <c r="B82" s="39" t="n">
        <f aca="false">ROUND(V81*(1+N('My Debts'!$D$6)/12),2)</f>
        <v>0</v>
      </c>
      <c r="C82" s="39" t="n">
        <f aca="false">ROUND(W81*(1+N('My Debts'!$D$7)/12),2)</f>
        <v>0</v>
      </c>
      <c r="D82" s="39" t="n">
        <f aca="false">ROUND(X81*(1+N('My Debts'!$D$8)/12),2)</f>
        <v>0</v>
      </c>
      <c r="E82" s="39" t="n">
        <f aca="false">ROUND(Y81*(1+N('My Debts'!$D$9)/12),2)</f>
        <v>0</v>
      </c>
      <c r="F82" s="39" t="n">
        <f aca="false">ROUND(Z81*(1+N('My Debts'!$D$10)/12),2)</f>
        <v>0</v>
      </c>
      <c r="G82" s="39" t="n">
        <f aca="false">ROUND(AA81*(1+N('My Debts'!$D$11)/12),2)</f>
        <v>0</v>
      </c>
      <c r="H82" s="39" t="n">
        <f aca="false">ROUND(AB81*(1+N('My Debts'!$D$12)/12),2)</f>
        <v>0</v>
      </c>
      <c r="I82" s="39" t="n">
        <f aca="false">ROUND(AC81*(1+N('My Debts'!$D$13)/12),2)</f>
        <v>0</v>
      </c>
      <c r="J82" s="39" t="n">
        <f aca="false">ROUND(AD81*(1+N('My Debts'!$D$14)/12),2)</f>
        <v>0</v>
      </c>
      <c r="K82" s="39" t="n">
        <f aca="false">ROUND(AE81*(1+N('My Debts'!$D$15)/12),2)</f>
        <v>0</v>
      </c>
      <c r="L82" s="39" t="n">
        <f aca="false">MIN(N('My Debts'!$E$6),B82)</f>
        <v>0</v>
      </c>
      <c r="M82" s="39" t="n">
        <f aca="false">MIN(N('My Debts'!$E$7),C82)</f>
        <v>0</v>
      </c>
      <c r="N82" s="39" t="n">
        <f aca="false">MIN(N('My Debts'!$E$8),D82)</f>
        <v>0</v>
      </c>
      <c r="O82" s="39" t="n">
        <f aca="false">MIN(N('My Debts'!$E$9),E82)</f>
        <v>0</v>
      </c>
      <c r="P82" s="39" t="n">
        <f aca="false">MIN(N('My Debts'!$E$10),F82)</f>
        <v>0</v>
      </c>
      <c r="Q82" s="39" t="n">
        <f aca="false">MIN(N('My Debts'!$E$11),G82)</f>
        <v>0</v>
      </c>
      <c r="R82" s="39" t="n">
        <f aca="false">MIN(N('My Debts'!$E$12),H82)</f>
        <v>0</v>
      </c>
      <c r="S82" s="39" t="n">
        <f aca="false">MIN(N('My Debts'!$E$13),I82)</f>
        <v>0</v>
      </c>
      <c r="T82" s="39" t="n">
        <f aca="false">MIN(N('My Debts'!$E$14),J82)</f>
        <v>0</v>
      </c>
      <c r="U82" s="39" t="n">
        <f aca="false">MIN(N('My Debts'!$E$15),K82)</f>
        <v>0</v>
      </c>
      <c r="V82" s="39" t="n">
        <f aca="false">ROUND(B82-L82-MIN(B82-L82,MAX(0,$AF82-SUMPRODUCT(--($B$4:$K$4&lt;B$4),$B82:$K82-$L82:$U82))),2)</f>
        <v>0</v>
      </c>
      <c r="W82" s="39" t="n">
        <f aca="false">ROUND(C82-M82-MIN(C82-M82,MAX(0,$AF82-SUMPRODUCT(--($B$4:$K$4&lt;C$4),$B82:$K82-$L82:$U82))),2)</f>
        <v>0</v>
      </c>
      <c r="X82" s="39" t="n">
        <f aca="false">ROUND(D82-N82-MIN(D82-N82,MAX(0,$AF82-SUMPRODUCT(--($B$4:$K$4&lt;D$4),$B82:$K82-$L82:$U82))),2)</f>
        <v>0</v>
      </c>
      <c r="Y82" s="39" t="n">
        <f aca="false">ROUND(E82-O82-MIN(E82-O82,MAX(0,$AF82-SUMPRODUCT(--($B$4:$K$4&lt;E$4),$B82:$K82-$L82:$U82))),2)</f>
        <v>0</v>
      </c>
      <c r="Z82" s="39" t="n">
        <f aca="false">ROUND(F82-P82-MIN(F82-P82,MAX(0,$AF82-SUMPRODUCT(--($B$4:$K$4&lt;F$4),$B82:$K82-$L82:$U82))),2)</f>
        <v>0</v>
      </c>
      <c r="AA82" s="39" t="n">
        <f aca="false">ROUND(G82-Q82-MIN(G82-Q82,MAX(0,$AF82-SUMPRODUCT(--($B$4:$K$4&lt;G$4),$B82:$K82-$L82:$U82))),2)</f>
        <v>0</v>
      </c>
      <c r="AB82" s="39" t="n">
        <f aca="false">ROUND(H82-R82-MIN(H82-R82,MAX(0,$AF82-SUMPRODUCT(--($B$4:$K$4&lt;H$4),$B82:$K82-$L82:$U82))),2)</f>
        <v>0</v>
      </c>
      <c r="AC82" s="39" t="n">
        <f aca="false">ROUND(I82-S82-MIN(I82-S82,MAX(0,$AF82-SUMPRODUCT(--($B$4:$K$4&lt;I$4),$B82:$K82-$L82:$U82))),2)</f>
        <v>0</v>
      </c>
      <c r="AD82" s="39" t="n">
        <f aca="false">ROUND(J82-T82-MIN(J82-T82,MAX(0,$AF82-SUMPRODUCT(--($B$4:$K$4&lt;J$4),$B82:$K82-$L82:$U82))),2)</f>
        <v>0</v>
      </c>
      <c r="AE82" s="39" t="n">
        <f aca="false">ROUND(K82-U82-MIN(K82-U82,MAX(0,$AF82-SUMPRODUCT(--($B$4:$K$4&lt;K$4),$B82:$K82-$L82:$U82))),2)</f>
        <v>0</v>
      </c>
      <c r="AF82" s="39" t="n">
        <f aca="false">MAX(0,'Start Here'!$C$5-SUM($L82:$U82))</f>
        <v>1200</v>
      </c>
      <c r="AG82" s="39" t="n">
        <f aca="false">SUM(V82:AE82)</f>
        <v>0</v>
      </c>
      <c r="AH82" s="39" t="n">
        <f aca="false">SUM(B82:K82)-AG81</f>
        <v>0</v>
      </c>
    </row>
    <row r="83" customFormat="false" ht="15" hidden="false" customHeight="false" outlineLevel="0" collapsed="false">
      <c r="A83" s="40" t="n">
        <f aca="false">DATE(YEAR('Start Here'!$C$6),MONTH('Start Here'!$C$6)+76,1)</f>
        <v>48611</v>
      </c>
      <c r="B83" s="39" t="n">
        <f aca="false">ROUND(V82*(1+N('My Debts'!$D$6)/12),2)</f>
        <v>0</v>
      </c>
      <c r="C83" s="39" t="n">
        <f aca="false">ROUND(W82*(1+N('My Debts'!$D$7)/12),2)</f>
        <v>0</v>
      </c>
      <c r="D83" s="39" t="n">
        <f aca="false">ROUND(X82*(1+N('My Debts'!$D$8)/12),2)</f>
        <v>0</v>
      </c>
      <c r="E83" s="39" t="n">
        <f aca="false">ROUND(Y82*(1+N('My Debts'!$D$9)/12),2)</f>
        <v>0</v>
      </c>
      <c r="F83" s="39" t="n">
        <f aca="false">ROUND(Z82*(1+N('My Debts'!$D$10)/12),2)</f>
        <v>0</v>
      </c>
      <c r="G83" s="39" t="n">
        <f aca="false">ROUND(AA82*(1+N('My Debts'!$D$11)/12),2)</f>
        <v>0</v>
      </c>
      <c r="H83" s="39" t="n">
        <f aca="false">ROUND(AB82*(1+N('My Debts'!$D$12)/12),2)</f>
        <v>0</v>
      </c>
      <c r="I83" s="39" t="n">
        <f aca="false">ROUND(AC82*(1+N('My Debts'!$D$13)/12),2)</f>
        <v>0</v>
      </c>
      <c r="J83" s="39" t="n">
        <f aca="false">ROUND(AD82*(1+N('My Debts'!$D$14)/12),2)</f>
        <v>0</v>
      </c>
      <c r="K83" s="39" t="n">
        <f aca="false">ROUND(AE82*(1+N('My Debts'!$D$15)/12),2)</f>
        <v>0</v>
      </c>
      <c r="L83" s="39" t="n">
        <f aca="false">MIN(N('My Debts'!$E$6),B83)</f>
        <v>0</v>
      </c>
      <c r="M83" s="39" t="n">
        <f aca="false">MIN(N('My Debts'!$E$7),C83)</f>
        <v>0</v>
      </c>
      <c r="N83" s="39" t="n">
        <f aca="false">MIN(N('My Debts'!$E$8),D83)</f>
        <v>0</v>
      </c>
      <c r="O83" s="39" t="n">
        <f aca="false">MIN(N('My Debts'!$E$9),E83)</f>
        <v>0</v>
      </c>
      <c r="P83" s="39" t="n">
        <f aca="false">MIN(N('My Debts'!$E$10),F83)</f>
        <v>0</v>
      </c>
      <c r="Q83" s="39" t="n">
        <f aca="false">MIN(N('My Debts'!$E$11),G83)</f>
        <v>0</v>
      </c>
      <c r="R83" s="39" t="n">
        <f aca="false">MIN(N('My Debts'!$E$12),H83)</f>
        <v>0</v>
      </c>
      <c r="S83" s="39" t="n">
        <f aca="false">MIN(N('My Debts'!$E$13),I83)</f>
        <v>0</v>
      </c>
      <c r="T83" s="39" t="n">
        <f aca="false">MIN(N('My Debts'!$E$14),J83)</f>
        <v>0</v>
      </c>
      <c r="U83" s="39" t="n">
        <f aca="false">MIN(N('My Debts'!$E$15),K83)</f>
        <v>0</v>
      </c>
      <c r="V83" s="39" t="n">
        <f aca="false">ROUND(B83-L83-MIN(B83-L83,MAX(0,$AF83-SUMPRODUCT(--($B$4:$K$4&lt;B$4),$B83:$K83-$L83:$U83))),2)</f>
        <v>0</v>
      </c>
      <c r="W83" s="39" t="n">
        <f aca="false">ROUND(C83-M83-MIN(C83-M83,MAX(0,$AF83-SUMPRODUCT(--($B$4:$K$4&lt;C$4),$B83:$K83-$L83:$U83))),2)</f>
        <v>0</v>
      </c>
      <c r="X83" s="39" t="n">
        <f aca="false">ROUND(D83-N83-MIN(D83-N83,MAX(0,$AF83-SUMPRODUCT(--($B$4:$K$4&lt;D$4),$B83:$K83-$L83:$U83))),2)</f>
        <v>0</v>
      </c>
      <c r="Y83" s="39" t="n">
        <f aca="false">ROUND(E83-O83-MIN(E83-O83,MAX(0,$AF83-SUMPRODUCT(--($B$4:$K$4&lt;E$4),$B83:$K83-$L83:$U83))),2)</f>
        <v>0</v>
      </c>
      <c r="Z83" s="39" t="n">
        <f aca="false">ROUND(F83-P83-MIN(F83-P83,MAX(0,$AF83-SUMPRODUCT(--($B$4:$K$4&lt;F$4),$B83:$K83-$L83:$U83))),2)</f>
        <v>0</v>
      </c>
      <c r="AA83" s="39" t="n">
        <f aca="false">ROUND(G83-Q83-MIN(G83-Q83,MAX(0,$AF83-SUMPRODUCT(--($B$4:$K$4&lt;G$4),$B83:$K83-$L83:$U83))),2)</f>
        <v>0</v>
      </c>
      <c r="AB83" s="39" t="n">
        <f aca="false">ROUND(H83-R83-MIN(H83-R83,MAX(0,$AF83-SUMPRODUCT(--($B$4:$K$4&lt;H$4),$B83:$K83-$L83:$U83))),2)</f>
        <v>0</v>
      </c>
      <c r="AC83" s="39" t="n">
        <f aca="false">ROUND(I83-S83-MIN(I83-S83,MAX(0,$AF83-SUMPRODUCT(--($B$4:$K$4&lt;I$4),$B83:$K83-$L83:$U83))),2)</f>
        <v>0</v>
      </c>
      <c r="AD83" s="39" t="n">
        <f aca="false">ROUND(J83-T83-MIN(J83-T83,MAX(0,$AF83-SUMPRODUCT(--($B$4:$K$4&lt;J$4),$B83:$K83-$L83:$U83))),2)</f>
        <v>0</v>
      </c>
      <c r="AE83" s="39" t="n">
        <f aca="false">ROUND(K83-U83-MIN(K83-U83,MAX(0,$AF83-SUMPRODUCT(--($B$4:$K$4&lt;K$4),$B83:$K83-$L83:$U83))),2)</f>
        <v>0</v>
      </c>
      <c r="AF83" s="39" t="n">
        <f aca="false">MAX(0,'Start Here'!$C$5-SUM($L83:$U83))</f>
        <v>1200</v>
      </c>
      <c r="AG83" s="39" t="n">
        <f aca="false">SUM(V83:AE83)</f>
        <v>0</v>
      </c>
      <c r="AH83" s="39" t="n">
        <f aca="false">SUM(B83:K83)-AG82</f>
        <v>0</v>
      </c>
    </row>
    <row r="84" customFormat="false" ht="15" hidden="false" customHeight="false" outlineLevel="0" collapsed="false">
      <c r="A84" s="40" t="n">
        <f aca="false">DATE(YEAR('Start Here'!$C$6),MONTH('Start Here'!$C$6)+77,1)</f>
        <v>48639</v>
      </c>
      <c r="B84" s="39" t="n">
        <f aca="false">ROUND(V83*(1+N('My Debts'!$D$6)/12),2)</f>
        <v>0</v>
      </c>
      <c r="C84" s="39" t="n">
        <f aca="false">ROUND(W83*(1+N('My Debts'!$D$7)/12),2)</f>
        <v>0</v>
      </c>
      <c r="D84" s="39" t="n">
        <f aca="false">ROUND(X83*(1+N('My Debts'!$D$8)/12),2)</f>
        <v>0</v>
      </c>
      <c r="E84" s="39" t="n">
        <f aca="false">ROUND(Y83*(1+N('My Debts'!$D$9)/12),2)</f>
        <v>0</v>
      </c>
      <c r="F84" s="39" t="n">
        <f aca="false">ROUND(Z83*(1+N('My Debts'!$D$10)/12),2)</f>
        <v>0</v>
      </c>
      <c r="G84" s="39" t="n">
        <f aca="false">ROUND(AA83*(1+N('My Debts'!$D$11)/12),2)</f>
        <v>0</v>
      </c>
      <c r="H84" s="39" t="n">
        <f aca="false">ROUND(AB83*(1+N('My Debts'!$D$12)/12),2)</f>
        <v>0</v>
      </c>
      <c r="I84" s="39" t="n">
        <f aca="false">ROUND(AC83*(1+N('My Debts'!$D$13)/12),2)</f>
        <v>0</v>
      </c>
      <c r="J84" s="39" t="n">
        <f aca="false">ROUND(AD83*(1+N('My Debts'!$D$14)/12),2)</f>
        <v>0</v>
      </c>
      <c r="K84" s="39" t="n">
        <f aca="false">ROUND(AE83*(1+N('My Debts'!$D$15)/12),2)</f>
        <v>0</v>
      </c>
      <c r="L84" s="39" t="n">
        <f aca="false">MIN(N('My Debts'!$E$6),B84)</f>
        <v>0</v>
      </c>
      <c r="M84" s="39" t="n">
        <f aca="false">MIN(N('My Debts'!$E$7),C84)</f>
        <v>0</v>
      </c>
      <c r="N84" s="39" t="n">
        <f aca="false">MIN(N('My Debts'!$E$8),D84)</f>
        <v>0</v>
      </c>
      <c r="O84" s="39" t="n">
        <f aca="false">MIN(N('My Debts'!$E$9),E84)</f>
        <v>0</v>
      </c>
      <c r="P84" s="39" t="n">
        <f aca="false">MIN(N('My Debts'!$E$10),F84)</f>
        <v>0</v>
      </c>
      <c r="Q84" s="39" t="n">
        <f aca="false">MIN(N('My Debts'!$E$11),G84)</f>
        <v>0</v>
      </c>
      <c r="R84" s="39" t="n">
        <f aca="false">MIN(N('My Debts'!$E$12),H84)</f>
        <v>0</v>
      </c>
      <c r="S84" s="39" t="n">
        <f aca="false">MIN(N('My Debts'!$E$13),I84)</f>
        <v>0</v>
      </c>
      <c r="T84" s="39" t="n">
        <f aca="false">MIN(N('My Debts'!$E$14),J84)</f>
        <v>0</v>
      </c>
      <c r="U84" s="39" t="n">
        <f aca="false">MIN(N('My Debts'!$E$15),K84)</f>
        <v>0</v>
      </c>
      <c r="V84" s="39" t="n">
        <f aca="false">ROUND(B84-L84-MIN(B84-L84,MAX(0,$AF84-SUMPRODUCT(--($B$4:$K$4&lt;B$4),$B84:$K84-$L84:$U84))),2)</f>
        <v>0</v>
      </c>
      <c r="W84" s="39" t="n">
        <f aca="false">ROUND(C84-M84-MIN(C84-M84,MAX(0,$AF84-SUMPRODUCT(--($B$4:$K$4&lt;C$4),$B84:$K84-$L84:$U84))),2)</f>
        <v>0</v>
      </c>
      <c r="X84" s="39" t="n">
        <f aca="false">ROUND(D84-N84-MIN(D84-N84,MAX(0,$AF84-SUMPRODUCT(--($B$4:$K$4&lt;D$4),$B84:$K84-$L84:$U84))),2)</f>
        <v>0</v>
      </c>
      <c r="Y84" s="39" t="n">
        <f aca="false">ROUND(E84-O84-MIN(E84-O84,MAX(0,$AF84-SUMPRODUCT(--($B$4:$K$4&lt;E$4),$B84:$K84-$L84:$U84))),2)</f>
        <v>0</v>
      </c>
      <c r="Z84" s="39" t="n">
        <f aca="false">ROUND(F84-P84-MIN(F84-P84,MAX(0,$AF84-SUMPRODUCT(--($B$4:$K$4&lt;F$4),$B84:$K84-$L84:$U84))),2)</f>
        <v>0</v>
      </c>
      <c r="AA84" s="39" t="n">
        <f aca="false">ROUND(G84-Q84-MIN(G84-Q84,MAX(0,$AF84-SUMPRODUCT(--($B$4:$K$4&lt;G$4),$B84:$K84-$L84:$U84))),2)</f>
        <v>0</v>
      </c>
      <c r="AB84" s="39" t="n">
        <f aca="false">ROUND(H84-R84-MIN(H84-R84,MAX(0,$AF84-SUMPRODUCT(--($B$4:$K$4&lt;H$4),$B84:$K84-$L84:$U84))),2)</f>
        <v>0</v>
      </c>
      <c r="AC84" s="39" t="n">
        <f aca="false">ROUND(I84-S84-MIN(I84-S84,MAX(0,$AF84-SUMPRODUCT(--($B$4:$K$4&lt;I$4),$B84:$K84-$L84:$U84))),2)</f>
        <v>0</v>
      </c>
      <c r="AD84" s="39" t="n">
        <f aca="false">ROUND(J84-T84-MIN(J84-T84,MAX(0,$AF84-SUMPRODUCT(--($B$4:$K$4&lt;J$4),$B84:$K84-$L84:$U84))),2)</f>
        <v>0</v>
      </c>
      <c r="AE84" s="39" t="n">
        <f aca="false">ROUND(K84-U84-MIN(K84-U84,MAX(0,$AF84-SUMPRODUCT(--($B$4:$K$4&lt;K$4),$B84:$K84-$L84:$U84))),2)</f>
        <v>0</v>
      </c>
      <c r="AF84" s="39" t="n">
        <f aca="false">MAX(0,'Start Here'!$C$5-SUM($L84:$U84))</f>
        <v>1200</v>
      </c>
      <c r="AG84" s="39" t="n">
        <f aca="false">SUM(V84:AE84)</f>
        <v>0</v>
      </c>
      <c r="AH84" s="39" t="n">
        <f aca="false">SUM(B84:K84)-AG83</f>
        <v>0</v>
      </c>
    </row>
    <row r="85" customFormat="false" ht="15" hidden="false" customHeight="false" outlineLevel="0" collapsed="false">
      <c r="A85" s="40" t="n">
        <f aca="false">DATE(YEAR('Start Here'!$C$6),MONTH('Start Here'!$C$6)+78,1)</f>
        <v>48670</v>
      </c>
      <c r="B85" s="39" t="n">
        <f aca="false">ROUND(V84*(1+N('My Debts'!$D$6)/12),2)</f>
        <v>0</v>
      </c>
      <c r="C85" s="39" t="n">
        <f aca="false">ROUND(W84*(1+N('My Debts'!$D$7)/12),2)</f>
        <v>0</v>
      </c>
      <c r="D85" s="39" t="n">
        <f aca="false">ROUND(X84*(1+N('My Debts'!$D$8)/12),2)</f>
        <v>0</v>
      </c>
      <c r="E85" s="39" t="n">
        <f aca="false">ROUND(Y84*(1+N('My Debts'!$D$9)/12),2)</f>
        <v>0</v>
      </c>
      <c r="F85" s="39" t="n">
        <f aca="false">ROUND(Z84*(1+N('My Debts'!$D$10)/12),2)</f>
        <v>0</v>
      </c>
      <c r="G85" s="39" t="n">
        <f aca="false">ROUND(AA84*(1+N('My Debts'!$D$11)/12),2)</f>
        <v>0</v>
      </c>
      <c r="H85" s="39" t="n">
        <f aca="false">ROUND(AB84*(1+N('My Debts'!$D$12)/12),2)</f>
        <v>0</v>
      </c>
      <c r="I85" s="39" t="n">
        <f aca="false">ROUND(AC84*(1+N('My Debts'!$D$13)/12),2)</f>
        <v>0</v>
      </c>
      <c r="J85" s="39" t="n">
        <f aca="false">ROUND(AD84*(1+N('My Debts'!$D$14)/12),2)</f>
        <v>0</v>
      </c>
      <c r="K85" s="39" t="n">
        <f aca="false">ROUND(AE84*(1+N('My Debts'!$D$15)/12),2)</f>
        <v>0</v>
      </c>
      <c r="L85" s="39" t="n">
        <f aca="false">MIN(N('My Debts'!$E$6),B85)</f>
        <v>0</v>
      </c>
      <c r="M85" s="39" t="n">
        <f aca="false">MIN(N('My Debts'!$E$7),C85)</f>
        <v>0</v>
      </c>
      <c r="N85" s="39" t="n">
        <f aca="false">MIN(N('My Debts'!$E$8),D85)</f>
        <v>0</v>
      </c>
      <c r="O85" s="39" t="n">
        <f aca="false">MIN(N('My Debts'!$E$9),E85)</f>
        <v>0</v>
      </c>
      <c r="P85" s="39" t="n">
        <f aca="false">MIN(N('My Debts'!$E$10),F85)</f>
        <v>0</v>
      </c>
      <c r="Q85" s="39" t="n">
        <f aca="false">MIN(N('My Debts'!$E$11),G85)</f>
        <v>0</v>
      </c>
      <c r="R85" s="39" t="n">
        <f aca="false">MIN(N('My Debts'!$E$12),H85)</f>
        <v>0</v>
      </c>
      <c r="S85" s="39" t="n">
        <f aca="false">MIN(N('My Debts'!$E$13),I85)</f>
        <v>0</v>
      </c>
      <c r="T85" s="39" t="n">
        <f aca="false">MIN(N('My Debts'!$E$14),J85)</f>
        <v>0</v>
      </c>
      <c r="U85" s="39" t="n">
        <f aca="false">MIN(N('My Debts'!$E$15),K85)</f>
        <v>0</v>
      </c>
      <c r="V85" s="39" t="n">
        <f aca="false">ROUND(B85-L85-MIN(B85-L85,MAX(0,$AF85-SUMPRODUCT(--($B$4:$K$4&lt;B$4),$B85:$K85-$L85:$U85))),2)</f>
        <v>0</v>
      </c>
      <c r="W85" s="39" t="n">
        <f aca="false">ROUND(C85-M85-MIN(C85-M85,MAX(0,$AF85-SUMPRODUCT(--($B$4:$K$4&lt;C$4),$B85:$K85-$L85:$U85))),2)</f>
        <v>0</v>
      </c>
      <c r="X85" s="39" t="n">
        <f aca="false">ROUND(D85-N85-MIN(D85-N85,MAX(0,$AF85-SUMPRODUCT(--($B$4:$K$4&lt;D$4),$B85:$K85-$L85:$U85))),2)</f>
        <v>0</v>
      </c>
      <c r="Y85" s="39" t="n">
        <f aca="false">ROUND(E85-O85-MIN(E85-O85,MAX(0,$AF85-SUMPRODUCT(--($B$4:$K$4&lt;E$4),$B85:$K85-$L85:$U85))),2)</f>
        <v>0</v>
      </c>
      <c r="Z85" s="39" t="n">
        <f aca="false">ROUND(F85-P85-MIN(F85-P85,MAX(0,$AF85-SUMPRODUCT(--($B$4:$K$4&lt;F$4),$B85:$K85-$L85:$U85))),2)</f>
        <v>0</v>
      </c>
      <c r="AA85" s="39" t="n">
        <f aca="false">ROUND(G85-Q85-MIN(G85-Q85,MAX(0,$AF85-SUMPRODUCT(--($B$4:$K$4&lt;G$4),$B85:$K85-$L85:$U85))),2)</f>
        <v>0</v>
      </c>
      <c r="AB85" s="39" t="n">
        <f aca="false">ROUND(H85-R85-MIN(H85-R85,MAX(0,$AF85-SUMPRODUCT(--($B$4:$K$4&lt;H$4),$B85:$K85-$L85:$U85))),2)</f>
        <v>0</v>
      </c>
      <c r="AC85" s="39" t="n">
        <f aca="false">ROUND(I85-S85-MIN(I85-S85,MAX(0,$AF85-SUMPRODUCT(--($B$4:$K$4&lt;I$4),$B85:$K85-$L85:$U85))),2)</f>
        <v>0</v>
      </c>
      <c r="AD85" s="39" t="n">
        <f aca="false">ROUND(J85-T85-MIN(J85-T85,MAX(0,$AF85-SUMPRODUCT(--($B$4:$K$4&lt;J$4),$B85:$K85-$L85:$U85))),2)</f>
        <v>0</v>
      </c>
      <c r="AE85" s="39" t="n">
        <f aca="false">ROUND(K85-U85-MIN(K85-U85,MAX(0,$AF85-SUMPRODUCT(--($B$4:$K$4&lt;K$4),$B85:$K85-$L85:$U85))),2)</f>
        <v>0</v>
      </c>
      <c r="AF85" s="39" t="n">
        <f aca="false">MAX(0,'Start Here'!$C$5-SUM($L85:$U85))</f>
        <v>1200</v>
      </c>
      <c r="AG85" s="39" t="n">
        <f aca="false">SUM(V85:AE85)</f>
        <v>0</v>
      </c>
      <c r="AH85" s="39" t="n">
        <f aca="false">SUM(B85:K85)-AG84</f>
        <v>0</v>
      </c>
    </row>
    <row r="86" customFormat="false" ht="15" hidden="false" customHeight="false" outlineLevel="0" collapsed="false">
      <c r="A86" s="40" t="n">
        <f aca="false">DATE(YEAR('Start Here'!$C$6),MONTH('Start Here'!$C$6)+79,1)</f>
        <v>48700</v>
      </c>
      <c r="B86" s="39" t="n">
        <f aca="false">ROUND(V85*(1+N('My Debts'!$D$6)/12),2)</f>
        <v>0</v>
      </c>
      <c r="C86" s="39" t="n">
        <f aca="false">ROUND(W85*(1+N('My Debts'!$D$7)/12),2)</f>
        <v>0</v>
      </c>
      <c r="D86" s="39" t="n">
        <f aca="false">ROUND(X85*(1+N('My Debts'!$D$8)/12),2)</f>
        <v>0</v>
      </c>
      <c r="E86" s="39" t="n">
        <f aca="false">ROUND(Y85*(1+N('My Debts'!$D$9)/12),2)</f>
        <v>0</v>
      </c>
      <c r="F86" s="39" t="n">
        <f aca="false">ROUND(Z85*(1+N('My Debts'!$D$10)/12),2)</f>
        <v>0</v>
      </c>
      <c r="G86" s="39" t="n">
        <f aca="false">ROUND(AA85*(1+N('My Debts'!$D$11)/12),2)</f>
        <v>0</v>
      </c>
      <c r="H86" s="39" t="n">
        <f aca="false">ROUND(AB85*(1+N('My Debts'!$D$12)/12),2)</f>
        <v>0</v>
      </c>
      <c r="I86" s="39" t="n">
        <f aca="false">ROUND(AC85*(1+N('My Debts'!$D$13)/12),2)</f>
        <v>0</v>
      </c>
      <c r="J86" s="39" t="n">
        <f aca="false">ROUND(AD85*(1+N('My Debts'!$D$14)/12),2)</f>
        <v>0</v>
      </c>
      <c r="K86" s="39" t="n">
        <f aca="false">ROUND(AE85*(1+N('My Debts'!$D$15)/12),2)</f>
        <v>0</v>
      </c>
      <c r="L86" s="39" t="n">
        <f aca="false">MIN(N('My Debts'!$E$6),B86)</f>
        <v>0</v>
      </c>
      <c r="M86" s="39" t="n">
        <f aca="false">MIN(N('My Debts'!$E$7),C86)</f>
        <v>0</v>
      </c>
      <c r="N86" s="39" t="n">
        <f aca="false">MIN(N('My Debts'!$E$8),D86)</f>
        <v>0</v>
      </c>
      <c r="O86" s="39" t="n">
        <f aca="false">MIN(N('My Debts'!$E$9),E86)</f>
        <v>0</v>
      </c>
      <c r="P86" s="39" t="n">
        <f aca="false">MIN(N('My Debts'!$E$10),F86)</f>
        <v>0</v>
      </c>
      <c r="Q86" s="39" t="n">
        <f aca="false">MIN(N('My Debts'!$E$11),G86)</f>
        <v>0</v>
      </c>
      <c r="R86" s="39" t="n">
        <f aca="false">MIN(N('My Debts'!$E$12),H86)</f>
        <v>0</v>
      </c>
      <c r="S86" s="39" t="n">
        <f aca="false">MIN(N('My Debts'!$E$13),I86)</f>
        <v>0</v>
      </c>
      <c r="T86" s="39" t="n">
        <f aca="false">MIN(N('My Debts'!$E$14),J86)</f>
        <v>0</v>
      </c>
      <c r="U86" s="39" t="n">
        <f aca="false">MIN(N('My Debts'!$E$15),K86)</f>
        <v>0</v>
      </c>
      <c r="V86" s="39" t="n">
        <f aca="false">ROUND(B86-L86-MIN(B86-L86,MAX(0,$AF86-SUMPRODUCT(--($B$4:$K$4&lt;B$4),$B86:$K86-$L86:$U86))),2)</f>
        <v>0</v>
      </c>
      <c r="W86" s="39" t="n">
        <f aca="false">ROUND(C86-M86-MIN(C86-M86,MAX(0,$AF86-SUMPRODUCT(--($B$4:$K$4&lt;C$4),$B86:$K86-$L86:$U86))),2)</f>
        <v>0</v>
      </c>
      <c r="X86" s="39" t="n">
        <f aca="false">ROUND(D86-N86-MIN(D86-N86,MAX(0,$AF86-SUMPRODUCT(--($B$4:$K$4&lt;D$4),$B86:$K86-$L86:$U86))),2)</f>
        <v>0</v>
      </c>
      <c r="Y86" s="39" t="n">
        <f aca="false">ROUND(E86-O86-MIN(E86-O86,MAX(0,$AF86-SUMPRODUCT(--($B$4:$K$4&lt;E$4),$B86:$K86-$L86:$U86))),2)</f>
        <v>0</v>
      </c>
      <c r="Z86" s="39" t="n">
        <f aca="false">ROUND(F86-P86-MIN(F86-P86,MAX(0,$AF86-SUMPRODUCT(--($B$4:$K$4&lt;F$4),$B86:$K86-$L86:$U86))),2)</f>
        <v>0</v>
      </c>
      <c r="AA86" s="39" t="n">
        <f aca="false">ROUND(G86-Q86-MIN(G86-Q86,MAX(0,$AF86-SUMPRODUCT(--($B$4:$K$4&lt;G$4),$B86:$K86-$L86:$U86))),2)</f>
        <v>0</v>
      </c>
      <c r="AB86" s="39" t="n">
        <f aca="false">ROUND(H86-R86-MIN(H86-R86,MAX(0,$AF86-SUMPRODUCT(--($B$4:$K$4&lt;H$4),$B86:$K86-$L86:$U86))),2)</f>
        <v>0</v>
      </c>
      <c r="AC86" s="39" t="n">
        <f aca="false">ROUND(I86-S86-MIN(I86-S86,MAX(0,$AF86-SUMPRODUCT(--($B$4:$K$4&lt;I$4),$B86:$K86-$L86:$U86))),2)</f>
        <v>0</v>
      </c>
      <c r="AD86" s="39" t="n">
        <f aca="false">ROUND(J86-T86-MIN(J86-T86,MAX(0,$AF86-SUMPRODUCT(--($B$4:$K$4&lt;J$4),$B86:$K86-$L86:$U86))),2)</f>
        <v>0</v>
      </c>
      <c r="AE86" s="39" t="n">
        <f aca="false">ROUND(K86-U86-MIN(K86-U86,MAX(0,$AF86-SUMPRODUCT(--($B$4:$K$4&lt;K$4),$B86:$K86-$L86:$U86))),2)</f>
        <v>0</v>
      </c>
      <c r="AF86" s="39" t="n">
        <f aca="false">MAX(0,'Start Here'!$C$5-SUM($L86:$U86))</f>
        <v>1200</v>
      </c>
      <c r="AG86" s="39" t="n">
        <f aca="false">SUM(V86:AE86)</f>
        <v>0</v>
      </c>
      <c r="AH86" s="39" t="n">
        <f aca="false">SUM(B86:K86)-AG85</f>
        <v>0</v>
      </c>
    </row>
    <row r="87" customFormat="false" ht="15" hidden="false" customHeight="false" outlineLevel="0" collapsed="false">
      <c r="A87" s="40" t="n">
        <f aca="false">DATE(YEAR('Start Here'!$C$6),MONTH('Start Here'!$C$6)+80,1)</f>
        <v>48731</v>
      </c>
      <c r="B87" s="39" t="n">
        <f aca="false">ROUND(V86*(1+N('My Debts'!$D$6)/12),2)</f>
        <v>0</v>
      </c>
      <c r="C87" s="39" t="n">
        <f aca="false">ROUND(W86*(1+N('My Debts'!$D$7)/12),2)</f>
        <v>0</v>
      </c>
      <c r="D87" s="39" t="n">
        <f aca="false">ROUND(X86*(1+N('My Debts'!$D$8)/12),2)</f>
        <v>0</v>
      </c>
      <c r="E87" s="39" t="n">
        <f aca="false">ROUND(Y86*(1+N('My Debts'!$D$9)/12),2)</f>
        <v>0</v>
      </c>
      <c r="F87" s="39" t="n">
        <f aca="false">ROUND(Z86*(1+N('My Debts'!$D$10)/12),2)</f>
        <v>0</v>
      </c>
      <c r="G87" s="39" t="n">
        <f aca="false">ROUND(AA86*(1+N('My Debts'!$D$11)/12),2)</f>
        <v>0</v>
      </c>
      <c r="H87" s="39" t="n">
        <f aca="false">ROUND(AB86*(1+N('My Debts'!$D$12)/12),2)</f>
        <v>0</v>
      </c>
      <c r="I87" s="39" t="n">
        <f aca="false">ROUND(AC86*(1+N('My Debts'!$D$13)/12),2)</f>
        <v>0</v>
      </c>
      <c r="J87" s="39" t="n">
        <f aca="false">ROUND(AD86*(1+N('My Debts'!$D$14)/12),2)</f>
        <v>0</v>
      </c>
      <c r="K87" s="39" t="n">
        <f aca="false">ROUND(AE86*(1+N('My Debts'!$D$15)/12),2)</f>
        <v>0</v>
      </c>
      <c r="L87" s="39" t="n">
        <f aca="false">MIN(N('My Debts'!$E$6),B87)</f>
        <v>0</v>
      </c>
      <c r="M87" s="39" t="n">
        <f aca="false">MIN(N('My Debts'!$E$7),C87)</f>
        <v>0</v>
      </c>
      <c r="N87" s="39" t="n">
        <f aca="false">MIN(N('My Debts'!$E$8),D87)</f>
        <v>0</v>
      </c>
      <c r="O87" s="39" t="n">
        <f aca="false">MIN(N('My Debts'!$E$9),E87)</f>
        <v>0</v>
      </c>
      <c r="P87" s="39" t="n">
        <f aca="false">MIN(N('My Debts'!$E$10),F87)</f>
        <v>0</v>
      </c>
      <c r="Q87" s="39" t="n">
        <f aca="false">MIN(N('My Debts'!$E$11),G87)</f>
        <v>0</v>
      </c>
      <c r="R87" s="39" t="n">
        <f aca="false">MIN(N('My Debts'!$E$12),H87)</f>
        <v>0</v>
      </c>
      <c r="S87" s="39" t="n">
        <f aca="false">MIN(N('My Debts'!$E$13),I87)</f>
        <v>0</v>
      </c>
      <c r="T87" s="39" t="n">
        <f aca="false">MIN(N('My Debts'!$E$14),J87)</f>
        <v>0</v>
      </c>
      <c r="U87" s="39" t="n">
        <f aca="false">MIN(N('My Debts'!$E$15),K87)</f>
        <v>0</v>
      </c>
      <c r="V87" s="39" t="n">
        <f aca="false">ROUND(B87-L87-MIN(B87-L87,MAX(0,$AF87-SUMPRODUCT(--($B$4:$K$4&lt;B$4),$B87:$K87-$L87:$U87))),2)</f>
        <v>0</v>
      </c>
      <c r="W87" s="39" t="n">
        <f aca="false">ROUND(C87-M87-MIN(C87-M87,MAX(0,$AF87-SUMPRODUCT(--($B$4:$K$4&lt;C$4),$B87:$K87-$L87:$U87))),2)</f>
        <v>0</v>
      </c>
      <c r="X87" s="39" t="n">
        <f aca="false">ROUND(D87-N87-MIN(D87-N87,MAX(0,$AF87-SUMPRODUCT(--($B$4:$K$4&lt;D$4),$B87:$K87-$L87:$U87))),2)</f>
        <v>0</v>
      </c>
      <c r="Y87" s="39" t="n">
        <f aca="false">ROUND(E87-O87-MIN(E87-O87,MAX(0,$AF87-SUMPRODUCT(--($B$4:$K$4&lt;E$4),$B87:$K87-$L87:$U87))),2)</f>
        <v>0</v>
      </c>
      <c r="Z87" s="39" t="n">
        <f aca="false">ROUND(F87-P87-MIN(F87-P87,MAX(0,$AF87-SUMPRODUCT(--($B$4:$K$4&lt;F$4),$B87:$K87-$L87:$U87))),2)</f>
        <v>0</v>
      </c>
      <c r="AA87" s="39" t="n">
        <f aca="false">ROUND(G87-Q87-MIN(G87-Q87,MAX(0,$AF87-SUMPRODUCT(--($B$4:$K$4&lt;G$4),$B87:$K87-$L87:$U87))),2)</f>
        <v>0</v>
      </c>
      <c r="AB87" s="39" t="n">
        <f aca="false">ROUND(H87-R87-MIN(H87-R87,MAX(0,$AF87-SUMPRODUCT(--($B$4:$K$4&lt;H$4),$B87:$K87-$L87:$U87))),2)</f>
        <v>0</v>
      </c>
      <c r="AC87" s="39" t="n">
        <f aca="false">ROUND(I87-S87-MIN(I87-S87,MAX(0,$AF87-SUMPRODUCT(--($B$4:$K$4&lt;I$4),$B87:$K87-$L87:$U87))),2)</f>
        <v>0</v>
      </c>
      <c r="AD87" s="39" t="n">
        <f aca="false">ROUND(J87-T87-MIN(J87-T87,MAX(0,$AF87-SUMPRODUCT(--($B$4:$K$4&lt;J$4),$B87:$K87-$L87:$U87))),2)</f>
        <v>0</v>
      </c>
      <c r="AE87" s="39" t="n">
        <f aca="false">ROUND(K87-U87-MIN(K87-U87,MAX(0,$AF87-SUMPRODUCT(--($B$4:$K$4&lt;K$4),$B87:$K87-$L87:$U87))),2)</f>
        <v>0</v>
      </c>
      <c r="AF87" s="39" t="n">
        <f aca="false">MAX(0,'Start Here'!$C$5-SUM($L87:$U87))</f>
        <v>1200</v>
      </c>
      <c r="AG87" s="39" t="n">
        <f aca="false">SUM(V87:AE87)</f>
        <v>0</v>
      </c>
      <c r="AH87" s="39" t="n">
        <f aca="false">SUM(B87:K87)-AG86</f>
        <v>0</v>
      </c>
    </row>
    <row r="88" customFormat="false" ht="15" hidden="false" customHeight="false" outlineLevel="0" collapsed="false">
      <c r="A88" s="40" t="n">
        <f aca="false">DATE(YEAR('Start Here'!$C$6),MONTH('Start Here'!$C$6)+81,1)</f>
        <v>48761</v>
      </c>
      <c r="B88" s="39" t="n">
        <f aca="false">ROUND(V87*(1+N('My Debts'!$D$6)/12),2)</f>
        <v>0</v>
      </c>
      <c r="C88" s="39" t="n">
        <f aca="false">ROUND(W87*(1+N('My Debts'!$D$7)/12),2)</f>
        <v>0</v>
      </c>
      <c r="D88" s="39" t="n">
        <f aca="false">ROUND(X87*(1+N('My Debts'!$D$8)/12),2)</f>
        <v>0</v>
      </c>
      <c r="E88" s="39" t="n">
        <f aca="false">ROUND(Y87*(1+N('My Debts'!$D$9)/12),2)</f>
        <v>0</v>
      </c>
      <c r="F88" s="39" t="n">
        <f aca="false">ROUND(Z87*(1+N('My Debts'!$D$10)/12),2)</f>
        <v>0</v>
      </c>
      <c r="G88" s="39" t="n">
        <f aca="false">ROUND(AA87*(1+N('My Debts'!$D$11)/12),2)</f>
        <v>0</v>
      </c>
      <c r="H88" s="39" t="n">
        <f aca="false">ROUND(AB87*(1+N('My Debts'!$D$12)/12),2)</f>
        <v>0</v>
      </c>
      <c r="I88" s="39" t="n">
        <f aca="false">ROUND(AC87*(1+N('My Debts'!$D$13)/12),2)</f>
        <v>0</v>
      </c>
      <c r="J88" s="39" t="n">
        <f aca="false">ROUND(AD87*(1+N('My Debts'!$D$14)/12),2)</f>
        <v>0</v>
      </c>
      <c r="K88" s="39" t="n">
        <f aca="false">ROUND(AE87*(1+N('My Debts'!$D$15)/12),2)</f>
        <v>0</v>
      </c>
      <c r="L88" s="39" t="n">
        <f aca="false">MIN(N('My Debts'!$E$6),B88)</f>
        <v>0</v>
      </c>
      <c r="M88" s="39" t="n">
        <f aca="false">MIN(N('My Debts'!$E$7),C88)</f>
        <v>0</v>
      </c>
      <c r="N88" s="39" t="n">
        <f aca="false">MIN(N('My Debts'!$E$8),D88)</f>
        <v>0</v>
      </c>
      <c r="O88" s="39" t="n">
        <f aca="false">MIN(N('My Debts'!$E$9),E88)</f>
        <v>0</v>
      </c>
      <c r="P88" s="39" t="n">
        <f aca="false">MIN(N('My Debts'!$E$10),F88)</f>
        <v>0</v>
      </c>
      <c r="Q88" s="39" t="n">
        <f aca="false">MIN(N('My Debts'!$E$11),G88)</f>
        <v>0</v>
      </c>
      <c r="R88" s="39" t="n">
        <f aca="false">MIN(N('My Debts'!$E$12),H88)</f>
        <v>0</v>
      </c>
      <c r="S88" s="39" t="n">
        <f aca="false">MIN(N('My Debts'!$E$13),I88)</f>
        <v>0</v>
      </c>
      <c r="T88" s="39" t="n">
        <f aca="false">MIN(N('My Debts'!$E$14),J88)</f>
        <v>0</v>
      </c>
      <c r="U88" s="39" t="n">
        <f aca="false">MIN(N('My Debts'!$E$15),K88)</f>
        <v>0</v>
      </c>
      <c r="V88" s="39" t="n">
        <f aca="false">ROUND(B88-L88-MIN(B88-L88,MAX(0,$AF88-SUMPRODUCT(--($B$4:$K$4&lt;B$4),$B88:$K88-$L88:$U88))),2)</f>
        <v>0</v>
      </c>
      <c r="W88" s="39" t="n">
        <f aca="false">ROUND(C88-M88-MIN(C88-M88,MAX(0,$AF88-SUMPRODUCT(--($B$4:$K$4&lt;C$4),$B88:$K88-$L88:$U88))),2)</f>
        <v>0</v>
      </c>
      <c r="X88" s="39" t="n">
        <f aca="false">ROUND(D88-N88-MIN(D88-N88,MAX(0,$AF88-SUMPRODUCT(--($B$4:$K$4&lt;D$4),$B88:$K88-$L88:$U88))),2)</f>
        <v>0</v>
      </c>
      <c r="Y88" s="39" t="n">
        <f aca="false">ROUND(E88-O88-MIN(E88-O88,MAX(0,$AF88-SUMPRODUCT(--($B$4:$K$4&lt;E$4),$B88:$K88-$L88:$U88))),2)</f>
        <v>0</v>
      </c>
      <c r="Z88" s="39" t="n">
        <f aca="false">ROUND(F88-P88-MIN(F88-P88,MAX(0,$AF88-SUMPRODUCT(--($B$4:$K$4&lt;F$4),$B88:$K88-$L88:$U88))),2)</f>
        <v>0</v>
      </c>
      <c r="AA88" s="39" t="n">
        <f aca="false">ROUND(G88-Q88-MIN(G88-Q88,MAX(0,$AF88-SUMPRODUCT(--($B$4:$K$4&lt;G$4),$B88:$K88-$L88:$U88))),2)</f>
        <v>0</v>
      </c>
      <c r="AB88" s="39" t="n">
        <f aca="false">ROUND(H88-R88-MIN(H88-R88,MAX(0,$AF88-SUMPRODUCT(--($B$4:$K$4&lt;H$4),$B88:$K88-$L88:$U88))),2)</f>
        <v>0</v>
      </c>
      <c r="AC88" s="39" t="n">
        <f aca="false">ROUND(I88-S88-MIN(I88-S88,MAX(0,$AF88-SUMPRODUCT(--($B$4:$K$4&lt;I$4),$B88:$K88-$L88:$U88))),2)</f>
        <v>0</v>
      </c>
      <c r="AD88" s="39" t="n">
        <f aca="false">ROUND(J88-T88-MIN(J88-T88,MAX(0,$AF88-SUMPRODUCT(--($B$4:$K$4&lt;J$4),$B88:$K88-$L88:$U88))),2)</f>
        <v>0</v>
      </c>
      <c r="AE88" s="39" t="n">
        <f aca="false">ROUND(K88-U88-MIN(K88-U88,MAX(0,$AF88-SUMPRODUCT(--($B$4:$K$4&lt;K$4),$B88:$K88-$L88:$U88))),2)</f>
        <v>0</v>
      </c>
      <c r="AF88" s="39" t="n">
        <f aca="false">MAX(0,'Start Here'!$C$5-SUM($L88:$U88))</f>
        <v>1200</v>
      </c>
      <c r="AG88" s="39" t="n">
        <f aca="false">SUM(V88:AE88)</f>
        <v>0</v>
      </c>
      <c r="AH88" s="39" t="n">
        <f aca="false">SUM(B88:K88)-AG87</f>
        <v>0</v>
      </c>
    </row>
    <row r="89" customFormat="false" ht="15" hidden="false" customHeight="false" outlineLevel="0" collapsed="false">
      <c r="A89" s="40" t="n">
        <f aca="false">DATE(YEAR('Start Here'!$C$6),MONTH('Start Here'!$C$6)+82,1)</f>
        <v>48792</v>
      </c>
      <c r="B89" s="39" t="n">
        <f aca="false">ROUND(V88*(1+N('My Debts'!$D$6)/12),2)</f>
        <v>0</v>
      </c>
      <c r="C89" s="39" t="n">
        <f aca="false">ROUND(W88*(1+N('My Debts'!$D$7)/12),2)</f>
        <v>0</v>
      </c>
      <c r="D89" s="39" t="n">
        <f aca="false">ROUND(X88*(1+N('My Debts'!$D$8)/12),2)</f>
        <v>0</v>
      </c>
      <c r="E89" s="39" t="n">
        <f aca="false">ROUND(Y88*(1+N('My Debts'!$D$9)/12),2)</f>
        <v>0</v>
      </c>
      <c r="F89" s="39" t="n">
        <f aca="false">ROUND(Z88*(1+N('My Debts'!$D$10)/12),2)</f>
        <v>0</v>
      </c>
      <c r="G89" s="39" t="n">
        <f aca="false">ROUND(AA88*(1+N('My Debts'!$D$11)/12),2)</f>
        <v>0</v>
      </c>
      <c r="H89" s="39" t="n">
        <f aca="false">ROUND(AB88*(1+N('My Debts'!$D$12)/12),2)</f>
        <v>0</v>
      </c>
      <c r="I89" s="39" t="n">
        <f aca="false">ROUND(AC88*(1+N('My Debts'!$D$13)/12),2)</f>
        <v>0</v>
      </c>
      <c r="J89" s="39" t="n">
        <f aca="false">ROUND(AD88*(1+N('My Debts'!$D$14)/12),2)</f>
        <v>0</v>
      </c>
      <c r="K89" s="39" t="n">
        <f aca="false">ROUND(AE88*(1+N('My Debts'!$D$15)/12),2)</f>
        <v>0</v>
      </c>
      <c r="L89" s="39" t="n">
        <f aca="false">MIN(N('My Debts'!$E$6),B89)</f>
        <v>0</v>
      </c>
      <c r="M89" s="39" t="n">
        <f aca="false">MIN(N('My Debts'!$E$7),C89)</f>
        <v>0</v>
      </c>
      <c r="N89" s="39" t="n">
        <f aca="false">MIN(N('My Debts'!$E$8),D89)</f>
        <v>0</v>
      </c>
      <c r="O89" s="39" t="n">
        <f aca="false">MIN(N('My Debts'!$E$9),E89)</f>
        <v>0</v>
      </c>
      <c r="P89" s="39" t="n">
        <f aca="false">MIN(N('My Debts'!$E$10),F89)</f>
        <v>0</v>
      </c>
      <c r="Q89" s="39" t="n">
        <f aca="false">MIN(N('My Debts'!$E$11),G89)</f>
        <v>0</v>
      </c>
      <c r="R89" s="39" t="n">
        <f aca="false">MIN(N('My Debts'!$E$12),H89)</f>
        <v>0</v>
      </c>
      <c r="S89" s="39" t="n">
        <f aca="false">MIN(N('My Debts'!$E$13),I89)</f>
        <v>0</v>
      </c>
      <c r="T89" s="39" t="n">
        <f aca="false">MIN(N('My Debts'!$E$14),J89)</f>
        <v>0</v>
      </c>
      <c r="U89" s="39" t="n">
        <f aca="false">MIN(N('My Debts'!$E$15),K89)</f>
        <v>0</v>
      </c>
      <c r="V89" s="39" t="n">
        <f aca="false">ROUND(B89-L89-MIN(B89-L89,MAX(0,$AF89-SUMPRODUCT(--($B$4:$K$4&lt;B$4),$B89:$K89-$L89:$U89))),2)</f>
        <v>0</v>
      </c>
      <c r="W89" s="39" t="n">
        <f aca="false">ROUND(C89-M89-MIN(C89-M89,MAX(0,$AF89-SUMPRODUCT(--($B$4:$K$4&lt;C$4),$B89:$K89-$L89:$U89))),2)</f>
        <v>0</v>
      </c>
      <c r="X89" s="39" t="n">
        <f aca="false">ROUND(D89-N89-MIN(D89-N89,MAX(0,$AF89-SUMPRODUCT(--($B$4:$K$4&lt;D$4),$B89:$K89-$L89:$U89))),2)</f>
        <v>0</v>
      </c>
      <c r="Y89" s="39" t="n">
        <f aca="false">ROUND(E89-O89-MIN(E89-O89,MAX(0,$AF89-SUMPRODUCT(--($B$4:$K$4&lt;E$4),$B89:$K89-$L89:$U89))),2)</f>
        <v>0</v>
      </c>
      <c r="Z89" s="39" t="n">
        <f aca="false">ROUND(F89-P89-MIN(F89-P89,MAX(0,$AF89-SUMPRODUCT(--($B$4:$K$4&lt;F$4),$B89:$K89-$L89:$U89))),2)</f>
        <v>0</v>
      </c>
      <c r="AA89" s="39" t="n">
        <f aca="false">ROUND(G89-Q89-MIN(G89-Q89,MAX(0,$AF89-SUMPRODUCT(--($B$4:$K$4&lt;G$4),$B89:$K89-$L89:$U89))),2)</f>
        <v>0</v>
      </c>
      <c r="AB89" s="39" t="n">
        <f aca="false">ROUND(H89-R89-MIN(H89-R89,MAX(0,$AF89-SUMPRODUCT(--($B$4:$K$4&lt;H$4),$B89:$K89-$L89:$U89))),2)</f>
        <v>0</v>
      </c>
      <c r="AC89" s="39" t="n">
        <f aca="false">ROUND(I89-S89-MIN(I89-S89,MAX(0,$AF89-SUMPRODUCT(--($B$4:$K$4&lt;I$4),$B89:$K89-$L89:$U89))),2)</f>
        <v>0</v>
      </c>
      <c r="AD89" s="39" t="n">
        <f aca="false">ROUND(J89-T89-MIN(J89-T89,MAX(0,$AF89-SUMPRODUCT(--($B$4:$K$4&lt;J$4),$B89:$K89-$L89:$U89))),2)</f>
        <v>0</v>
      </c>
      <c r="AE89" s="39" t="n">
        <f aca="false">ROUND(K89-U89-MIN(K89-U89,MAX(0,$AF89-SUMPRODUCT(--($B$4:$K$4&lt;K$4),$B89:$K89-$L89:$U89))),2)</f>
        <v>0</v>
      </c>
      <c r="AF89" s="39" t="n">
        <f aca="false">MAX(0,'Start Here'!$C$5-SUM($L89:$U89))</f>
        <v>1200</v>
      </c>
      <c r="AG89" s="39" t="n">
        <f aca="false">SUM(V89:AE89)</f>
        <v>0</v>
      </c>
      <c r="AH89" s="39" t="n">
        <f aca="false">SUM(B89:K89)-AG88</f>
        <v>0</v>
      </c>
    </row>
    <row r="90" customFormat="false" ht="15" hidden="false" customHeight="false" outlineLevel="0" collapsed="false">
      <c r="A90" s="40" t="n">
        <f aca="false">DATE(YEAR('Start Here'!$C$6),MONTH('Start Here'!$C$6)+83,1)</f>
        <v>48823</v>
      </c>
      <c r="B90" s="39" t="n">
        <f aca="false">ROUND(V89*(1+N('My Debts'!$D$6)/12),2)</f>
        <v>0</v>
      </c>
      <c r="C90" s="39" t="n">
        <f aca="false">ROUND(W89*(1+N('My Debts'!$D$7)/12),2)</f>
        <v>0</v>
      </c>
      <c r="D90" s="39" t="n">
        <f aca="false">ROUND(X89*(1+N('My Debts'!$D$8)/12),2)</f>
        <v>0</v>
      </c>
      <c r="E90" s="39" t="n">
        <f aca="false">ROUND(Y89*(1+N('My Debts'!$D$9)/12),2)</f>
        <v>0</v>
      </c>
      <c r="F90" s="39" t="n">
        <f aca="false">ROUND(Z89*(1+N('My Debts'!$D$10)/12),2)</f>
        <v>0</v>
      </c>
      <c r="G90" s="39" t="n">
        <f aca="false">ROUND(AA89*(1+N('My Debts'!$D$11)/12),2)</f>
        <v>0</v>
      </c>
      <c r="H90" s="39" t="n">
        <f aca="false">ROUND(AB89*(1+N('My Debts'!$D$12)/12),2)</f>
        <v>0</v>
      </c>
      <c r="I90" s="39" t="n">
        <f aca="false">ROUND(AC89*(1+N('My Debts'!$D$13)/12),2)</f>
        <v>0</v>
      </c>
      <c r="J90" s="39" t="n">
        <f aca="false">ROUND(AD89*(1+N('My Debts'!$D$14)/12),2)</f>
        <v>0</v>
      </c>
      <c r="K90" s="39" t="n">
        <f aca="false">ROUND(AE89*(1+N('My Debts'!$D$15)/12),2)</f>
        <v>0</v>
      </c>
      <c r="L90" s="39" t="n">
        <f aca="false">MIN(N('My Debts'!$E$6),B90)</f>
        <v>0</v>
      </c>
      <c r="M90" s="39" t="n">
        <f aca="false">MIN(N('My Debts'!$E$7),C90)</f>
        <v>0</v>
      </c>
      <c r="N90" s="39" t="n">
        <f aca="false">MIN(N('My Debts'!$E$8),D90)</f>
        <v>0</v>
      </c>
      <c r="O90" s="39" t="n">
        <f aca="false">MIN(N('My Debts'!$E$9),E90)</f>
        <v>0</v>
      </c>
      <c r="P90" s="39" t="n">
        <f aca="false">MIN(N('My Debts'!$E$10),F90)</f>
        <v>0</v>
      </c>
      <c r="Q90" s="39" t="n">
        <f aca="false">MIN(N('My Debts'!$E$11),G90)</f>
        <v>0</v>
      </c>
      <c r="R90" s="39" t="n">
        <f aca="false">MIN(N('My Debts'!$E$12),H90)</f>
        <v>0</v>
      </c>
      <c r="S90" s="39" t="n">
        <f aca="false">MIN(N('My Debts'!$E$13),I90)</f>
        <v>0</v>
      </c>
      <c r="T90" s="39" t="n">
        <f aca="false">MIN(N('My Debts'!$E$14),J90)</f>
        <v>0</v>
      </c>
      <c r="U90" s="39" t="n">
        <f aca="false">MIN(N('My Debts'!$E$15),K90)</f>
        <v>0</v>
      </c>
      <c r="V90" s="39" t="n">
        <f aca="false">ROUND(B90-L90-MIN(B90-L90,MAX(0,$AF90-SUMPRODUCT(--($B$4:$K$4&lt;B$4),$B90:$K90-$L90:$U90))),2)</f>
        <v>0</v>
      </c>
      <c r="W90" s="39" t="n">
        <f aca="false">ROUND(C90-M90-MIN(C90-M90,MAX(0,$AF90-SUMPRODUCT(--($B$4:$K$4&lt;C$4),$B90:$K90-$L90:$U90))),2)</f>
        <v>0</v>
      </c>
      <c r="X90" s="39" t="n">
        <f aca="false">ROUND(D90-N90-MIN(D90-N90,MAX(0,$AF90-SUMPRODUCT(--($B$4:$K$4&lt;D$4),$B90:$K90-$L90:$U90))),2)</f>
        <v>0</v>
      </c>
      <c r="Y90" s="39" t="n">
        <f aca="false">ROUND(E90-O90-MIN(E90-O90,MAX(0,$AF90-SUMPRODUCT(--($B$4:$K$4&lt;E$4),$B90:$K90-$L90:$U90))),2)</f>
        <v>0</v>
      </c>
      <c r="Z90" s="39" t="n">
        <f aca="false">ROUND(F90-P90-MIN(F90-P90,MAX(0,$AF90-SUMPRODUCT(--($B$4:$K$4&lt;F$4),$B90:$K90-$L90:$U90))),2)</f>
        <v>0</v>
      </c>
      <c r="AA90" s="39" t="n">
        <f aca="false">ROUND(G90-Q90-MIN(G90-Q90,MAX(0,$AF90-SUMPRODUCT(--($B$4:$K$4&lt;G$4),$B90:$K90-$L90:$U90))),2)</f>
        <v>0</v>
      </c>
      <c r="AB90" s="39" t="n">
        <f aca="false">ROUND(H90-R90-MIN(H90-R90,MAX(0,$AF90-SUMPRODUCT(--($B$4:$K$4&lt;H$4),$B90:$K90-$L90:$U90))),2)</f>
        <v>0</v>
      </c>
      <c r="AC90" s="39" t="n">
        <f aca="false">ROUND(I90-S90-MIN(I90-S90,MAX(0,$AF90-SUMPRODUCT(--($B$4:$K$4&lt;I$4),$B90:$K90-$L90:$U90))),2)</f>
        <v>0</v>
      </c>
      <c r="AD90" s="39" t="n">
        <f aca="false">ROUND(J90-T90-MIN(J90-T90,MAX(0,$AF90-SUMPRODUCT(--($B$4:$K$4&lt;J$4),$B90:$K90-$L90:$U90))),2)</f>
        <v>0</v>
      </c>
      <c r="AE90" s="39" t="n">
        <f aca="false">ROUND(K90-U90-MIN(K90-U90,MAX(0,$AF90-SUMPRODUCT(--($B$4:$K$4&lt;K$4),$B90:$K90-$L90:$U90))),2)</f>
        <v>0</v>
      </c>
      <c r="AF90" s="39" t="n">
        <f aca="false">MAX(0,'Start Here'!$C$5-SUM($L90:$U90))</f>
        <v>1200</v>
      </c>
      <c r="AG90" s="39" t="n">
        <f aca="false">SUM(V90:AE90)</f>
        <v>0</v>
      </c>
      <c r="AH90" s="39" t="n">
        <f aca="false">SUM(B90:K90)-AG89</f>
        <v>0</v>
      </c>
    </row>
    <row r="91" customFormat="false" ht="15" hidden="false" customHeight="false" outlineLevel="0" collapsed="false">
      <c r="A91" s="40" t="n">
        <f aca="false">DATE(YEAR('Start Here'!$C$6),MONTH('Start Here'!$C$6)+84,1)</f>
        <v>48853</v>
      </c>
      <c r="B91" s="39" t="n">
        <f aca="false">ROUND(V90*(1+N('My Debts'!$D$6)/12),2)</f>
        <v>0</v>
      </c>
      <c r="C91" s="39" t="n">
        <f aca="false">ROUND(W90*(1+N('My Debts'!$D$7)/12),2)</f>
        <v>0</v>
      </c>
      <c r="D91" s="39" t="n">
        <f aca="false">ROUND(X90*(1+N('My Debts'!$D$8)/12),2)</f>
        <v>0</v>
      </c>
      <c r="E91" s="39" t="n">
        <f aca="false">ROUND(Y90*(1+N('My Debts'!$D$9)/12),2)</f>
        <v>0</v>
      </c>
      <c r="F91" s="39" t="n">
        <f aca="false">ROUND(Z90*(1+N('My Debts'!$D$10)/12),2)</f>
        <v>0</v>
      </c>
      <c r="G91" s="39" t="n">
        <f aca="false">ROUND(AA90*(1+N('My Debts'!$D$11)/12),2)</f>
        <v>0</v>
      </c>
      <c r="H91" s="39" t="n">
        <f aca="false">ROUND(AB90*(1+N('My Debts'!$D$12)/12),2)</f>
        <v>0</v>
      </c>
      <c r="I91" s="39" t="n">
        <f aca="false">ROUND(AC90*(1+N('My Debts'!$D$13)/12),2)</f>
        <v>0</v>
      </c>
      <c r="J91" s="39" t="n">
        <f aca="false">ROUND(AD90*(1+N('My Debts'!$D$14)/12),2)</f>
        <v>0</v>
      </c>
      <c r="K91" s="39" t="n">
        <f aca="false">ROUND(AE90*(1+N('My Debts'!$D$15)/12),2)</f>
        <v>0</v>
      </c>
      <c r="L91" s="39" t="n">
        <f aca="false">MIN(N('My Debts'!$E$6),B91)</f>
        <v>0</v>
      </c>
      <c r="M91" s="39" t="n">
        <f aca="false">MIN(N('My Debts'!$E$7),C91)</f>
        <v>0</v>
      </c>
      <c r="N91" s="39" t="n">
        <f aca="false">MIN(N('My Debts'!$E$8),D91)</f>
        <v>0</v>
      </c>
      <c r="O91" s="39" t="n">
        <f aca="false">MIN(N('My Debts'!$E$9),E91)</f>
        <v>0</v>
      </c>
      <c r="P91" s="39" t="n">
        <f aca="false">MIN(N('My Debts'!$E$10),F91)</f>
        <v>0</v>
      </c>
      <c r="Q91" s="39" t="n">
        <f aca="false">MIN(N('My Debts'!$E$11),G91)</f>
        <v>0</v>
      </c>
      <c r="R91" s="39" t="n">
        <f aca="false">MIN(N('My Debts'!$E$12),H91)</f>
        <v>0</v>
      </c>
      <c r="S91" s="39" t="n">
        <f aca="false">MIN(N('My Debts'!$E$13),I91)</f>
        <v>0</v>
      </c>
      <c r="T91" s="39" t="n">
        <f aca="false">MIN(N('My Debts'!$E$14),J91)</f>
        <v>0</v>
      </c>
      <c r="U91" s="39" t="n">
        <f aca="false">MIN(N('My Debts'!$E$15),K91)</f>
        <v>0</v>
      </c>
      <c r="V91" s="39" t="n">
        <f aca="false">ROUND(B91-L91-MIN(B91-L91,MAX(0,$AF91-SUMPRODUCT(--($B$4:$K$4&lt;B$4),$B91:$K91-$L91:$U91))),2)</f>
        <v>0</v>
      </c>
      <c r="W91" s="39" t="n">
        <f aca="false">ROUND(C91-M91-MIN(C91-M91,MAX(0,$AF91-SUMPRODUCT(--($B$4:$K$4&lt;C$4),$B91:$K91-$L91:$U91))),2)</f>
        <v>0</v>
      </c>
      <c r="X91" s="39" t="n">
        <f aca="false">ROUND(D91-N91-MIN(D91-N91,MAX(0,$AF91-SUMPRODUCT(--($B$4:$K$4&lt;D$4),$B91:$K91-$L91:$U91))),2)</f>
        <v>0</v>
      </c>
      <c r="Y91" s="39" t="n">
        <f aca="false">ROUND(E91-O91-MIN(E91-O91,MAX(0,$AF91-SUMPRODUCT(--($B$4:$K$4&lt;E$4),$B91:$K91-$L91:$U91))),2)</f>
        <v>0</v>
      </c>
      <c r="Z91" s="39" t="n">
        <f aca="false">ROUND(F91-P91-MIN(F91-P91,MAX(0,$AF91-SUMPRODUCT(--($B$4:$K$4&lt;F$4),$B91:$K91-$L91:$U91))),2)</f>
        <v>0</v>
      </c>
      <c r="AA91" s="39" t="n">
        <f aca="false">ROUND(G91-Q91-MIN(G91-Q91,MAX(0,$AF91-SUMPRODUCT(--($B$4:$K$4&lt;G$4),$B91:$K91-$L91:$U91))),2)</f>
        <v>0</v>
      </c>
      <c r="AB91" s="39" t="n">
        <f aca="false">ROUND(H91-R91-MIN(H91-R91,MAX(0,$AF91-SUMPRODUCT(--($B$4:$K$4&lt;H$4),$B91:$K91-$L91:$U91))),2)</f>
        <v>0</v>
      </c>
      <c r="AC91" s="39" t="n">
        <f aca="false">ROUND(I91-S91-MIN(I91-S91,MAX(0,$AF91-SUMPRODUCT(--($B$4:$K$4&lt;I$4),$B91:$K91-$L91:$U91))),2)</f>
        <v>0</v>
      </c>
      <c r="AD91" s="39" t="n">
        <f aca="false">ROUND(J91-T91-MIN(J91-T91,MAX(0,$AF91-SUMPRODUCT(--($B$4:$K$4&lt;J$4),$B91:$K91-$L91:$U91))),2)</f>
        <v>0</v>
      </c>
      <c r="AE91" s="39" t="n">
        <f aca="false">ROUND(K91-U91-MIN(K91-U91,MAX(0,$AF91-SUMPRODUCT(--($B$4:$K$4&lt;K$4),$B91:$K91-$L91:$U91))),2)</f>
        <v>0</v>
      </c>
      <c r="AF91" s="39" t="n">
        <f aca="false">MAX(0,'Start Here'!$C$5-SUM($L91:$U91))</f>
        <v>1200</v>
      </c>
      <c r="AG91" s="39" t="n">
        <f aca="false">SUM(V91:AE91)</f>
        <v>0</v>
      </c>
      <c r="AH91" s="39" t="n">
        <f aca="false">SUM(B91:K91)-AG90</f>
        <v>0</v>
      </c>
    </row>
    <row r="92" customFormat="false" ht="15" hidden="false" customHeight="false" outlineLevel="0" collapsed="false">
      <c r="A92" s="40" t="n">
        <f aca="false">DATE(YEAR('Start Here'!$C$6),MONTH('Start Here'!$C$6)+85,1)</f>
        <v>48884</v>
      </c>
      <c r="B92" s="39" t="n">
        <f aca="false">ROUND(V91*(1+N('My Debts'!$D$6)/12),2)</f>
        <v>0</v>
      </c>
      <c r="C92" s="39" t="n">
        <f aca="false">ROUND(W91*(1+N('My Debts'!$D$7)/12),2)</f>
        <v>0</v>
      </c>
      <c r="D92" s="39" t="n">
        <f aca="false">ROUND(X91*(1+N('My Debts'!$D$8)/12),2)</f>
        <v>0</v>
      </c>
      <c r="E92" s="39" t="n">
        <f aca="false">ROUND(Y91*(1+N('My Debts'!$D$9)/12),2)</f>
        <v>0</v>
      </c>
      <c r="F92" s="39" t="n">
        <f aca="false">ROUND(Z91*(1+N('My Debts'!$D$10)/12),2)</f>
        <v>0</v>
      </c>
      <c r="G92" s="39" t="n">
        <f aca="false">ROUND(AA91*(1+N('My Debts'!$D$11)/12),2)</f>
        <v>0</v>
      </c>
      <c r="H92" s="39" t="n">
        <f aca="false">ROUND(AB91*(1+N('My Debts'!$D$12)/12),2)</f>
        <v>0</v>
      </c>
      <c r="I92" s="39" t="n">
        <f aca="false">ROUND(AC91*(1+N('My Debts'!$D$13)/12),2)</f>
        <v>0</v>
      </c>
      <c r="J92" s="39" t="n">
        <f aca="false">ROUND(AD91*(1+N('My Debts'!$D$14)/12),2)</f>
        <v>0</v>
      </c>
      <c r="K92" s="39" t="n">
        <f aca="false">ROUND(AE91*(1+N('My Debts'!$D$15)/12),2)</f>
        <v>0</v>
      </c>
      <c r="L92" s="39" t="n">
        <f aca="false">MIN(N('My Debts'!$E$6),B92)</f>
        <v>0</v>
      </c>
      <c r="M92" s="39" t="n">
        <f aca="false">MIN(N('My Debts'!$E$7),C92)</f>
        <v>0</v>
      </c>
      <c r="N92" s="39" t="n">
        <f aca="false">MIN(N('My Debts'!$E$8),D92)</f>
        <v>0</v>
      </c>
      <c r="O92" s="39" t="n">
        <f aca="false">MIN(N('My Debts'!$E$9),E92)</f>
        <v>0</v>
      </c>
      <c r="P92" s="39" t="n">
        <f aca="false">MIN(N('My Debts'!$E$10),F92)</f>
        <v>0</v>
      </c>
      <c r="Q92" s="39" t="n">
        <f aca="false">MIN(N('My Debts'!$E$11),G92)</f>
        <v>0</v>
      </c>
      <c r="R92" s="39" t="n">
        <f aca="false">MIN(N('My Debts'!$E$12),H92)</f>
        <v>0</v>
      </c>
      <c r="S92" s="39" t="n">
        <f aca="false">MIN(N('My Debts'!$E$13),I92)</f>
        <v>0</v>
      </c>
      <c r="T92" s="39" t="n">
        <f aca="false">MIN(N('My Debts'!$E$14),J92)</f>
        <v>0</v>
      </c>
      <c r="U92" s="39" t="n">
        <f aca="false">MIN(N('My Debts'!$E$15),K92)</f>
        <v>0</v>
      </c>
      <c r="V92" s="39" t="n">
        <f aca="false">ROUND(B92-L92-MIN(B92-L92,MAX(0,$AF92-SUMPRODUCT(--($B$4:$K$4&lt;B$4),$B92:$K92-$L92:$U92))),2)</f>
        <v>0</v>
      </c>
      <c r="W92" s="39" t="n">
        <f aca="false">ROUND(C92-M92-MIN(C92-M92,MAX(0,$AF92-SUMPRODUCT(--($B$4:$K$4&lt;C$4),$B92:$K92-$L92:$U92))),2)</f>
        <v>0</v>
      </c>
      <c r="X92" s="39" t="n">
        <f aca="false">ROUND(D92-N92-MIN(D92-N92,MAX(0,$AF92-SUMPRODUCT(--($B$4:$K$4&lt;D$4),$B92:$K92-$L92:$U92))),2)</f>
        <v>0</v>
      </c>
      <c r="Y92" s="39" t="n">
        <f aca="false">ROUND(E92-O92-MIN(E92-O92,MAX(0,$AF92-SUMPRODUCT(--($B$4:$K$4&lt;E$4),$B92:$K92-$L92:$U92))),2)</f>
        <v>0</v>
      </c>
      <c r="Z92" s="39" t="n">
        <f aca="false">ROUND(F92-P92-MIN(F92-P92,MAX(0,$AF92-SUMPRODUCT(--($B$4:$K$4&lt;F$4),$B92:$K92-$L92:$U92))),2)</f>
        <v>0</v>
      </c>
      <c r="AA92" s="39" t="n">
        <f aca="false">ROUND(G92-Q92-MIN(G92-Q92,MAX(0,$AF92-SUMPRODUCT(--($B$4:$K$4&lt;G$4),$B92:$K92-$L92:$U92))),2)</f>
        <v>0</v>
      </c>
      <c r="AB92" s="39" t="n">
        <f aca="false">ROUND(H92-R92-MIN(H92-R92,MAX(0,$AF92-SUMPRODUCT(--($B$4:$K$4&lt;H$4),$B92:$K92-$L92:$U92))),2)</f>
        <v>0</v>
      </c>
      <c r="AC92" s="39" t="n">
        <f aca="false">ROUND(I92-S92-MIN(I92-S92,MAX(0,$AF92-SUMPRODUCT(--($B$4:$K$4&lt;I$4),$B92:$K92-$L92:$U92))),2)</f>
        <v>0</v>
      </c>
      <c r="AD92" s="39" t="n">
        <f aca="false">ROUND(J92-T92-MIN(J92-T92,MAX(0,$AF92-SUMPRODUCT(--($B$4:$K$4&lt;J$4),$B92:$K92-$L92:$U92))),2)</f>
        <v>0</v>
      </c>
      <c r="AE92" s="39" t="n">
        <f aca="false">ROUND(K92-U92-MIN(K92-U92,MAX(0,$AF92-SUMPRODUCT(--($B$4:$K$4&lt;K$4),$B92:$K92-$L92:$U92))),2)</f>
        <v>0</v>
      </c>
      <c r="AF92" s="39" t="n">
        <f aca="false">MAX(0,'Start Here'!$C$5-SUM($L92:$U92))</f>
        <v>1200</v>
      </c>
      <c r="AG92" s="39" t="n">
        <f aca="false">SUM(V92:AE92)</f>
        <v>0</v>
      </c>
      <c r="AH92" s="39" t="n">
        <f aca="false">SUM(B92:K92)-AG91</f>
        <v>0</v>
      </c>
    </row>
    <row r="93" customFormat="false" ht="15" hidden="false" customHeight="false" outlineLevel="0" collapsed="false">
      <c r="A93" s="40" t="n">
        <f aca="false">DATE(YEAR('Start Here'!$C$6),MONTH('Start Here'!$C$6)+86,1)</f>
        <v>48914</v>
      </c>
      <c r="B93" s="39" t="n">
        <f aca="false">ROUND(V92*(1+N('My Debts'!$D$6)/12),2)</f>
        <v>0</v>
      </c>
      <c r="C93" s="39" t="n">
        <f aca="false">ROUND(W92*(1+N('My Debts'!$D$7)/12),2)</f>
        <v>0</v>
      </c>
      <c r="D93" s="39" t="n">
        <f aca="false">ROUND(X92*(1+N('My Debts'!$D$8)/12),2)</f>
        <v>0</v>
      </c>
      <c r="E93" s="39" t="n">
        <f aca="false">ROUND(Y92*(1+N('My Debts'!$D$9)/12),2)</f>
        <v>0</v>
      </c>
      <c r="F93" s="39" t="n">
        <f aca="false">ROUND(Z92*(1+N('My Debts'!$D$10)/12),2)</f>
        <v>0</v>
      </c>
      <c r="G93" s="39" t="n">
        <f aca="false">ROUND(AA92*(1+N('My Debts'!$D$11)/12),2)</f>
        <v>0</v>
      </c>
      <c r="H93" s="39" t="n">
        <f aca="false">ROUND(AB92*(1+N('My Debts'!$D$12)/12),2)</f>
        <v>0</v>
      </c>
      <c r="I93" s="39" t="n">
        <f aca="false">ROUND(AC92*(1+N('My Debts'!$D$13)/12),2)</f>
        <v>0</v>
      </c>
      <c r="J93" s="39" t="n">
        <f aca="false">ROUND(AD92*(1+N('My Debts'!$D$14)/12),2)</f>
        <v>0</v>
      </c>
      <c r="K93" s="39" t="n">
        <f aca="false">ROUND(AE92*(1+N('My Debts'!$D$15)/12),2)</f>
        <v>0</v>
      </c>
      <c r="L93" s="39" t="n">
        <f aca="false">MIN(N('My Debts'!$E$6),B93)</f>
        <v>0</v>
      </c>
      <c r="M93" s="39" t="n">
        <f aca="false">MIN(N('My Debts'!$E$7),C93)</f>
        <v>0</v>
      </c>
      <c r="N93" s="39" t="n">
        <f aca="false">MIN(N('My Debts'!$E$8),D93)</f>
        <v>0</v>
      </c>
      <c r="O93" s="39" t="n">
        <f aca="false">MIN(N('My Debts'!$E$9),E93)</f>
        <v>0</v>
      </c>
      <c r="P93" s="39" t="n">
        <f aca="false">MIN(N('My Debts'!$E$10),F93)</f>
        <v>0</v>
      </c>
      <c r="Q93" s="39" t="n">
        <f aca="false">MIN(N('My Debts'!$E$11),G93)</f>
        <v>0</v>
      </c>
      <c r="R93" s="39" t="n">
        <f aca="false">MIN(N('My Debts'!$E$12),H93)</f>
        <v>0</v>
      </c>
      <c r="S93" s="39" t="n">
        <f aca="false">MIN(N('My Debts'!$E$13),I93)</f>
        <v>0</v>
      </c>
      <c r="T93" s="39" t="n">
        <f aca="false">MIN(N('My Debts'!$E$14),J93)</f>
        <v>0</v>
      </c>
      <c r="U93" s="39" t="n">
        <f aca="false">MIN(N('My Debts'!$E$15),K93)</f>
        <v>0</v>
      </c>
      <c r="V93" s="39" t="n">
        <f aca="false">ROUND(B93-L93-MIN(B93-L93,MAX(0,$AF93-SUMPRODUCT(--($B$4:$K$4&lt;B$4),$B93:$K93-$L93:$U93))),2)</f>
        <v>0</v>
      </c>
      <c r="W93" s="39" t="n">
        <f aca="false">ROUND(C93-M93-MIN(C93-M93,MAX(0,$AF93-SUMPRODUCT(--($B$4:$K$4&lt;C$4),$B93:$K93-$L93:$U93))),2)</f>
        <v>0</v>
      </c>
      <c r="X93" s="39" t="n">
        <f aca="false">ROUND(D93-N93-MIN(D93-N93,MAX(0,$AF93-SUMPRODUCT(--($B$4:$K$4&lt;D$4),$B93:$K93-$L93:$U93))),2)</f>
        <v>0</v>
      </c>
      <c r="Y93" s="39" t="n">
        <f aca="false">ROUND(E93-O93-MIN(E93-O93,MAX(0,$AF93-SUMPRODUCT(--($B$4:$K$4&lt;E$4),$B93:$K93-$L93:$U93))),2)</f>
        <v>0</v>
      </c>
      <c r="Z93" s="39" t="n">
        <f aca="false">ROUND(F93-P93-MIN(F93-P93,MAX(0,$AF93-SUMPRODUCT(--($B$4:$K$4&lt;F$4),$B93:$K93-$L93:$U93))),2)</f>
        <v>0</v>
      </c>
      <c r="AA93" s="39" t="n">
        <f aca="false">ROUND(G93-Q93-MIN(G93-Q93,MAX(0,$AF93-SUMPRODUCT(--($B$4:$K$4&lt;G$4),$B93:$K93-$L93:$U93))),2)</f>
        <v>0</v>
      </c>
      <c r="AB93" s="39" t="n">
        <f aca="false">ROUND(H93-R93-MIN(H93-R93,MAX(0,$AF93-SUMPRODUCT(--($B$4:$K$4&lt;H$4),$B93:$K93-$L93:$U93))),2)</f>
        <v>0</v>
      </c>
      <c r="AC93" s="39" t="n">
        <f aca="false">ROUND(I93-S93-MIN(I93-S93,MAX(0,$AF93-SUMPRODUCT(--($B$4:$K$4&lt;I$4),$B93:$K93-$L93:$U93))),2)</f>
        <v>0</v>
      </c>
      <c r="AD93" s="39" t="n">
        <f aca="false">ROUND(J93-T93-MIN(J93-T93,MAX(0,$AF93-SUMPRODUCT(--($B$4:$K$4&lt;J$4),$B93:$K93-$L93:$U93))),2)</f>
        <v>0</v>
      </c>
      <c r="AE93" s="39" t="n">
        <f aca="false">ROUND(K93-U93-MIN(K93-U93,MAX(0,$AF93-SUMPRODUCT(--($B$4:$K$4&lt;K$4),$B93:$K93-$L93:$U93))),2)</f>
        <v>0</v>
      </c>
      <c r="AF93" s="39" t="n">
        <f aca="false">MAX(0,'Start Here'!$C$5-SUM($L93:$U93))</f>
        <v>1200</v>
      </c>
      <c r="AG93" s="39" t="n">
        <f aca="false">SUM(V93:AE93)</f>
        <v>0</v>
      </c>
      <c r="AH93" s="39" t="n">
        <f aca="false">SUM(B93:K93)-AG92</f>
        <v>0</v>
      </c>
    </row>
    <row r="94" customFormat="false" ht="15" hidden="false" customHeight="false" outlineLevel="0" collapsed="false">
      <c r="A94" s="40" t="n">
        <f aca="false">DATE(YEAR('Start Here'!$C$6),MONTH('Start Here'!$C$6)+87,1)</f>
        <v>48945</v>
      </c>
      <c r="B94" s="39" t="n">
        <f aca="false">ROUND(V93*(1+N('My Debts'!$D$6)/12),2)</f>
        <v>0</v>
      </c>
      <c r="C94" s="39" t="n">
        <f aca="false">ROUND(W93*(1+N('My Debts'!$D$7)/12),2)</f>
        <v>0</v>
      </c>
      <c r="D94" s="39" t="n">
        <f aca="false">ROUND(X93*(1+N('My Debts'!$D$8)/12),2)</f>
        <v>0</v>
      </c>
      <c r="E94" s="39" t="n">
        <f aca="false">ROUND(Y93*(1+N('My Debts'!$D$9)/12),2)</f>
        <v>0</v>
      </c>
      <c r="F94" s="39" t="n">
        <f aca="false">ROUND(Z93*(1+N('My Debts'!$D$10)/12),2)</f>
        <v>0</v>
      </c>
      <c r="G94" s="39" t="n">
        <f aca="false">ROUND(AA93*(1+N('My Debts'!$D$11)/12),2)</f>
        <v>0</v>
      </c>
      <c r="H94" s="39" t="n">
        <f aca="false">ROUND(AB93*(1+N('My Debts'!$D$12)/12),2)</f>
        <v>0</v>
      </c>
      <c r="I94" s="39" t="n">
        <f aca="false">ROUND(AC93*(1+N('My Debts'!$D$13)/12),2)</f>
        <v>0</v>
      </c>
      <c r="J94" s="39" t="n">
        <f aca="false">ROUND(AD93*(1+N('My Debts'!$D$14)/12),2)</f>
        <v>0</v>
      </c>
      <c r="K94" s="39" t="n">
        <f aca="false">ROUND(AE93*(1+N('My Debts'!$D$15)/12),2)</f>
        <v>0</v>
      </c>
      <c r="L94" s="39" t="n">
        <f aca="false">MIN(N('My Debts'!$E$6),B94)</f>
        <v>0</v>
      </c>
      <c r="M94" s="39" t="n">
        <f aca="false">MIN(N('My Debts'!$E$7),C94)</f>
        <v>0</v>
      </c>
      <c r="N94" s="39" t="n">
        <f aca="false">MIN(N('My Debts'!$E$8),D94)</f>
        <v>0</v>
      </c>
      <c r="O94" s="39" t="n">
        <f aca="false">MIN(N('My Debts'!$E$9),E94)</f>
        <v>0</v>
      </c>
      <c r="P94" s="39" t="n">
        <f aca="false">MIN(N('My Debts'!$E$10),F94)</f>
        <v>0</v>
      </c>
      <c r="Q94" s="39" t="n">
        <f aca="false">MIN(N('My Debts'!$E$11),G94)</f>
        <v>0</v>
      </c>
      <c r="R94" s="39" t="n">
        <f aca="false">MIN(N('My Debts'!$E$12),H94)</f>
        <v>0</v>
      </c>
      <c r="S94" s="39" t="n">
        <f aca="false">MIN(N('My Debts'!$E$13),I94)</f>
        <v>0</v>
      </c>
      <c r="T94" s="39" t="n">
        <f aca="false">MIN(N('My Debts'!$E$14),J94)</f>
        <v>0</v>
      </c>
      <c r="U94" s="39" t="n">
        <f aca="false">MIN(N('My Debts'!$E$15),K94)</f>
        <v>0</v>
      </c>
      <c r="V94" s="39" t="n">
        <f aca="false">ROUND(B94-L94-MIN(B94-L94,MAX(0,$AF94-SUMPRODUCT(--($B$4:$K$4&lt;B$4),$B94:$K94-$L94:$U94))),2)</f>
        <v>0</v>
      </c>
      <c r="W94" s="39" t="n">
        <f aca="false">ROUND(C94-M94-MIN(C94-M94,MAX(0,$AF94-SUMPRODUCT(--($B$4:$K$4&lt;C$4),$B94:$K94-$L94:$U94))),2)</f>
        <v>0</v>
      </c>
      <c r="X94" s="39" t="n">
        <f aca="false">ROUND(D94-N94-MIN(D94-N94,MAX(0,$AF94-SUMPRODUCT(--($B$4:$K$4&lt;D$4),$B94:$K94-$L94:$U94))),2)</f>
        <v>0</v>
      </c>
      <c r="Y94" s="39" t="n">
        <f aca="false">ROUND(E94-O94-MIN(E94-O94,MAX(0,$AF94-SUMPRODUCT(--($B$4:$K$4&lt;E$4),$B94:$K94-$L94:$U94))),2)</f>
        <v>0</v>
      </c>
      <c r="Z94" s="39" t="n">
        <f aca="false">ROUND(F94-P94-MIN(F94-P94,MAX(0,$AF94-SUMPRODUCT(--($B$4:$K$4&lt;F$4),$B94:$K94-$L94:$U94))),2)</f>
        <v>0</v>
      </c>
      <c r="AA94" s="39" t="n">
        <f aca="false">ROUND(G94-Q94-MIN(G94-Q94,MAX(0,$AF94-SUMPRODUCT(--($B$4:$K$4&lt;G$4),$B94:$K94-$L94:$U94))),2)</f>
        <v>0</v>
      </c>
      <c r="AB94" s="39" t="n">
        <f aca="false">ROUND(H94-R94-MIN(H94-R94,MAX(0,$AF94-SUMPRODUCT(--($B$4:$K$4&lt;H$4),$B94:$K94-$L94:$U94))),2)</f>
        <v>0</v>
      </c>
      <c r="AC94" s="39" t="n">
        <f aca="false">ROUND(I94-S94-MIN(I94-S94,MAX(0,$AF94-SUMPRODUCT(--($B$4:$K$4&lt;I$4),$B94:$K94-$L94:$U94))),2)</f>
        <v>0</v>
      </c>
      <c r="AD94" s="39" t="n">
        <f aca="false">ROUND(J94-T94-MIN(J94-T94,MAX(0,$AF94-SUMPRODUCT(--($B$4:$K$4&lt;J$4),$B94:$K94-$L94:$U94))),2)</f>
        <v>0</v>
      </c>
      <c r="AE94" s="39" t="n">
        <f aca="false">ROUND(K94-U94-MIN(K94-U94,MAX(0,$AF94-SUMPRODUCT(--($B$4:$K$4&lt;K$4),$B94:$K94-$L94:$U94))),2)</f>
        <v>0</v>
      </c>
      <c r="AF94" s="39" t="n">
        <f aca="false">MAX(0,'Start Here'!$C$5-SUM($L94:$U94))</f>
        <v>1200</v>
      </c>
      <c r="AG94" s="39" t="n">
        <f aca="false">SUM(V94:AE94)</f>
        <v>0</v>
      </c>
      <c r="AH94" s="39" t="n">
        <f aca="false">SUM(B94:K94)-AG93</f>
        <v>0</v>
      </c>
    </row>
    <row r="95" customFormat="false" ht="15" hidden="false" customHeight="false" outlineLevel="0" collapsed="false">
      <c r="A95" s="40" t="n">
        <f aca="false">DATE(YEAR('Start Here'!$C$6),MONTH('Start Here'!$C$6)+88,1)</f>
        <v>48976</v>
      </c>
      <c r="B95" s="39" t="n">
        <f aca="false">ROUND(V94*(1+N('My Debts'!$D$6)/12),2)</f>
        <v>0</v>
      </c>
      <c r="C95" s="39" t="n">
        <f aca="false">ROUND(W94*(1+N('My Debts'!$D$7)/12),2)</f>
        <v>0</v>
      </c>
      <c r="D95" s="39" t="n">
        <f aca="false">ROUND(X94*(1+N('My Debts'!$D$8)/12),2)</f>
        <v>0</v>
      </c>
      <c r="E95" s="39" t="n">
        <f aca="false">ROUND(Y94*(1+N('My Debts'!$D$9)/12),2)</f>
        <v>0</v>
      </c>
      <c r="F95" s="39" t="n">
        <f aca="false">ROUND(Z94*(1+N('My Debts'!$D$10)/12),2)</f>
        <v>0</v>
      </c>
      <c r="G95" s="39" t="n">
        <f aca="false">ROUND(AA94*(1+N('My Debts'!$D$11)/12),2)</f>
        <v>0</v>
      </c>
      <c r="H95" s="39" t="n">
        <f aca="false">ROUND(AB94*(1+N('My Debts'!$D$12)/12),2)</f>
        <v>0</v>
      </c>
      <c r="I95" s="39" t="n">
        <f aca="false">ROUND(AC94*(1+N('My Debts'!$D$13)/12),2)</f>
        <v>0</v>
      </c>
      <c r="J95" s="39" t="n">
        <f aca="false">ROUND(AD94*(1+N('My Debts'!$D$14)/12),2)</f>
        <v>0</v>
      </c>
      <c r="K95" s="39" t="n">
        <f aca="false">ROUND(AE94*(1+N('My Debts'!$D$15)/12),2)</f>
        <v>0</v>
      </c>
      <c r="L95" s="39" t="n">
        <f aca="false">MIN(N('My Debts'!$E$6),B95)</f>
        <v>0</v>
      </c>
      <c r="M95" s="39" t="n">
        <f aca="false">MIN(N('My Debts'!$E$7),C95)</f>
        <v>0</v>
      </c>
      <c r="N95" s="39" t="n">
        <f aca="false">MIN(N('My Debts'!$E$8),D95)</f>
        <v>0</v>
      </c>
      <c r="O95" s="39" t="n">
        <f aca="false">MIN(N('My Debts'!$E$9),E95)</f>
        <v>0</v>
      </c>
      <c r="P95" s="39" t="n">
        <f aca="false">MIN(N('My Debts'!$E$10),F95)</f>
        <v>0</v>
      </c>
      <c r="Q95" s="39" t="n">
        <f aca="false">MIN(N('My Debts'!$E$11),G95)</f>
        <v>0</v>
      </c>
      <c r="R95" s="39" t="n">
        <f aca="false">MIN(N('My Debts'!$E$12),H95)</f>
        <v>0</v>
      </c>
      <c r="S95" s="39" t="n">
        <f aca="false">MIN(N('My Debts'!$E$13),I95)</f>
        <v>0</v>
      </c>
      <c r="T95" s="39" t="n">
        <f aca="false">MIN(N('My Debts'!$E$14),J95)</f>
        <v>0</v>
      </c>
      <c r="U95" s="39" t="n">
        <f aca="false">MIN(N('My Debts'!$E$15),K95)</f>
        <v>0</v>
      </c>
      <c r="V95" s="39" t="n">
        <f aca="false">ROUND(B95-L95-MIN(B95-L95,MAX(0,$AF95-SUMPRODUCT(--($B$4:$K$4&lt;B$4),$B95:$K95-$L95:$U95))),2)</f>
        <v>0</v>
      </c>
      <c r="W95" s="39" t="n">
        <f aca="false">ROUND(C95-M95-MIN(C95-M95,MAX(0,$AF95-SUMPRODUCT(--($B$4:$K$4&lt;C$4),$B95:$K95-$L95:$U95))),2)</f>
        <v>0</v>
      </c>
      <c r="X95" s="39" t="n">
        <f aca="false">ROUND(D95-N95-MIN(D95-N95,MAX(0,$AF95-SUMPRODUCT(--($B$4:$K$4&lt;D$4),$B95:$K95-$L95:$U95))),2)</f>
        <v>0</v>
      </c>
      <c r="Y95" s="39" t="n">
        <f aca="false">ROUND(E95-O95-MIN(E95-O95,MAX(0,$AF95-SUMPRODUCT(--($B$4:$K$4&lt;E$4),$B95:$K95-$L95:$U95))),2)</f>
        <v>0</v>
      </c>
      <c r="Z95" s="39" t="n">
        <f aca="false">ROUND(F95-P95-MIN(F95-P95,MAX(0,$AF95-SUMPRODUCT(--($B$4:$K$4&lt;F$4),$B95:$K95-$L95:$U95))),2)</f>
        <v>0</v>
      </c>
      <c r="AA95" s="39" t="n">
        <f aca="false">ROUND(G95-Q95-MIN(G95-Q95,MAX(0,$AF95-SUMPRODUCT(--($B$4:$K$4&lt;G$4),$B95:$K95-$L95:$U95))),2)</f>
        <v>0</v>
      </c>
      <c r="AB95" s="39" t="n">
        <f aca="false">ROUND(H95-R95-MIN(H95-R95,MAX(0,$AF95-SUMPRODUCT(--($B$4:$K$4&lt;H$4),$B95:$K95-$L95:$U95))),2)</f>
        <v>0</v>
      </c>
      <c r="AC95" s="39" t="n">
        <f aca="false">ROUND(I95-S95-MIN(I95-S95,MAX(0,$AF95-SUMPRODUCT(--($B$4:$K$4&lt;I$4),$B95:$K95-$L95:$U95))),2)</f>
        <v>0</v>
      </c>
      <c r="AD95" s="39" t="n">
        <f aca="false">ROUND(J95-T95-MIN(J95-T95,MAX(0,$AF95-SUMPRODUCT(--($B$4:$K$4&lt;J$4),$B95:$K95-$L95:$U95))),2)</f>
        <v>0</v>
      </c>
      <c r="AE95" s="39" t="n">
        <f aca="false">ROUND(K95-U95-MIN(K95-U95,MAX(0,$AF95-SUMPRODUCT(--($B$4:$K$4&lt;K$4),$B95:$K95-$L95:$U95))),2)</f>
        <v>0</v>
      </c>
      <c r="AF95" s="39" t="n">
        <f aca="false">MAX(0,'Start Here'!$C$5-SUM($L95:$U95))</f>
        <v>1200</v>
      </c>
      <c r="AG95" s="39" t="n">
        <f aca="false">SUM(V95:AE95)</f>
        <v>0</v>
      </c>
      <c r="AH95" s="39" t="n">
        <f aca="false">SUM(B95:K95)-AG94</f>
        <v>0</v>
      </c>
    </row>
    <row r="96" customFormat="false" ht="15" hidden="false" customHeight="false" outlineLevel="0" collapsed="false">
      <c r="A96" s="40" t="n">
        <f aca="false">DATE(YEAR('Start Here'!$C$6),MONTH('Start Here'!$C$6)+89,1)</f>
        <v>49004</v>
      </c>
      <c r="B96" s="39" t="n">
        <f aca="false">ROUND(V95*(1+N('My Debts'!$D$6)/12),2)</f>
        <v>0</v>
      </c>
      <c r="C96" s="39" t="n">
        <f aca="false">ROUND(W95*(1+N('My Debts'!$D$7)/12),2)</f>
        <v>0</v>
      </c>
      <c r="D96" s="39" t="n">
        <f aca="false">ROUND(X95*(1+N('My Debts'!$D$8)/12),2)</f>
        <v>0</v>
      </c>
      <c r="E96" s="39" t="n">
        <f aca="false">ROUND(Y95*(1+N('My Debts'!$D$9)/12),2)</f>
        <v>0</v>
      </c>
      <c r="F96" s="39" t="n">
        <f aca="false">ROUND(Z95*(1+N('My Debts'!$D$10)/12),2)</f>
        <v>0</v>
      </c>
      <c r="G96" s="39" t="n">
        <f aca="false">ROUND(AA95*(1+N('My Debts'!$D$11)/12),2)</f>
        <v>0</v>
      </c>
      <c r="H96" s="39" t="n">
        <f aca="false">ROUND(AB95*(1+N('My Debts'!$D$12)/12),2)</f>
        <v>0</v>
      </c>
      <c r="I96" s="39" t="n">
        <f aca="false">ROUND(AC95*(1+N('My Debts'!$D$13)/12),2)</f>
        <v>0</v>
      </c>
      <c r="J96" s="39" t="n">
        <f aca="false">ROUND(AD95*(1+N('My Debts'!$D$14)/12),2)</f>
        <v>0</v>
      </c>
      <c r="K96" s="39" t="n">
        <f aca="false">ROUND(AE95*(1+N('My Debts'!$D$15)/12),2)</f>
        <v>0</v>
      </c>
      <c r="L96" s="39" t="n">
        <f aca="false">MIN(N('My Debts'!$E$6),B96)</f>
        <v>0</v>
      </c>
      <c r="M96" s="39" t="n">
        <f aca="false">MIN(N('My Debts'!$E$7),C96)</f>
        <v>0</v>
      </c>
      <c r="N96" s="39" t="n">
        <f aca="false">MIN(N('My Debts'!$E$8),D96)</f>
        <v>0</v>
      </c>
      <c r="O96" s="39" t="n">
        <f aca="false">MIN(N('My Debts'!$E$9),E96)</f>
        <v>0</v>
      </c>
      <c r="P96" s="39" t="n">
        <f aca="false">MIN(N('My Debts'!$E$10),F96)</f>
        <v>0</v>
      </c>
      <c r="Q96" s="39" t="n">
        <f aca="false">MIN(N('My Debts'!$E$11),G96)</f>
        <v>0</v>
      </c>
      <c r="R96" s="39" t="n">
        <f aca="false">MIN(N('My Debts'!$E$12),H96)</f>
        <v>0</v>
      </c>
      <c r="S96" s="39" t="n">
        <f aca="false">MIN(N('My Debts'!$E$13),I96)</f>
        <v>0</v>
      </c>
      <c r="T96" s="39" t="n">
        <f aca="false">MIN(N('My Debts'!$E$14),J96)</f>
        <v>0</v>
      </c>
      <c r="U96" s="39" t="n">
        <f aca="false">MIN(N('My Debts'!$E$15),K96)</f>
        <v>0</v>
      </c>
      <c r="V96" s="39" t="n">
        <f aca="false">ROUND(B96-L96-MIN(B96-L96,MAX(0,$AF96-SUMPRODUCT(--($B$4:$K$4&lt;B$4),$B96:$K96-$L96:$U96))),2)</f>
        <v>0</v>
      </c>
      <c r="W96" s="39" t="n">
        <f aca="false">ROUND(C96-M96-MIN(C96-M96,MAX(0,$AF96-SUMPRODUCT(--($B$4:$K$4&lt;C$4),$B96:$K96-$L96:$U96))),2)</f>
        <v>0</v>
      </c>
      <c r="X96" s="39" t="n">
        <f aca="false">ROUND(D96-N96-MIN(D96-N96,MAX(0,$AF96-SUMPRODUCT(--($B$4:$K$4&lt;D$4),$B96:$K96-$L96:$U96))),2)</f>
        <v>0</v>
      </c>
      <c r="Y96" s="39" t="n">
        <f aca="false">ROUND(E96-O96-MIN(E96-O96,MAX(0,$AF96-SUMPRODUCT(--($B$4:$K$4&lt;E$4),$B96:$K96-$L96:$U96))),2)</f>
        <v>0</v>
      </c>
      <c r="Z96" s="39" t="n">
        <f aca="false">ROUND(F96-P96-MIN(F96-P96,MAX(0,$AF96-SUMPRODUCT(--($B$4:$K$4&lt;F$4),$B96:$K96-$L96:$U96))),2)</f>
        <v>0</v>
      </c>
      <c r="AA96" s="39" t="n">
        <f aca="false">ROUND(G96-Q96-MIN(G96-Q96,MAX(0,$AF96-SUMPRODUCT(--($B$4:$K$4&lt;G$4),$B96:$K96-$L96:$U96))),2)</f>
        <v>0</v>
      </c>
      <c r="AB96" s="39" t="n">
        <f aca="false">ROUND(H96-R96-MIN(H96-R96,MAX(0,$AF96-SUMPRODUCT(--($B$4:$K$4&lt;H$4),$B96:$K96-$L96:$U96))),2)</f>
        <v>0</v>
      </c>
      <c r="AC96" s="39" t="n">
        <f aca="false">ROUND(I96-S96-MIN(I96-S96,MAX(0,$AF96-SUMPRODUCT(--($B$4:$K$4&lt;I$4),$B96:$K96-$L96:$U96))),2)</f>
        <v>0</v>
      </c>
      <c r="AD96" s="39" t="n">
        <f aca="false">ROUND(J96-T96-MIN(J96-T96,MAX(0,$AF96-SUMPRODUCT(--($B$4:$K$4&lt;J$4),$B96:$K96-$L96:$U96))),2)</f>
        <v>0</v>
      </c>
      <c r="AE96" s="39" t="n">
        <f aca="false">ROUND(K96-U96-MIN(K96-U96,MAX(0,$AF96-SUMPRODUCT(--($B$4:$K$4&lt;K$4),$B96:$K96-$L96:$U96))),2)</f>
        <v>0</v>
      </c>
      <c r="AF96" s="39" t="n">
        <f aca="false">MAX(0,'Start Here'!$C$5-SUM($L96:$U96))</f>
        <v>1200</v>
      </c>
      <c r="AG96" s="39" t="n">
        <f aca="false">SUM(V96:AE96)</f>
        <v>0</v>
      </c>
      <c r="AH96" s="39" t="n">
        <f aca="false">SUM(B96:K96)-AG95</f>
        <v>0</v>
      </c>
    </row>
    <row r="97" customFormat="false" ht="15" hidden="false" customHeight="false" outlineLevel="0" collapsed="false">
      <c r="A97" s="40" t="n">
        <f aca="false">DATE(YEAR('Start Here'!$C$6),MONTH('Start Here'!$C$6)+90,1)</f>
        <v>49035</v>
      </c>
      <c r="B97" s="39" t="n">
        <f aca="false">ROUND(V96*(1+N('My Debts'!$D$6)/12),2)</f>
        <v>0</v>
      </c>
      <c r="C97" s="39" t="n">
        <f aca="false">ROUND(W96*(1+N('My Debts'!$D$7)/12),2)</f>
        <v>0</v>
      </c>
      <c r="D97" s="39" t="n">
        <f aca="false">ROUND(X96*(1+N('My Debts'!$D$8)/12),2)</f>
        <v>0</v>
      </c>
      <c r="E97" s="39" t="n">
        <f aca="false">ROUND(Y96*(1+N('My Debts'!$D$9)/12),2)</f>
        <v>0</v>
      </c>
      <c r="F97" s="39" t="n">
        <f aca="false">ROUND(Z96*(1+N('My Debts'!$D$10)/12),2)</f>
        <v>0</v>
      </c>
      <c r="G97" s="39" t="n">
        <f aca="false">ROUND(AA96*(1+N('My Debts'!$D$11)/12),2)</f>
        <v>0</v>
      </c>
      <c r="H97" s="39" t="n">
        <f aca="false">ROUND(AB96*(1+N('My Debts'!$D$12)/12),2)</f>
        <v>0</v>
      </c>
      <c r="I97" s="39" t="n">
        <f aca="false">ROUND(AC96*(1+N('My Debts'!$D$13)/12),2)</f>
        <v>0</v>
      </c>
      <c r="J97" s="39" t="n">
        <f aca="false">ROUND(AD96*(1+N('My Debts'!$D$14)/12),2)</f>
        <v>0</v>
      </c>
      <c r="K97" s="39" t="n">
        <f aca="false">ROUND(AE96*(1+N('My Debts'!$D$15)/12),2)</f>
        <v>0</v>
      </c>
      <c r="L97" s="39" t="n">
        <f aca="false">MIN(N('My Debts'!$E$6),B97)</f>
        <v>0</v>
      </c>
      <c r="M97" s="39" t="n">
        <f aca="false">MIN(N('My Debts'!$E$7),C97)</f>
        <v>0</v>
      </c>
      <c r="N97" s="39" t="n">
        <f aca="false">MIN(N('My Debts'!$E$8),D97)</f>
        <v>0</v>
      </c>
      <c r="O97" s="39" t="n">
        <f aca="false">MIN(N('My Debts'!$E$9),E97)</f>
        <v>0</v>
      </c>
      <c r="P97" s="39" t="n">
        <f aca="false">MIN(N('My Debts'!$E$10),F97)</f>
        <v>0</v>
      </c>
      <c r="Q97" s="39" t="n">
        <f aca="false">MIN(N('My Debts'!$E$11),G97)</f>
        <v>0</v>
      </c>
      <c r="R97" s="39" t="n">
        <f aca="false">MIN(N('My Debts'!$E$12),H97)</f>
        <v>0</v>
      </c>
      <c r="S97" s="39" t="n">
        <f aca="false">MIN(N('My Debts'!$E$13),I97)</f>
        <v>0</v>
      </c>
      <c r="T97" s="39" t="n">
        <f aca="false">MIN(N('My Debts'!$E$14),J97)</f>
        <v>0</v>
      </c>
      <c r="U97" s="39" t="n">
        <f aca="false">MIN(N('My Debts'!$E$15),K97)</f>
        <v>0</v>
      </c>
      <c r="V97" s="39" t="n">
        <f aca="false">ROUND(B97-L97-MIN(B97-L97,MAX(0,$AF97-SUMPRODUCT(--($B$4:$K$4&lt;B$4),$B97:$K97-$L97:$U97))),2)</f>
        <v>0</v>
      </c>
      <c r="W97" s="39" t="n">
        <f aca="false">ROUND(C97-M97-MIN(C97-M97,MAX(0,$AF97-SUMPRODUCT(--($B$4:$K$4&lt;C$4),$B97:$K97-$L97:$U97))),2)</f>
        <v>0</v>
      </c>
      <c r="X97" s="39" t="n">
        <f aca="false">ROUND(D97-N97-MIN(D97-N97,MAX(0,$AF97-SUMPRODUCT(--($B$4:$K$4&lt;D$4),$B97:$K97-$L97:$U97))),2)</f>
        <v>0</v>
      </c>
      <c r="Y97" s="39" t="n">
        <f aca="false">ROUND(E97-O97-MIN(E97-O97,MAX(0,$AF97-SUMPRODUCT(--($B$4:$K$4&lt;E$4),$B97:$K97-$L97:$U97))),2)</f>
        <v>0</v>
      </c>
      <c r="Z97" s="39" t="n">
        <f aca="false">ROUND(F97-P97-MIN(F97-P97,MAX(0,$AF97-SUMPRODUCT(--($B$4:$K$4&lt;F$4),$B97:$K97-$L97:$U97))),2)</f>
        <v>0</v>
      </c>
      <c r="AA97" s="39" t="n">
        <f aca="false">ROUND(G97-Q97-MIN(G97-Q97,MAX(0,$AF97-SUMPRODUCT(--($B$4:$K$4&lt;G$4),$B97:$K97-$L97:$U97))),2)</f>
        <v>0</v>
      </c>
      <c r="AB97" s="39" t="n">
        <f aca="false">ROUND(H97-R97-MIN(H97-R97,MAX(0,$AF97-SUMPRODUCT(--($B$4:$K$4&lt;H$4),$B97:$K97-$L97:$U97))),2)</f>
        <v>0</v>
      </c>
      <c r="AC97" s="39" t="n">
        <f aca="false">ROUND(I97-S97-MIN(I97-S97,MAX(0,$AF97-SUMPRODUCT(--($B$4:$K$4&lt;I$4),$B97:$K97-$L97:$U97))),2)</f>
        <v>0</v>
      </c>
      <c r="AD97" s="39" t="n">
        <f aca="false">ROUND(J97-T97-MIN(J97-T97,MAX(0,$AF97-SUMPRODUCT(--($B$4:$K$4&lt;J$4),$B97:$K97-$L97:$U97))),2)</f>
        <v>0</v>
      </c>
      <c r="AE97" s="39" t="n">
        <f aca="false">ROUND(K97-U97-MIN(K97-U97,MAX(0,$AF97-SUMPRODUCT(--($B$4:$K$4&lt;K$4),$B97:$K97-$L97:$U97))),2)</f>
        <v>0</v>
      </c>
      <c r="AF97" s="39" t="n">
        <f aca="false">MAX(0,'Start Here'!$C$5-SUM($L97:$U97))</f>
        <v>1200</v>
      </c>
      <c r="AG97" s="39" t="n">
        <f aca="false">SUM(V97:AE97)</f>
        <v>0</v>
      </c>
      <c r="AH97" s="39" t="n">
        <f aca="false">SUM(B97:K97)-AG96</f>
        <v>0</v>
      </c>
    </row>
    <row r="98" customFormat="false" ht="15" hidden="false" customHeight="false" outlineLevel="0" collapsed="false">
      <c r="A98" s="40" t="n">
        <f aca="false">DATE(YEAR('Start Here'!$C$6),MONTH('Start Here'!$C$6)+91,1)</f>
        <v>49065</v>
      </c>
      <c r="B98" s="39" t="n">
        <f aca="false">ROUND(V97*(1+N('My Debts'!$D$6)/12),2)</f>
        <v>0</v>
      </c>
      <c r="C98" s="39" t="n">
        <f aca="false">ROUND(W97*(1+N('My Debts'!$D$7)/12),2)</f>
        <v>0</v>
      </c>
      <c r="D98" s="39" t="n">
        <f aca="false">ROUND(X97*(1+N('My Debts'!$D$8)/12),2)</f>
        <v>0</v>
      </c>
      <c r="E98" s="39" t="n">
        <f aca="false">ROUND(Y97*(1+N('My Debts'!$D$9)/12),2)</f>
        <v>0</v>
      </c>
      <c r="F98" s="39" t="n">
        <f aca="false">ROUND(Z97*(1+N('My Debts'!$D$10)/12),2)</f>
        <v>0</v>
      </c>
      <c r="G98" s="39" t="n">
        <f aca="false">ROUND(AA97*(1+N('My Debts'!$D$11)/12),2)</f>
        <v>0</v>
      </c>
      <c r="H98" s="39" t="n">
        <f aca="false">ROUND(AB97*(1+N('My Debts'!$D$12)/12),2)</f>
        <v>0</v>
      </c>
      <c r="I98" s="39" t="n">
        <f aca="false">ROUND(AC97*(1+N('My Debts'!$D$13)/12),2)</f>
        <v>0</v>
      </c>
      <c r="J98" s="39" t="n">
        <f aca="false">ROUND(AD97*(1+N('My Debts'!$D$14)/12),2)</f>
        <v>0</v>
      </c>
      <c r="K98" s="39" t="n">
        <f aca="false">ROUND(AE97*(1+N('My Debts'!$D$15)/12),2)</f>
        <v>0</v>
      </c>
      <c r="L98" s="39" t="n">
        <f aca="false">MIN(N('My Debts'!$E$6),B98)</f>
        <v>0</v>
      </c>
      <c r="M98" s="39" t="n">
        <f aca="false">MIN(N('My Debts'!$E$7),C98)</f>
        <v>0</v>
      </c>
      <c r="N98" s="39" t="n">
        <f aca="false">MIN(N('My Debts'!$E$8),D98)</f>
        <v>0</v>
      </c>
      <c r="O98" s="39" t="n">
        <f aca="false">MIN(N('My Debts'!$E$9),E98)</f>
        <v>0</v>
      </c>
      <c r="P98" s="39" t="n">
        <f aca="false">MIN(N('My Debts'!$E$10),F98)</f>
        <v>0</v>
      </c>
      <c r="Q98" s="39" t="n">
        <f aca="false">MIN(N('My Debts'!$E$11),G98)</f>
        <v>0</v>
      </c>
      <c r="R98" s="39" t="n">
        <f aca="false">MIN(N('My Debts'!$E$12),H98)</f>
        <v>0</v>
      </c>
      <c r="S98" s="39" t="n">
        <f aca="false">MIN(N('My Debts'!$E$13),I98)</f>
        <v>0</v>
      </c>
      <c r="T98" s="39" t="n">
        <f aca="false">MIN(N('My Debts'!$E$14),J98)</f>
        <v>0</v>
      </c>
      <c r="U98" s="39" t="n">
        <f aca="false">MIN(N('My Debts'!$E$15),K98)</f>
        <v>0</v>
      </c>
      <c r="V98" s="39" t="n">
        <f aca="false">ROUND(B98-L98-MIN(B98-L98,MAX(0,$AF98-SUMPRODUCT(--($B$4:$K$4&lt;B$4),$B98:$K98-$L98:$U98))),2)</f>
        <v>0</v>
      </c>
      <c r="W98" s="39" t="n">
        <f aca="false">ROUND(C98-M98-MIN(C98-M98,MAX(0,$AF98-SUMPRODUCT(--($B$4:$K$4&lt;C$4),$B98:$K98-$L98:$U98))),2)</f>
        <v>0</v>
      </c>
      <c r="X98" s="39" t="n">
        <f aca="false">ROUND(D98-N98-MIN(D98-N98,MAX(0,$AF98-SUMPRODUCT(--($B$4:$K$4&lt;D$4),$B98:$K98-$L98:$U98))),2)</f>
        <v>0</v>
      </c>
      <c r="Y98" s="39" t="n">
        <f aca="false">ROUND(E98-O98-MIN(E98-O98,MAX(0,$AF98-SUMPRODUCT(--($B$4:$K$4&lt;E$4),$B98:$K98-$L98:$U98))),2)</f>
        <v>0</v>
      </c>
      <c r="Z98" s="39" t="n">
        <f aca="false">ROUND(F98-P98-MIN(F98-P98,MAX(0,$AF98-SUMPRODUCT(--($B$4:$K$4&lt;F$4),$B98:$K98-$L98:$U98))),2)</f>
        <v>0</v>
      </c>
      <c r="AA98" s="39" t="n">
        <f aca="false">ROUND(G98-Q98-MIN(G98-Q98,MAX(0,$AF98-SUMPRODUCT(--($B$4:$K$4&lt;G$4),$B98:$K98-$L98:$U98))),2)</f>
        <v>0</v>
      </c>
      <c r="AB98" s="39" t="n">
        <f aca="false">ROUND(H98-R98-MIN(H98-R98,MAX(0,$AF98-SUMPRODUCT(--($B$4:$K$4&lt;H$4),$B98:$K98-$L98:$U98))),2)</f>
        <v>0</v>
      </c>
      <c r="AC98" s="39" t="n">
        <f aca="false">ROUND(I98-S98-MIN(I98-S98,MAX(0,$AF98-SUMPRODUCT(--($B$4:$K$4&lt;I$4),$B98:$K98-$L98:$U98))),2)</f>
        <v>0</v>
      </c>
      <c r="AD98" s="39" t="n">
        <f aca="false">ROUND(J98-T98-MIN(J98-T98,MAX(0,$AF98-SUMPRODUCT(--($B$4:$K$4&lt;J$4),$B98:$K98-$L98:$U98))),2)</f>
        <v>0</v>
      </c>
      <c r="AE98" s="39" t="n">
        <f aca="false">ROUND(K98-U98-MIN(K98-U98,MAX(0,$AF98-SUMPRODUCT(--($B$4:$K$4&lt;K$4),$B98:$K98-$L98:$U98))),2)</f>
        <v>0</v>
      </c>
      <c r="AF98" s="39" t="n">
        <f aca="false">MAX(0,'Start Here'!$C$5-SUM($L98:$U98))</f>
        <v>1200</v>
      </c>
      <c r="AG98" s="39" t="n">
        <f aca="false">SUM(V98:AE98)</f>
        <v>0</v>
      </c>
      <c r="AH98" s="39" t="n">
        <f aca="false">SUM(B98:K98)-AG97</f>
        <v>0</v>
      </c>
    </row>
    <row r="99" customFormat="false" ht="15" hidden="false" customHeight="false" outlineLevel="0" collapsed="false">
      <c r="A99" s="40" t="n">
        <f aca="false">DATE(YEAR('Start Here'!$C$6),MONTH('Start Here'!$C$6)+92,1)</f>
        <v>49096</v>
      </c>
      <c r="B99" s="39" t="n">
        <f aca="false">ROUND(V98*(1+N('My Debts'!$D$6)/12),2)</f>
        <v>0</v>
      </c>
      <c r="C99" s="39" t="n">
        <f aca="false">ROUND(W98*(1+N('My Debts'!$D$7)/12),2)</f>
        <v>0</v>
      </c>
      <c r="D99" s="39" t="n">
        <f aca="false">ROUND(X98*(1+N('My Debts'!$D$8)/12),2)</f>
        <v>0</v>
      </c>
      <c r="E99" s="39" t="n">
        <f aca="false">ROUND(Y98*(1+N('My Debts'!$D$9)/12),2)</f>
        <v>0</v>
      </c>
      <c r="F99" s="39" t="n">
        <f aca="false">ROUND(Z98*(1+N('My Debts'!$D$10)/12),2)</f>
        <v>0</v>
      </c>
      <c r="G99" s="39" t="n">
        <f aca="false">ROUND(AA98*(1+N('My Debts'!$D$11)/12),2)</f>
        <v>0</v>
      </c>
      <c r="H99" s="39" t="n">
        <f aca="false">ROUND(AB98*(1+N('My Debts'!$D$12)/12),2)</f>
        <v>0</v>
      </c>
      <c r="I99" s="39" t="n">
        <f aca="false">ROUND(AC98*(1+N('My Debts'!$D$13)/12),2)</f>
        <v>0</v>
      </c>
      <c r="J99" s="39" t="n">
        <f aca="false">ROUND(AD98*(1+N('My Debts'!$D$14)/12),2)</f>
        <v>0</v>
      </c>
      <c r="K99" s="39" t="n">
        <f aca="false">ROUND(AE98*(1+N('My Debts'!$D$15)/12),2)</f>
        <v>0</v>
      </c>
      <c r="L99" s="39" t="n">
        <f aca="false">MIN(N('My Debts'!$E$6),B99)</f>
        <v>0</v>
      </c>
      <c r="M99" s="39" t="n">
        <f aca="false">MIN(N('My Debts'!$E$7),C99)</f>
        <v>0</v>
      </c>
      <c r="N99" s="39" t="n">
        <f aca="false">MIN(N('My Debts'!$E$8),D99)</f>
        <v>0</v>
      </c>
      <c r="O99" s="39" t="n">
        <f aca="false">MIN(N('My Debts'!$E$9),E99)</f>
        <v>0</v>
      </c>
      <c r="P99" s="39" t="n">
        <f aca="false">MIN(N('My Debts'!$E$10),F99)</f>
        <v>0</v>
      </c>
      <c r="Q99" s="39" t="n">
        <f aca="false">MIN(N('My Debts'!$E$11),G99)</f>
        <v>0</v>
      </c>
      <c r="R99" s="39" t="n">
        <f aca="false">MIN(N('My Debts'!$E$12),H99)</f>
        <v>0</v>
      </c>
      <c r="S99" s="39" t="n">
        <f aca="false">MIN(N('My Debts'!$E$13),I99)</f>
        <v>0</v>
      </c>
      <c r="T99" s="39" t="n">
        <f aca="false">MIN(N('My Debts'!$E$14),J99)</f>
        <v>0</v>
      </c>
      <c r="U99" s="39" t="n">
        <f aca="false">MIN(N('My Debts'!$E$15),K99)</f>
        <v>0</v>
      </c>
      <c r="V99" s="39" t="n">
        <f aca="false">ROUND(B99-L99-MIN(B99-L99,MAX(0,$AF99-SUMPRODUCT(--($B$4:$K$4&lt;B$4),$B99:$K99-$L99:$U99))),2)</f>
        <v>0</v>
      </c>
      <c r="W99" s="39" t="n">
        <f aca="false">ROUND(C99-M99-MIN(C99-M99,MAX(0,$AF99-SUMPRODUCT(--($B$4:$K$4&lt;C$4),$B99:$K99-$L99:$U99))),2)</f>
        <v>0</v>
      </c>
      <c r="X99" s="39" t="n">
        <f aca="false">ROUND(D99-N99-MIN(D99-N99,MAX(0,$AF99-SUMPRODUCT(--($B$4:$K$4&lt;D$4),$B99:$K99-$L99:$U99))),2)</f>
        <v>0</v>
      </c>
      <c r="Y99" s="39" t="n">
        <f aca="false">ROUND(E99-O99-MIN(E99-O99,MAX(0,$AF99-SUMPRODUCT(--($B$4:$K$4&lt;E$4),$B99:$K99-$L99:$U99))),2)</f>
        <v>0</v>
      </c>
      <c r="Z99" s="39" t="n">
        <f aca="false">ROUND(F99-P99-MIN(F99-P99,MAX(0,$AF99-SUMPRODUCT(--($B$4:$K$4&lt;F$4),$B99:$K99-$L99:$U99))),2)</f>
        <v>0</v>
      </c>
      <c r="AA99" s="39" t="n">
        <f aca="false">ROUND(G99-Q99-MIN(G99-Q99,MAX(0,$AF99-SUMPRODUCT(--($B$4:$K$4&lt;G$4),$B99:$K99-$L99:$U99))),2)</f>
        <v>0</v>
      </c>
      <c r="AB99" s="39" t="n">
        <f aca="false">ROUND(H99-R99-MIN(H99-R99,MAX(0,$AF99-SUMPRODUCT(--($B$4:$K$4&lt;H$4),$B99:$K99-$L99:$U99))),2)</f>
        <v>0</v>
      </c>
      <c r="AC99" s="39" t="n">
        <f aca="false">ROUND(I99-S99-MIN(I99-S99,MAX(0,$AF99-SUMPRODUCT(--($B$4:$K$4&lt;I$4),$B99:$K99-$L99:$U99))),2)</f>
        <v>0</v>
      </c>
      <c r="AD99" s="39" t="n">
        <f aca="false">ROUND(J99-T99-MIN(J99-T99,MAX(0,$AF99-SUMPRODUCT(--($B$4:$K$4&lt;J$4),$B99:$K99-$L99:$U99))),2)</f>
        <v>0</v>
      </c>
      <c r="AE99" s="39" t="n">
        <f aca="false">ROUND(K99-U99-MIN(K99-U99,MAX(0,$AF99-SUMPRODUCT(--($B$4:$K$4&lt;K$4),$B99:$K99-$L99:$U99))),2)</f>
        <v>0</v>
      </c>
      <c r="AF99" s="39" t="n">
        <f aca="false">MAX(0,'Start Here'!$C$5-SUM($L99:$U99))</f>
        <v>1200</v>
      </c>
      <c r="AG99" s="39" t="n">
        <f aca="false">SUM(V99:AE99)</f>
        <v>0</v>
      </c>
      <c r="AH99" s="39" t="n">
        <f aca="false">SUM(B99:K99)-AG98</f>
        <v>0</v>
      </c>
    </row>
    <row r="100" customFormat="false" ht="15" hidden="false" customHeight="false" outlineLevel="0" collapsed="false">
      <c r="A100" s="40" t="n">
        <f aca="false">DATE(YEAR('Start Here'!$C$6),MONTH('Start Here'!$C$6)+93,1)</f>
        <v>49126</v>
      </c>
      <c r="B100" s="39" t="n">
        <f aca="false">ROUND(V99*(1+N('My Debts'!$D$6)/12),2)</f>
        <v>0</v>
      </c>
      <c r="C100" s="39" t="n">
        <f aca="false">ROUND(W99*(1+N('My Debts'!$D$7)/12),2)</f>
        <v>0</v>
      </c>
      <c r="D100" s="39" t="n">
        <f aca="false">ROUND(X99*(1+N('My Debts'!$D$8)/12),2)</f>
        <v>0</v>
      </c>
      <c r="E100" s="39" t="n">
        <f aca="false">ROUND(Y99*(1+N('My Debts'!$D$9)/12),2)</f>
        <v>0</v>
      </c>
      <c r="F100" s="39" t="n">
        <f aca="false">ROUND(Z99*(1+N('My Debts'!$D$10)/12),2)</f>
        <v>0</v>
      </c>
      <c r="G100" s="39" t="n">
        <f aca="false">ROUND(AA99*(1+N('My Debts'!$D$11)/12),2)</f>
        <v>0</v>
      </c>
      <c r="H100" s="39" t="n">
        <f aca="false">ROUND(AB99*(1+N('My Debts'!$D$12)/12),2)</f>
        <v>0</v>
      </c>
      <c r="I100" s="39" t="n">
        <f aca="false">ROUND(AC99*(1+N('My Debts'!$D$13)/12),2)</f>
        <v>0</v>
      </c>
      <c r="J100" s="39" t="n">
        <f aca="false">ROUND(AD99*(1+N('My Debts'!$D$14)/12),2)</f>
        <v>0</v>
      </c>
      <c r="K100" s="39" t="n">
        <f aca="false">ROUND(AE99*(1+N('My Debts'!$D$15)/12),2)</f>
        <v>0</v>
      </c>
      <c r="L100" s="39" t="n">
        <f aca="false">MIN(N('My Debts'!$E$6),B100)</f>
        <v>0</v>
      </c>
      <c r="M100" s="39" t="n">
        <f aca="false">MIN(N('My Debts'!$E$7),C100)</f>
        <v>0</v>
      </c>
      <c r="N100" s="39" t="n">
        <f aca="false">MIN(N('My Debts'!$E$8),D100)</f>
        <v>0</v>
      </c>
      <c r="O100" s="39" t="n">
        <f aca="false">MIN(N('My Debts'!$E$9),E100)</f>
        <v>0</v>
      </c>
      <c r="P100" s="39" t="n">
        <f aca="false">MIN(N('My Debts'!$E$10),F100)</f>
        <v>0</v>
      </c>
      <c r="Q100" s="39" t="n">
        <f aca="false">MIN(N('My Debts'!$E$11),G100)</f>
        <v>0</v>
      </c>
      <c r="R100" s="39" t="n">
        <f aca="false">MIN(N('My Debts'!$E$12),H100)</f>
        <v>0</v>
      </c>
      <c r="S100" s="39" t="n">
        <f aca="false">MIN(N('My Debts'!$E$13),I100)</f>
        <v>0</v>
      </c>
      <c r="T100" s="39" t="n">
        <f aca="false">MIN(N('My Debts'!$E$14),J100)</f>
        <v>0</v>
      </c>
      <c r="U100" s="39" t="n">
        <f aca="false">MIN(N('My Debts'!$E$15),K100)</f>
        <v>0</v>
      </c>
      <c r="V100" s="39" t="n">
        <f aca="false">ROUND(B100-L100-MIN(B100-L100,MAX(0,$AF100-SUMPRODUCT(--($B$4:$K$4&lt;B$4),$B100:$K100-$L100:$U100))),2)</f>
        <v>0</v>
      </c>
      <c r="W100" s="39" t="n">
        <f aca="false">ROUND(C100-M100-MIN(C100-M100,MAX(0,$AF100-SUMPRODUCT(--($B$4:$K$4&lt;C$4),$B100:$K100-$L100:$U100))),2)</f>
        <v>0</v>
      </c>
      <c r="X100" s="39" t="n">
        <f aca="false">ROUND(D100-N100-MIN(D100-N100,MAX(0,$AF100-SUMPRODUCT(--($B$4:$K$4&lt;D$4),$B100:$K100-$L100:$U100))),2)</f>
        <v>0</v>
      </c>
      <c r="Y100" s="39" t="n">
        <f aca="false">ROUND(E100-O100-MIN(E100-O100,MAX(0,$AF100-SUMPRODUCT(--($B$4:$K$4&lt;E$4),$B100:$K100-$L100:$U100))),2)</f>
        <v>0</v>
      </c>
      <c r="Z100" s="39" t="n">
        <f aca="false">ROUND(F100-P100-MIN(F100-P100,MAX(0,$AF100-SUMPRODUCT(--($B$4:$K$4&lt;F$4),$B100:$K100-$L100:$U100))),2)</f>
        <v>0</v>
      </c>
      <c r="AA100" s="39" t="n">
        <f aca="false">ROUND(G100-Q100-MIN(G100-Q100,MAX(0,$AF100-SUMPRODUCT(--($B$4:$K$4&lt;G$4),$B100:$K100-$L100:$U100))),2)</f>
        <v>0</v>
      </c>
      <c r="AB100" s="39" t="n">
        <f aca="false">ROUND(H100-R100-MIN(H100-R100,MAX(0,$AF100-SUMPRODUCT(--($B$4:$K$4&lt;H$4),$B100:$K100-$L100:$U100))),2)</f>
        <v>0</v>
      </c>
      <c r="AC100" s="39" t="n">
        <f aca="false">ROUND(I100-S100-MIN(I100-S100,MAX(0,$AF100-SUMPRODUCT(--($B$4:$K$4&lt;I$4),$B100:$K100-$L100:$U100))),2)</f>
        <v>0</v>
      </c>
      <c r="AD100" s="39" t="n">
        <f aca="false">ROUND(J100-T100-MIN(J100-T100,MAX(0,$AF100-SUMPRODUCT(--($B$4:$K$4&lt;J$4),$B100:$K100-$L100:$U100))),2)</f>
        <v>0</v>
      </c>
      <c r="AE100" s="39" t="n">
        <f aca="false">ROUND(K100-U100-MIN(K100-U100,MAX(0,$AF100-SUMPRODUCT(--($B$4:$K$4&lt;K$4),$B100:$K100-$L100:$U100))),2)</f>
        <v>0</v>
      </c>
      <c r="AF100" s="39" t="n">
        <f aca="false">MAX(0,'Start Here'!$C$5-SUM($L100:$U100))</f>
        <v>1200</v>
      </c>
      <c r="AG100" s="39" t="n">
        <f aca="false">SUM(V100:AE100)</f>
        <v>0</v>
      </c>
      <c r="AH100" s="39" t="n">
        <f aca="false">SUM(B100:K100)-AG99</f>
        <v>0</v>
      </c>
    </row>
    <row r="101" customFormat="false" ht="15" hidden="false" customHeight="false" outlineLevel="0" collapsed="false">
      <c r="A101" s="40" t="n">
        <f aca="false">DATE(YEAR('Start Here'!$C$6),MONTH('Start Here'!$C$6)+94,1)</f>
        <v>49157</v>
      </c>
      <c r="B101" s="39" t="n">
        <f aca="false">ROUND(V100*(1+N('My Debts'!$D$6)/12),2)</f>
        <v>0</v>
      </c>
      <c r="C101" s="39" t="n">
        <f aca="false">ROUND(W100*(1+N('My Debts'!$D$7)/12),2)</f>
        <v>0</v>
      </c>
      <c r="D101" s="39" t="n">
        <f aca="false">ROUND(X100*(1+N('My Debts'!$D$8)/12),2)</f>
        <v>0</v>
      </c>
      <c r="E101" s="39" t="n">
        <f aca="false">ROUND(Y100*(1+N('My Debts'!$D$9)/12),2)</f>
        <v>0</v>
      </c>
      <c r="F101" s="39" t="n">
        <f aca="false">ROUND(Z100*(1+N('My Debts'!$D$10)/12),2)</f>
        <v>0</v>
      </c>
      <c r="G101" s="39" t="n">
        <f aca="false">ROUND(AA100*(1+N('My Debts'!$D$11)/12),2)</f>
        <v>0</v>
      </c>
      <c r="H101" s="39" t="n">
        <f aca="false">ROUND(AB100*(1+N('My Debts'!$D$12)/12),2)</f>
        <v>0</v>
      </c>
      <c r="I101" s="39" t="n">
        <f aca="false">ROUND(AC100*(1+N('My Debts'!$D$13)/12),2)</f>
        <v>0</v>
      </c>
      <c r="J101" s="39" t="n">
        <f aca="false">ROUND(AD100*(1+N('My Debts'!$D$14)/12),2)</f>
        <v>0</v>
      </c>
      <c r="K101" s="39" t="n">
        <f aca="false">ROUND(AE100*(1+N('My Debts'!$D$15)/12),2)</f>
        <v>0</v>
      </c>
      <c r="L101" s="39" t="n">
        <f aca="false">MIN(N('My Debts'!$E$6),B101)</f>
        <v>0</v>
      </c>
      <c r="M101" s="39" t="n">
        <f aca="false">MIN(N('My Debts'!$E$7),C101)</f>
        <v>0</v>
      </c>
      <c r="N101" s="39" t="n">
        <f aca="false">MIN(N('My Debts'!$E$8),D101)</f>
        <v>0</v>
      </c>
      <c r="O101" s="39" t="n">
        <f aca="false">MIN(N('My Debts'!$E$9),E101)</f>
        <v>0</v>
      </c>
      <c r="P101" s="39" t="n">
        <f aca="false">MIN(N('My Debts'!$E$10),F101)</f>
        <v>0</v>
      </c>
      <c r="Q101" s="39" t="n">
        <f aca="false">MIN(N('My Debts'!$E$11),G101)</f>
        <v>0</v>
      </c>
      <c r="R101" s="39" t="n">
        <f aca="false">MIN(N('My Debts'!$E$12),H101)</f>
        <v>0</v>
      </c>
      <c r="S101" s="39" t="n">
        <f aca="false">MIN(N('My Debts'!$E$13),I101)</f>
        <v>0</v>
      </c>
      <c r="T101" s="39" t="n">
        <f aca="false">MIN(N('My Debts'!$E$14),J101)</f>
        <v>0</v>
      </c>
      <c r="U101" s="39" t="n">
        <f aca="false">MIN(N('My Debts'!$E$15),K101)</f>
        <v>0</v>
      </c>
      <c r="V101" s="39" t="n">
        <f aca="false">ROUND(B101-L101-MIN(B101-L101,MAX(0,$AF101-SUMPRODUCT(--($B$4:$K$4&lt;B$4),$B101:$K101-$L101:$U101))),2)</f>
        <v>0</v>
      </c>
      <c r="W101" s="39" t="n">
        <f aca="false">ROUND(C101-M101-MIN(C101-M101,MAX(0,$AF101-SUMPRODUCT(--($B$4:$K$4&lt;C$4),$B101:$K101-$L101:$U101))),2)</f>
        <v>0</v>
      </c>
      <c r="X101" s="39" t="n">
        <f aca="false">ROUND(D101-N101-MIN(D101-N101,MAX(0,$AF101-SUMPRODUCT(--($B$4:$K$4&lt;D$4),$B101:$K101-$L101:$U101))),2)</f>
        <v>0</v>
      </c>
      <c r="Y101" s="39" t="n">
        <f aca="false">ROUND(E101-O101-MIN(E101-O101,MAX(0,$AF101-SUMPRODUCT(--($B$4:$K$4&lt;E$4),$B101:$K101-$L101:$U101))),2)</f>
        <v>0</v>
      </c>
      <c r="Z101" s="39" t="n">
        <f aca="false">ROUND(F101-P101-MIN(F101-P101,MAX(0,$AF101-SUMPRODUCT(--($B$4:$K$4&lt;F$4),$B101:$K101-$L101:$U101))),2)</f>
        <v>0</v>
      </c>
      <c r="AA101" s="39" t="n">
        <f aca="false">ROUND(G101-Q101-MIN(G101-Q101,MAX(0,$AF101-SUMPRODUCT(--($B$4:$K$4&lt;G$4),$B101:$K101-$L101:$U101))),2)</f>
        <v>0</v>
      </c>
      <c r="AB101" s="39" t="n">
        <f aca="false">ROUND(H101-R101-MIN(H101-R101,MAX(0,$AF101-SUMPRODUCT(--($B$4:$K$4&lt;H$4),$B101:$K101-$L101:$U101))),2)</f>
        <v>0</v>
      </c>
      <c r="AC101" s="39" t="n">
        <f aca="false">ROUND(I101-S101-MIN(I101-S101,MAX(0,$AF101-SUMPRODUCT(--($B$4:$K$4&lt;I$4),$B101:$K101-$L101:$U101))),2)</f>
        <v>0</v>
      </c>
      <c r="AD101" s="39" t="n">
        <f aca="false">ROUND(J101-T101-MIN(J101-T101,MAX(0,$AF101-SUMPRODUCT(--($B$4:$K$4&lt;J$4),$B101:$K101-$L101:$U101))),2)</f>
        <v>0</v>
      </c>
      <c r="AE101" s="39" t="n">
        <f aca="false">ROUND(K101-U101-MIN(K101-U101,MAX(0,$AF101-SUMPRODUCT(--($B$4:$K$4&lt;K$4),$B101:$K101-$L101:$U101))),2)</f>
        <v>0</v>
      </c>
      <c r="AF101" s="39" t="n">
        <f aca="false">MAX(0,'Start Here'!$C$5-SUM($L101:$U101))</f>
        <v>1200</v>
      </c>
      <c r="AG101" s="39" t="n">
        <f aca="false">SUM(V101:AE101)</f>
        <v>0</v>
      </c>
      <c r="AH101" s="39" t="n">
        <f aca="false">SUM(B101:K101)-AG100</f>
        <v>0</v>
      </c>
    </row>
    <row r="102" customFormat="false" ht="15" hidden="false" customHeight="false" outlineLevel="0" collapsed="false">
      <c r="A102" s="40" t="n">
        <f aca="false">DATE(YEAR('Start Here'!$C$6),MONTH('Start Here'!$C$6)+95,1)</f>
        <v>49188</v>
      </c>
      <c r="B102" s="39" t="n">
        <f aca="false">ROUND(V101*(1+N('My Debts'!$D$6)/12),2)</f>
        <v>0</v>
      </c>
      <c r="C102" s="39" t="n">
        <f aca="false">ROUND(W101*(1+N('My Debts'!$D$7)/12),2)</f>
        <v>0</v>
      </c>
      <c r="D102" s="39" t="n">
        <f aca="false">ROUND(X101*(1+N('My Debts'!$D$8)/12),2)</f>
        <v>0</v>
      </c>
      <c r="E102" s="39" t="n">
        <f aca="false">ROUND(Y101*(1+N('My Debts'!$D$9)/12),2)</f>
        <v>0</v>
      </c>
      <c r="F102" s="39" t="n">
        <f aca="false">ROUND(Z101*(1+N('My Debts'!$D$10)/12),2)</f>
        <v>0</v>
      </c>
      <c r="G102" s="39" t="n">
        <f aca="false">ROUND(AA101*(1+N('My Debts'!$D$11)/12),2)</f>
        <v>0</v>
      </c>
      <c r="H102" s="39" t="n">
        <f aca="false">ROUND(AB101*(1+N('My Debts'!$D$12)/12),2)</f>
        <v>0</v>
      </c>
      <c r="I102" s="39" t="n">
        <f aca="false">ROUND(AC101*(1+N('My Debts'!$D$13)/12),2)</f>
        <v>0</v>
      </c>
      <c r="J102" s="39" t="n">
        <f aca="false">ROUND(AD101*(1+N('My Debts'!$D$14)/12),2)</f>
        <v>0</v>
      </c>
      <c r="K102" s="39" t="n">
        <f aca="false">ROUND(AE101*(1+N('My Debts'!$D$15)/12),2)</f>
        <v>0</v>
      </c>
      <c r="L102" s="39" t="n">
        <f aca="false">MIN(N('My Debts'!$E$6),B102)</f>
        <v>0</v>
      </c>
      <c r="M102" s="39" t="n">
        <f aca="false">MIN(N('My Debts'!$E$7),C102)</f>
        <v>0</v>
      </c>
      <c r="N102" s="39" t="n">
        <f aca="false">MIN(N('My Debts'!$E$8),D102)</f>
        <v>0</v>
      </c>
      <c r="O102" s="39" t="n">
        <f aca="false">MIN(N('My Debts'!$E$9),E102)</f>
        <v>0</v>
      </c>
      <c r="P102" s="39" t="n">
        <f aca="false">MIN(N('My Debts'!$E$10),F102)</f>
        <v>0</v>
      </c>
      <c r="Q102" s="39" t="n">
        <f aca="false">MIN(N('My Debts'!$E$11),G102)</f>
        <v>0</v>
      </c>
      <c r="R102" s="39" t="n">
        <f aca="false">MIN(N('My Debts'!$E$12),H102)</f>
        <v>0</v>
      </c>
      <c r="S102" s="39" t="n">
        <f aca="false">MIN(N('My Debts'!$E$13),I102)</f>
        <v>0</v>
      </c>
      <c r="T102" s="39" t="n">
        <f aca="false">MIN(N('My Debts'!$E$14),J102)</f>
        <v>0</v>
      </c>
      <c r="U102" s="39" t="n">
        <f aca="false">MIN(N('My Debts'!$E$15),K102)</f>
        <v>0</v>
      </c>
      <c r="V102" s="39" t="n">
        <f aca="false">ROUND(B102-L102-MIN(B102-L102,MAX(0,$AF102-SUMPRODUCT(--($B$4:$K$4&lt;B$4),$B102:$K102-$L102:$U102))),2)</f>
        <v>0</v>
      </c>
      <c r="W102" s="39" t="n">
        <f aca="false">ROUND(C102-M102-MIN(C102-M102,MAX(0,$AF102-SUMPRODUCT(--($B$4:$K$4&lt;C$4),$B102:$K102-$L102:$U102))),2)</f>
        <v>0</v>
      </c>
      <c r="X102" s="39" t="n">
        <f aca="false">ROUND(D102-N102-MIN(D102-N102,MAX(0,$AF102-SUMPRODUCT(--($B$4:$K$4&lt;D$4),$B102:$K102-$L102:$U102))),2)</f>
        <v>0</v>
      </c>
      <c r="Y102" s="39" t="n">
        <f aca="false">ROUND(E102-O102-MIN(E102-O102,MAX(0,$AF102-SUMPRODUCT(--($B$4:$K$4&lt;E$4),$B102:$K102-$L102:$U102))),2)</f>
        <v>0</v>
      </c>
      <c r="Z102" s="39" t="n">
        <f aca="false">ROUND(F102-P102-MIN(F102-P102,MAX(0,$AF102-SUMPRODUCT(--($B$4:$K$4&lt;F$4),$B102:$K102-$L102:$U102))),2)</f>
        <v>0</v>
      </c>
      <c r="AA102" s="39" t="n">
        <f aca="false">ROUND(G102-Q102-MIN(G102-Q102,MAX(0,$AF102-SUMPRODUCT(--($B$4:$K$4&lt;G$4),$B102:$K102-$L102:$U102))),2)</f>
        <v>0</v>
      </c>
      <c r="AB102" s="39" t="n">
        <f aca="false">ROUND(H102-R102-MIN(H102-R102,MAX(0,$AF102-SUMPRODUCT(--($B$4:$K$4&lt;H$4),$B102:$K102-$L102:$U102))),2)</f>
        <v>0</v>
      </c>
      <c r="AC102" s="39" t="n">
        <f aca="false">ROUND(I102-S102-MIN(I102-S102,MAX(0,$AF102-SUMPRODUCT(--($B$4:$K$4&lt;I$4),$B102:$K102-$L102:$U102))),2)</f>
        <v>0</v>
      </c>
      <c r="AD102" s="39" t="n">
        <f aca="false">ROUND(J102-T102-MIN(J102-T102,MAX(0,$AF102-SUMPRODUCT(--($B$4:$K$4&lt;J$4),$B102:$K102-$L102:$U102))),2)</f>
        <v>0</v>
      </c>
      <c r="AE102" s="39" t="n">
        <f aca="false">ROUND(K102-U102-MIN(K102-U102,MAX(0,$AF102-SUMPRODUCT(--($B$4:$K$4&lt;K$4),$B102:$K102-$L102:$U102))),2)</f>
        <v>0</v>
      </c>
      <c r="AF102" s="39" t="n">
        <f aca="false">MAX(0,'Start Here'!$C$5-SUM($L102:$U102))</f>
        <v>1200</v>
      </c>
      <c r="AG102" s="39" t="n">
        <f aca="false">SUM(V102:AE102)</f>
        <v>0</v>
      </c>
      <c r="AH102" s="39" t="n">
        <f aca="false">SUM(B102:K102)-AG101</f>
        <v>0</v>
      </c>
    </row>
    <row r="103" customFormat="false" ht="15" hidden="false" customHeight="false" outlineLevel="0" collapsed="false">
      <c r="A103" s="40" t="n">
        <f aca="false">DATE(YEAR('Start Here'!$C$6),MONTH('Start Here'!$C$6)+96,1)</f>
        <v>49218</v>
      </c>
      <c r="B103" s="39" t="n">
        <f aca="false">ROUND(V102*(1+N('My Debts'!$D$6)/12),2)</f>
        <v>0</v>
      </c>
      <c r="C103" s="39" t="n">
        <f aca="false">ROUND(W102*(1+N('My Debts'!$D$7)/12),2)</f>
        <v>0</v>
      </c>
      <c r="D103" s="39" t="n">
        <f aca="false">ROUND(X102*(1+N('My Debts'!$D$8)/12),2)</f>
        <v>0</v>
      </c>
      <c r="E103" s="39" t="n">
        <f aca="false">ROUND(Y102*(1+N('My Debts'!$D$9)/12),2)</f>
        <v>0</v>
      </c>
      <c r="F103" s="39" t="n">
        <f aca="false">ROUND(Z102*(1+N('My Debts'!$D$10)/12),2)</f>
        <v>0</v>
      </c>
      <c r="G103" s="39" t="n">
        <f aca="false">ROUND(AA102*(1+N('My Debts'!$D$11)/12),2)</f>
        <v>0</v>
      </c>
      <c r="H103" s="39" t="n">
        <f aca="false">ROUND(AB102*(1+N('My Debts'!$D$12)/12),2)</f>
        <v>0</v>
      </c>
      <c r="I103" s="39" t="n">
        <f aca="false">ROUND(AC102*(1+N('My Debts'!$D$13)/12),2)</f>
        <v>0</v>
      </c>
      <c r="J103" s="39" t="n">
        <f aca="false">ROUND(AD102*(1+N('My Debts'!$D$14)/12),2)</f>
        <v>0</v>
      </c>
      <c r="K103" s="39" t="n">
        <f aca="false">ROUND(AE102*(1+N('My Debts'!$D$15)/12),2)</f>
        <v>0</v>
      </c>
      <c r="L103" s="39" t="n">
        <f aca="false">MIN(N('My Debts'!$E$6),B103)</f>
        <v>0</v>
      </c>
      <c r="M103" s="39" t="n">
        <f aca="false">MIN(N('My Debts'!$E$7),C103)</f>
        <v>0</v>
      </c>
      <c r="N103" s="39" t="n">
        <f aca="false">MIN(N('My Debts'!$E$8),D103)</f>
        <v>0</v>
      </c>
      <c r="O103" s="39" t="n">
        <f aca="false">MIN(N('My Debts'!$E$9),E103)</f>
        <v>0</v>
      </c>
      <c r="P103" s="39" t="n">
        <f aca="false">MIN(N('My Debts'!$E$10),F103)</f>
        <v>0</v>
      </c>
      <c r="Q103" s="39" t="n">
        <f aca="false">MIN(N('My Debts'!$E$11),G103)</f>
        <v>0</v>
      </c>
      <c r="R103" s="39" t="n">
        <f aca="false">MIN(N('My Debts'!$E$12),H103)</f>
        <v>0</v>
      </c>
      <c r="S103" s="39" t="n">
        <f aca="false">MIN(N('My Debts'!$E$13),I103)</f>
        <v>0</v>
      </c>
      <c r="T103" s="39" t="n">
        <f aca="false">MIN(N('My Debts'!$E$14),J103)</f>
        <v>0</v>
      </c>
      <c r="U103" s="39" t="n">
        <f aca="false">MIN(N('My Debts'!$E$15),K103)</f>
        <v>0</v>
      </c>
      <c r="V103" s="39" t="n">
        <f aca="false">ROUND(B103-L103-MIN(B103-L103,MAX(0,$AF103-SUMPRODUCT(--($B$4:$K$4&lt;B$4),$B103:$K103-$L103:$U103))),2)</f>
        <v>0</v>
      </c>
      <c r="W103" s="39" t="n">
        <f aca="false">ROUND(C103-M103-MIN(C103-M103,MAX(0,$AF103-SUMPRODUCT(--($B$4:$K$4&lt;C$4),$B103:$K103-$L103:$U103))),2)</f>
        <v>0</v>
      </c>
      <c r="X103" s="39" t="n">
        <f aca="false">ROUND(D103-N103-MIN(D103-N103,MAX(0,$AF103-SUMPRODUCT(--($B$4:$K$4&lt;D$4),$B103:$K103-$L103:$U103))),2)</f>
        <v>0</v>
      </c>
      <c r="Y103" s="39" t="n">
        <f aca="false">ROUND(E103-O103-MIN(E103-O103,MAX(0,$AF103-SUMPRODUCT(--($B$4:$K$4&lt;E$4),$B103:$K103-$L103:$U103))),2)</f>
        <v>0</v>
      </c>
      <c r="Z103" s="39" t="n">
        <f aca="false">ROUND(F103-P103-MIN(F103-P103,MAX(0,$AF103-SUMPRODUCT(--($B$4:$K$4&lt;F$4),$B103:$K103-$L103:$U103))),2)</f>
        <v>0</v>
      </c>
      <c r="AA103" s="39" t="n">
        <f aca="false">ROUND(G103-Q103-MIN(G103-Q103,MAX(0,$AF103-SUMPRODUCT(--($B$4:$K$4&lt;G$4),$B103:$K103-$L103:$U103))),2)</f>
        <v>0</v>
      </c>
      <c r="AB103" s="39" t="n">
        <f aca="false">ROUND(H103-R103-MIN(H103-R103,MAX(0,$AF103-SUMPRODUCT(--($B$4:$K$4&lt;H$4),$B103:$K103-$L103:$U103))),2)</f>
        <v>0</v>
      </c>
      <c r="AC103" s="39" t="n">
        <f aca="false">ROUND(I103-S103-MIN(I103-S103,MAX(0,$AF103-SUMPRODUCT(--($B$4:$K$4&lt;I$4),$B103:$K103-$L103:$U103))),2)</f>
        <v>0</v>
      </c>
      <c r="AD103" s="39" t="n">
        <f aca="false">ROUND(J103-T103-MIN(J103-T103,MAX(0,$AF103-SUMPRODUCT(--($B$4:$K$4&lt;J$4),$B103:$K103-$L103:$U103))),2)</f>
        <v>0</v>
      </c>
      <c r="AE103" s="39" t="n">
        <f aca="false">ROUND(K103-U103-MIN(K103-U103,MAX(0,$AF103-SUMPRODUCT(--($B$4:$K$4&lt;K$4),$B103:$K103-$L103:$U103))),2)</f>
        <v>0</v>
      </c>
      <c r="AF103" s="39" t="n">
        <f aca="false">MAX(0,'Start Here'!$C$5-SUM($L103:$U103))</f>
        <v>1200</v>
      </c>
      <c r="AG103" s="39" t="n">
        <f aca="false">SUM(V103:AE103)</f>
        <v>0</v>
      </c>
      <c r="AH103" s="39" t="n">
        <f aca="false">SUM(B103:K103)-AG102</f>
        <v>0</v>
      </c>
    </row>
    <row r="104" customFormat="false" ht="15" hidden="false" customHeight="false" outlineLevel="0" collapsed="false">
      <c r="A104" s="40" t="n">
        <f aca="false">DATE(YEAR('Start Here'!$C$6),MONTH('Start Here'!$C$6)+97,1)</f>
        <v>49249</v>
      </c>
      <c r="B104" s="39" t="n">
        <f aca="false">ROUND(V103*(1+N('My Debts'!$D$6)/12),2)</f>
        <v>0</v>
      </c>
      <c r="C104" s="39" t="n">
        <f aca="false">ROUND(W103*(1+N('My Debts'!$D$7)/12),2)</f>
        <v>0</v>
      </c>
      <c r="D104" s="39" t="n">
        <f aca="false">ROUND(X103*(1+N('My Debts'!$D$8)/12),2)</f>
        <v>0</v>
      </c>
      <c r="E104" s="39" t="n">
        <f aca="false">ROUND(Y103*(1+N('My Debts'!$D$9)/12),2)</f>
        <v>0</v>
      </c>
      <c r="F104" s="39" t="n">
        <f aca="false">ROUND(Z103*(1+N('My Debts'!$D$10)/12),2)</f>
        <v>0</v>
      </c>
      <c r="G104" s="39" t="n">
        <f aca="false">ROUND(AA103*(1+N('My Debts'!$D$11)/12),2)</f>
        <v>0</v>
      </c>
      <c r="H104" s="39" t="n">
        <f aca="false">ROUND(AB103*(1+N('My Debts'!$D$12)/12),2)</f>
        <v>0</v>
      </c>
      <c r="I104" s="39" t="n">
        <f aca="false">ROUND(AC103*(1+N('My Debts'!$D$13)/12),2)</f>
        <v>0</v>
      </c>
      <c r="J104" s="39" t="n">
        <f aca="false">ROUND(AD103*(1+N('My Debts'!$D$14)/12),2)</f>
        <v>0</v>
      </c>
      <c r="K104" s="39" t="n">
        <f aca="false">ROUND(AE103*(1+N('My Debts'!$D$15)/12),2)</f>
        <v>0</v>
      </c>
      <c r="L104" s="39" t="n">
        <f aca="false">MIN(N('My Debts'!$E$6),B104)</f>
        <v>0</v>
      </c>
      <c r="M104" s="39" t="n">
        <f aca="false">MIN(N('My Debts'!$E$7),C104)</f>
        <v>0</v>
      </c>
      <c r="N104" s="39" t="n">
        <f aca="false">MIN(N('My Debts'!$E$8),D104)</f>
        <v>0</v>
      </c>
      <c r="O104" s="39" t="n">
        <f aca="false">MIN(N('My Debts'!$E$9),E104)</f>
        <v>0</v>
      </c>
      <c r="P104" s="39" t="n">
        <f aca="false">MIN(N('My Debts'!$E$10),F104)</f>
        <v>0</v>
      </c>
      <c r="Q104" s="39" t="n">
        <f aca="false">MIN(N('My Debts'!$E$11),G104)</f>
        <v>0</v>
      </c>
      <c r="R104" s="39" t="n">
        <f aca="false">MIN(N('My Debts'!$E$12),H104)</f>
        <v>0</v>
      </c>
      <c r="S104" s="39" t="n">
        <f aca="false">MIN(N('My Debts'!$E$13),I104)</f>
        <v>0</v>
      </c>
      <c r="T104" s="39" t="n">
        <f aca="false">MIN(N('My Debts'!$E$14),J104)</f>
        <v>0</v>
      </c>
      <c r="U104" s="39" t="n">
        <f aca="false">MIN(N('My Debts'!$E$15),K104)</f>
        <v>0</v>
      </c>
      <c r="V104" s="39" t="n">
        <f aca="false">ROUND(B104-L104-MIN(B104-L104,MAX(0,$AF104-SUMPRODUCT(--($B$4:$K$4&lt;B$4),$B104:$K104-$L104:$U104))),2)</f>
        <v>0</v>
      </c>
      <c r="W104" s="39" t="n">
        <f aca="false">ROUND(C104-M104-MIN(C104-M104,MAX(0,$AF104-SUMPRODUCT(--($B$4:$K$4&lt;C$4),$B104:$K104-$L104:$U104))),2)</f>
        <v>0</v>
      </c>
      <c r="X104" s="39" t="n">
        <f aca="false">ROUND(D104-N104-MIN(D104-N104,MAX(0,$AF104-SUMPRODUCT(--($B$4:$K$4&lt;D$4),$B104:$K104-$L104:$U104))),2)</f>
        <v>0</v>
      </c>
      <c r="Y104" s="39" t="n">
        <f aca="false">ROUND(E104-O104-MIN(E104-O104,MAX(0,$AF104-SUMPRODUCT(--($B$4:$K$4&lt;E$4),$B104:$K104-$L104:$U104))),2)</f>
        <v>0</v>
      </c>
      <c r="Z104" s="39" t="n">
        <f aca="false">ROUND(F104-P104-MIN(F104-P104,MAX(0,$AF104-SUMPRODUCT(--($B$4:$K$4&lt;F$4),$B104:$K104-$L104:$U104))),2)</f>
        <v>0</v>
      </c>
      <c r="AA104" s="39" t="n">
        <f aca="false">ROUND(G104-Q104-MIN(G104-Q104,MAX(0,$AF104-SUMPRODUCT(--($B$4:$K$4&lt;G$4),$B104:$K104-$L104:$U104))),2)</f>
        <v>0</v>
      </c>
      <c r="AB104" s="39" t="n">
        <f aca="false">ROUND(H104-R104-MIN(H104-R104,MAX(0,$AF104-SUMPRODUCT(--($B$4:$K$4&lt;H$4),$B104:$K104-$L104:$U104))),2)</f>
        <v>0</v>
      </c>
      <c r="AC104" s="39" t="n">
        <f aca="false">ROUND(I104-S104-MIN(I104-S104,MAX(0,$AF104-SUMPRODUCT(--($B$4:$K$4&lt;I$4),$B104:$K104-$L104:$U104))),2)</f>
        <v>0</v>
      </c>
      <c r="AD104" s="39" t="n">
        <f aca="false">ROUND(J104-T104-MIN(J104-T104,MAX(0,$AF104-SUMPRODUCT(--($B$4:$K$4&lt;J$4),$B104:$K104-$L104:$U104))),2)</f>
        <v>0</v>
      </c>
      <c r="AE104" s="39" t="n">
        <f aca="false">ROUND(K104-U104-MIN(K104-U104,MAX(0,$AF104-SUMPRODUCT(--($B$4:$K$4&lt;K$4),$B104:$K104-$L104:$U104))),2)</f>
        <v>0</v>
      </c>
      <c r="AF104" s="39" t="n">
        <f aca="false">MAX(0,'Start Here'!$C$5-SUM($L104:$U104))</f>
        <v>1200</v>
      </c>
      <c r="AG104" s="39" t="n">
        <f aca="false">SUM(V104:AE104)</f>
        <v>0</v>
      </c>
      <c r="AH104" s="39" t="n">
        <f aca="false">SUM(B104:K104)-AG103</f>
        <v>0</v>
      </c>
    </row>
    <row r="105" customFormat="false" ht="15" hidden="false" customHeight="false" outlineLevel="0" collapsed="false">
      <c r="A105" s="40" t="n">
        <f aca="false">DATE(YEAR('Start Here'!$C$6),MONTH('Start Here'!$C$6)+98,1)</f>
        <v>49279</v>
      </c>
      <c r="B105" s="39" t="n">
        <f aca="false">ROUND(V104*(1+N('My Debts'!$D$6)/12),2)</f>
        <v>0</v>
      </c>
      <c r="C105" s="39" t="n">
        <f aca="false">ROUND(W104*(1+N('My Debts'!$D$7)/12),2)</f>
        <v>0</v>
      </c>
      <c r="D105" s="39" t="n">
        <f aca="false">ROUND(X104*(1+N('My Debts'!$D$8)/12),2)</f>
        <v>0</v>
      </c>
      <c r="E105" s="39" t="n">
        <f aca="false">ROUND(Y104*(1+N('My Debts'!$D$9)/12),2)</f>
        <v>0</v>
      </c>
      <c r="F105" s="39" t="n">
        <f aca="false">ROUND(Z104*(1+N('My Debts'!$D$10)/12),2)</f>
        <v>0</v>
      </c>
      <c r="G105" s="39" t="n">
        <f aca="false">ROUND(AA104*(1+N('My Debts'!$D$11)/12),2)</f>
        <v>0</v>
      </c>
      <c r="H105" s="39" t="n">
        <f aca="false">ROUND(AB104*(1+N('My Debts'!$D$12)/12),2)</f>
        <v>0</v>
      </c>
      <c r="I105" s="39" t="n">
        <f aca="false">ROUND(AC104*(1+N('My Debts'!$D$13)/12),2)</f>
        <v>0</v>
      </c>
      <c r="J105" s="39" t="n">
        <f aca="false">ROUND(AD104*(1+N('My Debts'!$D$14)/12),2)</f>
        <v>0</v>
      </c>
      <c r="K105" s="39" t="n">
        <f aca="false">ROUND(AE104*(1+N('My Debts'!$D$15)/12),2)</f>
        <v>0</v>
      </c>
      <c r="L105" s="39" t="n">
        <f aca="false">MIN(N('My Debts'!$E$6),B105)</f>
        <v>0</v>
      </c>
      <c r="M105" s="39" t="n">
        <f aca="false">MIN(N('My Debts'!$E$7),C105)</f>
        <v>0</v>
      </c>
      <c r="N105" s="39" t="n">
        <f aca="false">MIN(N('My Debts'!$E$8),D105)</f>
        <v>0</v>
      </c>
      <c r="O105" s="39" t="n">
        <f aca="false">MIN(N('My Debts'!$E$9),E105)</f>
        <v>0</v>
      </c>
      <c r="P105" s="39" t="n">
        <f aca="false">MIN(N('My Debts'!$E$10),F105)</f>
        <v>0</v>
      </c>
      <c r="Q105" s="39" t="n">
        <f aca="false">MIN(N('My Debts'!$E$11),G105)</f>
        <v>0</v>
      </c>
      <c r="R105" s="39" t="n">
        <f aca="false">MIN(N('My Debts'!$E$12),H105)</f>
        <v>0</v>
      </c>
      <c r="S105" s="39" t="n">
        <f aca="false">MIN(N('My Debts'!$E$13),I105)</f>
        <v>0</v>
      </c>
      <c r="T105" s="39" t="n">
        <f aca="false">MIN(N('My Debts'!$E$14),J105)</f>
        <v>0</v>
      </c>
      <c r="U105" s="39" t="n">
        <f aca="false">MIN(N('My Debts'!$E$15),K105)</f>
        <v>0</v>
      </c>
      <c r="V105" s="39" t="n">
        <f aca="false">ROUND(B105-L105-MIN(B105-L105,MAX(0,$AF105-SUMPRODUCT(--($B$4:$K$4&lt;B$4),$B105:$K105-$L105:$U105))),2)</f>
        <v>0</v>
      </c>
      <c r="W105" s="39" t="n">
        <f aca="false">ROUND(C105-M105-MIN(C105-M105,MAX(0,$AF105-SUMPRODUCT(--($B$4:$K$4&lt;C$4),$B105:$K105-$L105:$U105))),2)</f>
        <v>0</v>
      </c>
      <c r="X105" s="39" t="n">
        <f aca="false">ROUND(D105-N105-MIN(D105-N105,MAX(0,$AF105-SUMPRODUCT(--($B$4:$K$4&lt;D$4),$B105:$K105-$L105:$U105))),2)</f>
        <v>0</v>
      </c>
      <c r="Y105" s="39" t="n">
        <f aca="false">ROUND(E105-O105-MIN(E105-O105,MAX(0,$AF105-SUMPRODUCT(--($B$4:$K$4&lt;E$4),$B105:$K105-$L105:$U105))),2)</f>
        <v>0</v>
      </c>
      <c r="Z105" s="39" t="n">
        <f aca="false">ROUND(F105-P105-MIN(F105-P105,MAX(0,$AF105-SUMPRODUCT(--($B$4:$K$4&lt;F$4),$B105:$K105-$L105:$U105))),2)</f>
        <v>0</v>
      </c>
      <c r="AA105" s="39" t="n">
        <f aca="false">ROUND(G105-Q105-MIN(G105-Q105,MAX(0,$AF105-SUMPRODUCT(--($B$4:$K$4&lt;G$4),$B105:$K105-$L105:$U105))),2)</f>
        <v>0</v>
      </c>
      <c r="AB105" s="39" t="n">
        <f aca="false">ROUND(H105-R105-MIN(H105-R105,MAX(0,$AF105-SUMPRODUCT(--($B$4:$K$4&lt;H$4),$B105:$K105-$L105:$U105))),2)</f>
        <v>0</v>
      </c>
      <c r="AC105" s="39" t="n">
        <f aca="false">ROUND(I105-S105-MIN(I105-S105,MAX(0,$AF105-SUMPRODUCT(--($B$4:$K$4&lt;I$4),$B105:$K105-$L105:$U105))),2)</f>
        <v>0</v>
      </c>
      <c r="AD105" s="39" t="n">
        <f aca="false">ROUND(J105-T105-MIN(J105-T105,MAX(0,$AF105-SUMPRODUCT(--($B$4:$K$4&lt;J$4),$B105:$K105-$L105:$U105))),2)</f>
        <v>0</v>
      </c>
      <c r="AE105" s="39" t="n">
        <f aca="false">ROUND(K105-U105-MIN(K105-U105,MAX(0,$AF105-SUMPRODUCT(--($B$4:$K$4&lt;K$4),$B105:$K105-$L105:$U105))),2)</f>
        <v>0</v>
      </c>
      <c r="AF105" s="39" t="n">
        <f aca="false">MAX(0,'Start Here'!$C$5-SUM($L105:$U105))</f>
        <v>1200</v>
      </c>
      <c r="AG105" s="39" t="n">
        <f aca="false">SUM(V105:AE105)</f>
        <v>0</v>
      </c>
      <c r="AH105" s="39" t="n">
        <f aca="false">SUM(B105:K105)-AG104</f>
        <v>0</v>
      </c>
    </row>
    <row r="106" customFormat="false" ht="15" hidden="false" customHeight="false" outlineLevel="0" collapsed="false">
      <c r="A106" s="40" t="n">
        <f aca="false">DATE(YEAR('Start Here'!$C$6),MONTH('Start Here'!$C$6)+99,1)</f>
        <v>49310</v>
      </c>
      <c r="B106" s="39" t="n">
        <f aca="false">ROUND(V105*(1+N('My Debts'!$D$6)/12),2)</f>
        <v>0</v>
      </c>
      <c r="C106" s="39" t="n">
        <f aca="false">ROUND(W105*(1+N('My Debts'!$D$7)/12),2)</f>
        <v>0</v>
      </c>
      <c r="D106" s="39" t="n">
        <f aca="false">ROUND(X105*(1+N('My Debts'!$D$8)/12),2)</f>
        <v>0</v>
      </c>
      <c r="E106" s="39" t="n">
        <f aca="false">ROUND(Y105*(1+N('My Debts'!$D$9)/12),2)</f>
        <v>0</v>
      </c>
      <c r="F106" s="39" t="n">
        <f aca="false">ROUND(Z105*(1+N('My Debts'!$D$10)/12),2)</f>
        <v>0</v>
      </c>
      <c r="G106" s="39" t="n">
        <f aca="false">ROUND(AA105*(1+N('My Debts'!$D$11)/12),2)</f>
        <v>0</v>
      </c>
      <c r="H106" s="39" t="n">
        <f aca="false">ROUND(AB105*(1+N('My Debts'!$D$12)/12),2)</f>
        <v>0</v>
      </c>
      <c r="I106" s="39" t="n">
        <f aca="false">ROUND(AC105*(1+N('My Debts'!$D$13)/12),2)</f>
        <v>0</v>
      </c>
      <c r="J106" s="39" t="n">
        <f aca="false">ROUND(AD105*(1+N('My Debts'!$D$14)/12),2)</f>
        <v>0</v>
      </c>
      <c r="K106" s="39" t="n">
        <f aca="false">ROUND(AE105*(1+N('My Debts'!$D$15)/12),2)</f>
        <v>0</v>
      </c>
      <c r="L106" s="39" t="n">
        <f aca="false">MIN(N('My Debts'!$E$6),B106)</f>
        <v>0</v>
      </c>
      <c r="M106" s="39" t="n">
        <f aca="false">MIN(N('My Debts'!$E$7),C106)</f>
        <v>0</v>
      </c>
      <c r="N106" s="39" t="n">
        <f aca="false">MIN(N('My Debts'!$E$8),D106)</f>
        <v>0</v>
      </c>
      <c r="O106" s="39" t="n">
        <f aca="false">MIN(N('My Debts'!$E$9),E106)</f>
        <v>0</v>
      </c>
      <c r="P106" s="39" t="n">
        <f aca="false">MIN(N('My Debts'!$E$10),F106)</f>
        <v>0</v>
      </c>
      <c r="Q106" s="39" t="n">
        <f aca="false">MIN(N('My Debts'!$E$11),G106)</f>
        <v>0</v>
      </c>
      <c r="R106" s="39" t="n">
        <f aca="false">MIN(N('My Debts'!$E$12),H106)</f>
        <v>0</v>
      </c>
      <c r="S106" s="39" t="n">
        <f aca="false">MIN(N('My Debts'!$E$13),I106)</f>
        <v>0</v>
      </c>
      <c r="T106" s="39" t="n">
        <f aca="false">MIN(N('My Debts'!$E$14),J106)</f>
        <v>0</v>
      </c>
      <c r="U106" s="39" t="n">
        <f aca="false">MIN(N('My Debts'!$E$15),K106)</f>
        <v>0</v>
      </c>
      <c r="V106" s="39" t="n">
        <f aca="false">ROUND(B106-L106-MIN(B106-L106,MAX(0,$AF106-SUMPRODUCT(--($B$4:$K$4&lt;B$4),$B106:$K106-$L106:$U106))),2)</f>
        <v>0</v>
      </c>
      <c r="W106" s="39" t="n">
        <f aca="false">ROUND(C106-M106-MIN(C106-M106,MAX(0,$AF106-SUMPRODUCT(--($B$4:$K$4&lt;C$4),$B106:$K106-$L106:$U106))),2)</f>
        <v>0</v>
      </c>
      <c r="X106" s="39" t="n">
        <f aca="false">ROUND(D106-N106-MIN(D106-N106,MAX(0,$AF106-SUMPRODUCT(--($B$4:$K$4&lt;D$4),$B106:$K106-$L106:$U106))),2)</f>
        <v>0</v>
      </c>
      <c r="Y106" s="39" t="n">
        <f aca="false">ROUND(E106-O106-MIN(E106-O106,MAX(0,$AF106-SUMPRODUCT(--($B$4:$K$4&lt;E$4),$B106:$K106-$L106:$U106))),2)</f>
        <v>0</v>
      </c>
      <c r="Z106" s="39" t="n">
        <f aca="false">ROUND(F106-P106-MIN(F106-P106,MAX(0,$AF106-SUMPRODUCT(--($B$4:$K$4&lt;F$4),$B106:$K106-$L106:$U106))),2)</f>
        <v>0</v>
      </c>
      <c r="AA106" s="39" t="n">
        <f aca="false">ROUND(G106-Q106-MIN(G106-Q106,MAX(0,$AF106-SUMPRODUCT(--($B$4:$K$4&lt;G$4),$B106:$K106-$L106:$U106))),2)</f>
        <v>0</v>
      </c>
      <c r="AB106" s="39" t="n">
        <f aca="false">ROUND(H106-R106-MIN(H106-R106,MAX(0,$AF106-SUMPRODUCT(--($B$4:$K$4&lt;H$4),$B106:$K106-$L106:$U106))),2)</f>
        <v>0</v>
      </c>
      <c r="AC106" s="39" t="n">
        <f aca="false">ROUND(I106-S106-MIN(I106-S106,MAX(0,$AF106-SUMPRODUCT(--($B$4:$K$4&lt;I$4),$B106:$K106-$L106:$U106))),2)</f>
        <v>0</v>
      </c>
      <c r="AD106" s="39" t="n">
        <f aca="false">ROUND(J106-T106-MIN(J106-T106,MAX(0,$AF106-SUMPRODUCT(--($B$4:$K$4&lt;J$4),$B106:$K106-$L106:$U106))),2)</f>
        <v>0</v>
      </c>
      <c r="AE106" s="39" t="n">
        <f aca="false">ROUND(K106-U106-MIN(K106-U106,MAX(0,$AF106-SUMPRODUCT(--($B$4:$K$4&lt;K$4),$B106:$K106-$L106:$U106))),2)</f>
        <v>0</v>
      </c>
      <c r="AF106" s="39" t="n">
        <f aca="false">MAX(0,'Start Here'!$C$5-SUM($L106:$U106))</f>
        <v>1200</v>
      </c>
      <c r="AG106" s="39" t="n">
        <f aca="false">SUM(V106:AE106)</f>
        <v>0</v>
      </c>
      <c r="AH106" s="39" t="n">
        <f aca="false">SUM(B106:K106)-AG105</f>
        <v>0</v>
      </c>
    </row>
    <row r="107" customFormat="false" ht="15" hidden="false" customHeight="false" outlineLevel="0" collapsed="false">
      <c r="A107" s="40" t="n">
        <f aca="false">DATE(YEAR('Start Here'!$C$6),MONTH('Start Here'!$C$6)+100,1)</f>
        <v>49341</v>
      </c>
      <c r="B107" s="39" t="n">
        <f aca="false">ROUND(V106*(1+N('My Debts'!$D$6)/12),2)</f>
        <v>0</v>
      </c>
      <c r="C107" s="39" t="n">
        <f aca="false">ROUND(W106*(1+N('My Debts'!$D$7)/12),2)</f>
        <v>0</v>
      </c>
      <c r="D107" s="39" t="n">
        <f aca="false">ROUND(X106*(1+N('My Debts'!$D$8)/12),2)</f>
        <v>0</v>
      </c>
      <c r="E107" s="39" t="n">
        <f aca="false">ROUND(Y106*(1+N('My Debts'!$D$9)/12),2)</f>
        <v>0</v>
      </c>
      <c r="F107" s="39" t="n">
        <f aca="false">ROUND(Z106*(1+N('My Debts'!$D$10)/12),2)</f>
        <v>0</v>
      </c>
      <c r="G107" s="39" t="n">
        <f aca="false">ROUND(AA106*(1+N('My Debts'!$D$11)/12),2)</f>
        <v>0</v>
      </c>
      <c r="H107" s="39" t="n">
        <f aca="false">ROUND(AB106*(1+N('My Debts'!$D$12)/12),2)</f>
        <v>0</v>
      </c>
      <c r="I107" s="39" t="n">
        <f aca="false">ROUND(AC106*(1+N('My Debts'!$D$13)/12),2)</f>
        <v>0</v>
      </c>
      <c r="J107" s="39" t="n">
        <f aca="false">ROUND(AD106*(1+N('My Debts'!$D$14)/12),2)</f>
        <v>0</v>
      </c>
      <c r="K107" s="39" t="n">
        <f aca="false">ROUND(AE106*(1+N('My Debts'!$D$15)/12),2)</f>
        <v>0</v>
      </c>
      <c r="L107" s="39" t="n">
        <f aca="false">MIN(N('My Debts'!$E$6),B107)</f>
        <v>0</v>
      </c>
      <c r="M107" s="39" t="n">
        <f aca="false">MIN(N('My Debts'!$E$7),C107)</f>
        <v>0</v>
      </c>
      <c r="N107" s="39" t="n">
        <f aca="false">MIN(N('My Debts'!$E$8),D107)</f>
        <v>0</v>
      </c>
      <c r="O107" s="39" t="n">
        <f aca="false">MIN(N('My Debts'!$E$9),E107)</f>
        <v>0</v>
      </c>
      <c r="P107" s="39" t="n">
        <f aca="false">MIN(N('My Debts'!$E$10),F107)</f>
        <v>0</v>
      </c>
      <c r="Q107" s="39" t="n">
        <f aca="false">MIN(N('My Debts'!$E$11),G107)</f>
        <v>0</v>
      </c>
      <c r="R107" s="39" t="n">
        <f aca="false">MIN(N('My Debts'!$E$12),H107)</f>
        <v>0</v>
      </c>
      <c r="S107" s="39" t="n">
        <f aca="false">MIN(N('My Debts'!$E$13),I107)</f>
        <v>0</v>
      </c>
      <c r="T107" s="39" t="n">
        <f aca="false">MIN(N('My Debts'!$E$14),J107)</f>
        <v>0</v>
      </c>
      <c r="U107" s="39" t="n">
        <f aca="false">MIN(N('My Debts'!$E$15),K107)</f>
        <v>0</v>
      </c>
      <c r="V107" s="39" t="n">
        <f aca="false">ROUND(B107-L107-MIN(B107-L107,MAX(0,$AF107-SUMPRODUCT(--($B$4:$K$4&lt;B$4),$B107:$K107-$L107:$U107))),2)</f>
        <v>0</v>
      </c>
      <c r="W107" s="39" t="n">
        <f aca="false">ROUND(C107-M107-MIN(C107-M107,MAX(0,$AF107-SUMPRODUCT(--($B$4:$K$4&lt;C$4),$B107:$K107-$L107:$U107))),2)</f>
        <v>0</v>
      </c>
      <c r="X107" s="39" t="n">
        <f aca="false">ROUND(D107-N107-MIN(D107-N107,MAX(0,$AF107-SUMPRODUCT(--($B$4:$K$4&lt;D$4),$B107:$K107-$L107:$U107))),2)</f>
        <v>0</v>
      </c>
      <c r="Y107" s="39" t="n">
        <f aca="false">ROUND(E107-O107-MIN(E107-O107,MAX(0,$AF107-SUMPRODUCT(--($B$4:$K$4&lt;E$4),$B107:$K107-$L107:$U107))),2)</f>
        <v>0</v>
      </c>
      <c r="Z107" s="39" t="n">
        <f aca="false">ROUND(F107-P107-MIN(F107-P107,MAX(0,$AF107-SUMPRODUCT(--($B$4:$K$4&lt;F$4),$B107:$K107-$L107:$U107))),2)</f>
        <v>0</v>
      </c>
      <c r="AA107" s="39" t="n">
        <f aca="false">ROUND(G107-Q107-MIN(G107-Q107,MAX(0,$AF107-SUMPRODUCT(--($B$4:$K$4&lt;G$4),$B107:$K107-$L107:$U107))),2)</f>
        <v>0</v>
      </c>
      <c r="AB107" s="39" t="n">
        <f aca="false">ROUND(H107-R107-MIN(H107-R107,MAX(0,$AF107-SUMPRODUCT(--($B$4:$K$4&lt;H$4),$B107:$K107-$L107:$U107))),2)</f>
        <v>0</v>
      </c>
      <c r="AC107" s="39" t="n">
        <f aca="false">ROUND(I107-S107-MIN(I107-S107,MAX(0,$AF107-SUMPRODUCT(--($B$4:$K$4&lt;I$4),$B107:$K107-$L107:$U107))),2)</f>
        <v>0</v>
      </c>
      <c r="AD107" s="39" t="n">
        <f aca="false">ROUND(J107-T107-MIN(J107-T107,MAX(0,$AF107-SUMPRODUCT(--($B$4:$K$4&lt;J$4),$B107:$K107-$L107:$U107))),2)</f>
        <v>0</v>
      </c>
      <c r="AE107" s="39" t="n">
        <f aca="false">ROUND(K107-U107-MIN(K107-U107,MAX(0,$AF107-SUMPRODUCT(--($B$4:$K$4&lt;K$4),$B107:$K107-$L107:$U107))),2)</f>
        <v>0</v>
      </c>
      <c r="AF107" s="39" t="n">
        <f aca="false">MAX(0,'Start Here'!$C$5-SUM($L107:$U107))</f>
        <v>1200</v>
      </c>
      <c r="AG107" s="39" t="n">
        <f aca="false">SUM(V107:AE107)</f>
        <v>0</v>
      </c>
      <c r="AH107" s="39" t="n">
        <f aca="false">SUM(B107:K107)-AG106</f>
        <v>0</v>
      </c>
    </row>
    <row r="108" customFormat="false" ht="15" hidden="false" customHeight="false" outlineLevel="0" collapsed="false">
      <c r="A108" s="40" t="n">
        <f aca="false">DATE(YEAR('Start Here'!$C$6),MONTH('Start Here'!$C$6)+101,1)</f>
        <v>49369</v>
      </c>
      <c r="B108" s="39" t="n">
        <f aca="false">ROUND(V107*(1+N('My Debts'!$D$6)/12),2)</f>
        <v>0</v>
      </c>
      <c r="C108" s="39" t="n">
        <f aca="false">ROUND(W107*(1+N('My Debts'!$D$7)/12),2)</f>
        <v>0</v>
      </c>
      <c r="D108" s="39" t="n">
        <f aca="false">ROUND(X107*(1+N('My Debts'!$D$8)/12),2)</f>
        <v>0</v>
      </c>
      <c r="E108" s="39" t="n">
        <f aca="false">ROUND(Y107*(1+N('My Debts'!$D$9)/12),2)</f>
        <v>0</v>
      </c>
      <c r="F108" s="39" t="n">
        <f aca="false">ROUND(Z107*(1+N('My Debts'!$D$10)/12),2)</f>
        <v>0</v>
      </c>
      <c r="G108" s="39" t="n">
        <f aca="false">ROUND(AA107*(1+N('My Debts'!$D$11)/12),2)</f>
        <v>0</v>
      </c>
      <c r="H108" s="39" t="n">
        <f aca="false">ROUND(AB107*(1+N('My Debts'!$D$12)/12),2)</f>
        <v>0</v>
      </c>
      <c r="I108" s="39" t="n">
        <f aca="false">ROUND(AC107*(1+N('My Debts'!$D$13)/12),2)</f>
        <v>0</v>
      </c>
      <c r="J108" s="39" t="n">
        <f aca="false">ROUND(AD107*(1+N('My Debts'!$D$14)/12),2)</f>
        <v>0</v>
      </c>
      <c r="K108" s="39" t="n">
        <f aca="false">ROUND(AE107*(1+N('My Debts'!$D$15)/12),2)</f>
        <v>0</v>
      </c>
      <c r="L108" s="39" t="n">
        <f aca="false">MIN(N('My Debts'!$E$6),B108)</f>
        <v>0</v>
      </c>
      <c r="M108" s="39" t="n">
        <f aca="false">MIN(N('My Debts'!$E$7),C108)</f>
        <v>0</v>
      </c>
      <c r="N108" s="39" t="n">
        <f aca="false">MIN(N('My Debts'!$E$8),D108)</f>
        <v>0</v>
      </c>
      <c r="O108" s="39" t="n">
        <f aca="false">MIN(N('My Debts'!$E$9),E108)</f>
        <v>0</v>
      </c>
      <c r="P108" s="39" t="n">
        <f aca="false">MIN(N('My Debts'!$E$10),F108)</f>
        <v>0</v>
      </c>
      <c r="Q108" s="39" t="n">
        <f aca="false">MIN(N('My Debts'!$E$11),G108)</f>
        <v>0</v>
      </c>
      <c r="R108" s="39" t="n">
        <f aca="false">MIN(N('My Debts'!$E$12),H108)</f>
        <v>0</v>
      </c>
      <c r="S108" s="39" t="n">
        <f aca="false">MIN(N('My Debts'!$E$13),I108)</f>
        <v>0</v>
      </c>
      <c r="T108" s="39" t="n">
        <f aca="false">MIN(N('My Debts'!$E$14),J108)</f>
        <v>0</v>
      </c>
      <c r="U108" s="39" t="n">
        <f aca="false">MIN(N('My Debts'!$E$15),K108)</f>
        <v>0</v>
      </c>
      <c r="V108" s="39" t="n">
        <f aca="false">ROUND(B108-L108-MIN(B108-L108,MAX(0,$AF108-SUMPRODUCT(--($B$4:$K$4&lt;B$4),$B108:$K108-$L108:$U108))),2)</f>
        <v>0</v>
      </c>
      <c r="W108" s="39" t="n">
        <f aca="false">ROUND(C108-M108-MIN(C108-M108,MAX(0,$AF108-SUMPRODUCT(--($B$4:$K$4&lt;C$4),$B108:$K108-$L108:$U108))),2)</f>
        <v>0</v>
      </c>
      <c r="X108" s="39" t="n">
        <f aca="false">ROUND(D108-N108-MIN(D108-N108,MAX(0,$AF108-SUMPRODUCT(--($B$4:$K$4&lt;D$4),$B108:$K108-$L108:$U108))),2)</f>
        <v>0</v>
      </c>
      <c r="Y108" s="39" t="n">
        <f aca="false">ROUND(E108-O108-MIN(E108-O108,MAX(0,$AF108-SUMPRODUCT(--($B$4:$K$4&lt;E$4),$B108:$K108-$L108:$U108))),2)</f>
        <v>0</v>
      </c>
      <c r="Z108" s="39" t="n">
        <f aca="false">ROUND(F108-P108-MIN(F108-P108,MAX(0,$AF108-SUMPRODUCT(--($B$4:$K$4&lt;F$4),$B108:$K108-$L108:$U108))),2)</f>
        <v>0</v>
      </c>
      <c r="AA108" s="39" t="n">
        <f aca="false">ROUND(G108-Q108-MIN(G108-Q108,MAX(0,$AF108-SUMPRODUCT(--($B$4:$K$4&lt;G$4),$B108:$K108-$L108:$U108))),2)</f>
        <v>0</v>
      </c>
      <c r="AB108" s="39" t="n">
        <f aca="false">ROUND(H108-R108-MIN(H108-R108,MAX(0,$AF108-SUMPRODUCT(--($B$4:$K$4&lt;H$4),$B108:$K108-$L108:$U108))),2)</f>
        <v>0</v>
      </c>
      <c r="AC108" s="39" t="n">
        <f aca="false">ROUND(I108-S108-MIN(I108-S108,MAX(0,$AF108-SUMPRODUCT(--($B$4:$K$4&lt;I$4),$B108:$K108-$L108:$U108))),2)</f>
        <v>0</v>
      </c>
      <c r="AD108" s="39" t="n">
        <f aca="false">ROUND(J108-T108-MIN(J108-T108,MAX(0,$AF108-SUMPRODUCT(--($B$4:$K$4&lt;J$4),$B108:$K108-$L108:$U108))),2)</f>
        <v>0</v>
      </c>
      <c r="AE108" s="39" t="n">
        <f aca="false">ROUND(K108-U108-MIN(K108-U108,MAX(0,$AF108-SUMPRODUCT(--($B$4:$K$4&lt;K$4),$B108:$K108-$L108:$U108))),2)</f>
        <v>0</v>
      </c>
      <c r="AF108" s="39" t="n">
        <f aca="false">MAX(0,'Start Here'!$C$5-SUM($L108:$U108))</f>
        <v>1200</v>
      </c>
      <c r="AG108" s="39" t="n">
        <f aca="false">SUM(V108:AE108)</f>
        <v>0</v>
      </c>
      <c r="AH108" s="39" t="n">
        <f aca="false">SUM(B108:K108)-AG107</f>
        <v>0</v>
      </c>
    </row>
    <row r="109" customFormat="false" ht="15" hidden="false" customHeight="false" outlineLevel="0" collapsed="false">
      <c r="A109" s="40" t="n">
        <f aca="false">DATE(YEAR('Start Here'!$C$6),MONTH('Start Here'!$C$6)+102,1)</f>
        <v>49400</v>
      </c>
      <c r="B109" s="39" t="n">
        <f aca="false">ROUND(V108*(1+N('My Debts'!$D$6)/12),2)</f>
        <v>0</v>
      </c>
      <c r="C109" s="39" t="n">
        <f aca="false">ROUND(W108*(1+N('My Debts'!$D$7)/12),2)</f>
        <v>0</v>
      </c>
      <c r="D109" s="39" t="n">
        <f aca="false">ROUND(X108*(1+N('My Debts'!$D$8)/12),2)</f>
        <v>0</v>
      </c>
      <c r="E109" s="39" t="n">
        <f aca="false">ROUND(Y108*(1+N('My Debts'!$D$9)/12),2)</f>
        <v>0</v>
      </c>
      <c r="F109" s="39" t="n">
        <f aca="false">ROUND(Z108*(1+N('My Debts'!$D$10)/12),2)</f>
        <v>0</v>
      </c>
      <c r="G109" s="39" t="n">
        <f aca="false">ROUND(AA108*(1+N('My Debts'!$D$11)/12),2)</f>
        <v>0</v>
      </c>
      <c r="H109" s="39" t="n">
        <f aca="false">ROUND(AB108*(1+N('My Debts'!$D$12)/12),2)</f>
        <v>0</v>
      </c>
      <c r="I109" s="39" t="n">
        <f aca="false">ROUND(AC108*(1+N('My Debts'!$D$13)/12),2)</f>
        <v>0</v>
      </c>
      <c r="J109" s="39" t="n">
        <f aca="false">ROUND(AD108*(1+N('My Debts'!$D$14)/12),2)</f>
        <v>0</v>
      </c>
      <c r="K109" s="39" t="n">
        <f aca="false">ROUND(AE108*(1+N('My Debts'!$D$15)/12),2)</f>
        <v>0</v>
      </c>
      <c r="L109" s="39" t="n">
        <f aca="false">MIN(N('My Debts'!$E$6),B109)</f>
        <v>0</v>
      </c>
      <c r="M109" s="39" t="n">
        <f aca="false">MIN(N('My Debts'!$E$7),C109)</f>
        <v>0</v>
      </c>
      <c r="N109" s="39" t="n">
        <f aca="false">MIN(N('My Debts'!$E$8),D109)</f>
        <v>0</v>
      </c>
      <c r="O109" s="39" t="n">
        <f aca="false">MIN(N('My Debts'!$E$9),E109)</f>
        <v>0</v>
      </c>
      <c r="P109" s="39" t="n">
        <f aca="false">MIN(N('My Debts'!$E$10),F109)</f>
        <v>0</v>
      </c>
      <c r="Q109" s="39" t="n">
        <f aca="false">MIN(N('My Debts'!$E$11),G109)</f>
        <v>0</v>
      </c>
      <c r="R109" s="39" t="n">
        <f aca="false">MIN(N('My Debts'!$E$12),H109)</f>
        <v>0</v>
      </c>
      <c r="S109" s="39" t="n">
        <f aca="false">MIN(N('My Debts'!$E$13),I109)</f>
        <v>0</v>
      </c>
      <c r="T109" s="39" t="n">
        <f aca="false">MIN(N('My Debts'!$E$14),J109)</f>
        <v>0</v>
      </c>
      <c r="U109" s="39" t="n">
        <f aca="false">MIN(N('My Debts'!$E$15),K109)</f>
        <v>0</v>
      </c>
      <c r="V109" s="39" t="n">
        <f aca="false">ROUND(B109-L109-MIN(B109-L109,MAX(0,$AF109-SUMPRODUCT(--($B$4:$K$4&lt;B$4),$B109:$K109-$L109:$U109))),2)</f>
        <v>0</v>
      </c>
      <c r="W109" s="39" t="n">
        <f aca="false">ROUND(C109-M109-MIN(C109-M109,MAX(0,$AF109-SUMPRODUCT(--($B$4:$K$4&lt;C$4),$B109:$K109-$L109:$U109))),2)</f>
        <v>0</v>
      </c>
      <c r="X109" s="39" t="n">
        <f aca="false">ROUND(D109-N109-MIN(D109-N109,MAX(0,$AF109-SUMPRODUCT(--($B$4:$K$4&lt;D$4),$B109:$K109-$L109:$U109))),2)</f>
        <v>0</v>
      </c>
      <c r="Y109" s="39" t="n">
        <f aca="false">ROUND(E109-O109-MIN(E109-O109,MAX(0,$AF109-SUMPRODUCT(--($B$4:$K$4&lt;E$4),$B109:$K109-$L109:$U109))),2)</f>
        <v>0</v>
      </c>
      <c r="Z109" s="39" t="n">
        <f aca="false">ROUND(F109-P109-MIN(F109-P109,MAX(0,$AF109-SUMPRODUCT(--($B$4:$K$4&lt;F$4),$B109:$K109-$L109:$U109))),2)</f>
        <v>0</v>
      </c>
      <c r="AA109" s="39" t="n">
        <f aca="false">ROUND(G109-Q109-MIN(G109-Q109,MAX(0,$AF109-SUMPRODUCT(--($B$4:$K$4&lt;G$4),$B109:$K109-$L109:$U109))),2)</f>
        <v>0</v>
      </c>
      <c r="AB109" s="39" t="n">
        <f aca="false">ROUND(H109-R109-MIN(H109-R109,MAX(0,$AF109-SUMPRODUCT(--($B$4:$K$4&lt;H$4),$B109:$K109-$L109:$U109))),2)</f>
        <v>0</v>
      </c>
      <c r="AC109" s="39" t="n">
        <f aca="false">ROUND(I109-S109-MIN(I109-S109,MAX(0,$AF109-SUMPRODUCT(--($B$4:$K$4&lt;I$4),$B109:$K109-$L109:$U109))),2)</f>
        <v>0</v>
      </c>
      <c r="AD109" s="39" t="n">
        <f aca="false">ROUND(J109-T109-MIN(J109-T109,MAX(0,$AF109-SUMPRODUCT(--($B$4:$K$4&lt;J$4),$B109:$K109-$L109:$U109))),2)</f>
        <v>0</v>
      </c>
      <c r="AE109" s="39" t="n">
        <f aca="false">ROUND(K109-U109-MIN(K109-U109,MAX(0,$AF109-SUMPRODUCT(--($B$4:$K$4&lt;K$4),$B109:$K109-$L109:$U109))),2)</f>
        <v>0</v>
      </c>
      <c r="AF109" s="39" t="n">
        <f aca="false">MAX(0,'Start Here'!$C$5-SUM($L109:$U109))</f>
        <v>1200</v>
      </c>
      <c r="AG109" s="39" t="n">
        <f aca="false">SUM(V109:AE109)</f>
        <v>0</v>
      </c>
      <c r="AH109" s="39" t="n">
        <f aca="false">SUM(B109:K109)-AG108</f>
        <v>0</v>
      </c>
    </row>
    <row r="110" customFormat="false" ht="15" hidden="false" customHeight="false" outlineLevel="0" collapsed="false">
      <c r="A110" s="40" t="n">
        <f aca="false">DATE(YEAR('Start Here'!$C$6),MONTH('Start Here'!$C$6)+103,1)</f>
        <v>49430</v>
      </c>
      <c r="B110" s="39" t="n">
        <f aca="false">ROUND(V109*(1+N('My Debts'!$D$6)/12),2)</f>
        <v>0</v>
      </c>
      <c r="C110" s="39" t="n">
        <f aca="false">ROUND(W109*(1+N('My Debts'!$D$7)/12),2)</f>
        <v>0</v>
      </c>
      <c r="D110" s="39" t="n">
        <f aca="false">ROUND(X109*(1+N('My Debts'!$D$8)/12),2)</f>
        <v>0</v>
      </c>
      <c r="E110" s="39" t="n">
        <f aca="false">ROUND(Y109*(1+N('My Debts'!$D$9)/12),2)</f>
        <v>0</v>
      </c>
      <c r="F110" s="39" t="n">
        <f aca="false">ROUND(Z109*(1+N('My Debts'!$D$10)/12),2)</f>
        <v>0</v>
      </c>
      <c r="G110" s="39" t="n">
        <f aca="false">ROUND(AA109*(1+N('My Debts'!$D$11)/12),2)</f>
        <v>0</v>
      </c>
      <c r="H110" s="39" t="n">
        <f aca="false">ROUND(AB109*(1+N('My Debts'!$D$12)/12),2)</f>
        <v>0</v>
      </c>
      <c r="I110" s="39" t="n">
        <f aca="false">ROUND(AC109*(1+N('My Debts'!$D$13)/12),2)</f>
        <v>0</v>
      </c>
      <c r="J110" s="39" t="n">
        <f aca="false">ROUND(AD109*(1+N('My Debts'!$D$14)/12),2)</f>
        <v>0</v>
      </c>
      <c r="K110" s="39" t="n">
        <f aca="false">ROUND(AE109*(1+N('My Debts'!$D$15)/12),2)</f>
        <v>0</v>
      </c>
      <c r="L110" s="39" t="n">
        <f aca="false">MIN(N('My Debts'!$E$6),B110)</f>
        <v>0</v>
      </c>
      <c r="M110" s="39" t="n">
        <f aca="false">MIN(N('My Debts'!$E$7),C110)</f>
        <v>0</v>
      </c>
      <c r="N110" s="39" t="n">
        <f aca="false">MIN(N('My Debts'!$E$8),D110)</f>
        <v>0</v>
      </c>
      <c r="O110" s="39" t="n">
        <f aca="false">MIN(N('My Debts'!$E$9),E110)</f>
        <v>0</v>
      </c>
      <c r="P110" s="39" t="n">
        <f aca="false">MIN(N('My Debts'!$E$10),F110)</f>
        <v>0</v>
      </c>
      <c r="Q110" s="39" t="n">
        <f aca="false">MIN(N('My Debts'!$E$11),G110)</f>
        <v>0</v>
      </c>
      <c r="R110" s="39" t="n">
        <f aca="false">MIN(N('My Debts'!$E$12),H110)</f>
        <v>0</v>
      </c>
      <c r="S110" s="39" t="n">
        <f aca="false">MIN(N('My Debts'!$E$13),I110)</f>
        <v>0</v>
      </c>
      <c r="T110" s="39" t="n">
        <f aca="false">MIN(N('My Debts'!$E$14),J110)</f>
        <v>0</v>
      </c>
      <c r="U110" s="39" t="n">
        <f aca="false">MIN(N('My Debts'!$E$15),K110)</f>
        <v>0</v>
      </c>
      <c r="V110" s="39" t="n">
        <f aca="false">ROUND(B110-L110-MIN(B110-L110,MAX(0,$AF110-SUMPRODUCT(--($B$4:$K$4&lt;B$4),$B110:$K110-$L110:$U110))),2)</f>
        <v>0</v>
      </c>
      <c r="W110" s="39" t="n">
        <f aca="false">ROUND(C110-M110-MIN(C110-M110,MAX(0,$AF110-SUMPRODUCT(--($B$4:$K$4&lt;C$4),$B110:$K110-$L110:$U110))),2)</f>
        <v>0</v>
      </c>
      <c r="X110" s="39" t="n">
        <f aca="false">ROUND(D110-N110-MIN(D110-N110,MAX(0,$AF110-SUMPRODUCT(--($B$4:$K$4&lt;D$4),$B110:$K110-$L110:$U110))),2)</f>
        <v>0</v>
      </c>
      <c r="Y110" s="39" t="n">
        <f aca="false">ROUND(E110-O110-MIN(E110-O110,MAX(0,$AF110-SUMPRODUCT(--($B$4:$K$4&lt;E$4),$B110:$K110-$L110:$U110))),2)</f>
        <v>0</v>
      </c>
      <c r="Z110" s="39" t="n">
        <f aca="false">ROUND(F110-P110-MIN(F110-P110,MAX(0,$AF110-SUMPRODUCT(--($B$4:$K$4&lt;F$4),$B110:$K110-$L110:$U110))),2)</f>
        <v>0</v>
      </c>
      <c r="AA110" s="39" t="n">
        <f aca="false">ROUND(G110-Q110-MIN(G110-Q110,MAX(0,$AF110-SUMPRODUCT(--($B$4:$K$4&lt;G$4),$B110:$K110-$L110:$U110))),2)</f>
        <v>0</v>
      </c>
      <c r="AB110" s="39" t="n">
        <f aca="false">ROUND(H110-R110-MIN(H110-R110,MAX(0,$AF110-SUMPRODUCT(--($B$4:$K$4&lt;H$4),$B110:$K110-$L110:$U110))),2)</f>
        <v>0</v>
      </c>
      <c r="AC110" s="39" t="n">
        <f aca="false">ROUND(I110-S110-MIN(I110-S110,MAX(0,$AF110-SUMPRODUCT(--($B$4:$K$4&lt;I$4),$B110:$K110-$L110:$U110))),2)</f>
        <v>0</v>
      </c>
      <c r="AD110" s="39" t="n">
        <f aca="false">ROUND(J110-T110-MIN(J110-T110,MAX(0,$AF110-SUMPRODUCT(--($B$4:$K$4&lt;J$4),$B110:$K110-$L110:$U110))),2)</f>
        <v>0</v>
      </c>
      <c r="AE110" s="39" t="n">
        <f aca="false">ROUND(K110-U110-MIN(K110-U110,MAX(0,$AF110-SUMPRODUCT(--($B$4:$K$4&lt;K$4),$B110:$K110-$L110:$U110))),2)</f>
        <v>0</v>
      </c>
      <c r="AF110" s="39" t="n">
        <f aca="false">MAX(0,'Start Here'!$C$5-SUM($L110:$U110))</f>
        <v>1200</v>
      </c>
      <c r="AG110" s="39" t="n">
        <f aca="false">SUM(V110:AE110)</f>
        <v>0</v>
      </c>
      <c r="AH110" s="39" t="n">
        <f aca="false">SUM(B110:K110)-AG109</f>
        <v>0</v>
      </c>
    </row>
    <row r="111" customFormat="false" ht="15" hidden="false" customHeight="false" outlineLevel="0" collapsed="false">
      <c r="A111" s="40" t="n">
        <f aca="false">DATE(YEAR('Start Here'!$C$6),MONTH('Start Here'!$C$6)+104,1)</f>
        <v>49461</v>
      </c>
      <c r="B111" s="39" t="n">
        <f aca="false">ROUND(V110*(1+N('My Debts'!$D$6)/12),2)</f>
        <v>0</v>
      </c>
      <c r="C111" s="39" t="n">
        <f aca="false">ROUND(W110*(1+N('My Debts'!$D$7)/12),2)</f>
        <v>0</v>
      </c>
      <c r="D111" s="39" t="n">
        <f aca="false">ROUND(X110*(1+N('My Debts'!$D$8)/12),2)</f>
        <v>0</v>
      </c>
      <c r="E111" s="39" t="n">
        <f aca="false">ROUND(Y110*(1+N('My Debts'!$D$9)/12),2)</f>
        <v>0</v>
      </c>
      <c r="F111" s="39" t="n">
        <f aca="false">ROUND(Z110*(1+N('My Debts'!$D$10)/12),2)</f>
        <v>0</v>
      </c>
      <c r="G111" s="39" t="n">
        <f aca="false">ROUND(AA110*(1+N('My Debts'!$D$11)/12),2)</f>
        <v>0</v>
      </c>
      <c r="H111" s="39" t="n">
        <f aca="false">ROUND(AB110*(1+N('My Debts'!$D$12)/12),2)</f>
        <v>0</v>
      </c>
      <c r="I111" s="39" t="n">
        <f aca="false">ROUND(AC110*(1+N('My Debts'!$D$13)/12),2)</f>
        <v>0</v>
      </c>
      <c r="J111" s="39" t="n">
        <f aca="false">ROUND(AD110*(1+N('My Debts'!$D$14)/12),2)</f>
        <v>0</v>
      </c>
      <c r="K111" s="39" t="n">
        <f aca="false">ROUND(AE110*(1+N('My Debts'!$D$15)/12),2)</f>
        <v>0</v>
      </c>
      <c r="L111" s="39" t="n">
        <f aca="false">MIN(N('My Debts'!$E$6),B111)</f>
        <v>0</v>
      </c>
      <c r="M111" s="39" t="n">
        <f aca="false">MIN(N('My Debts'!$E$7),C111)</f>
        <v>0</v>
      </c>
      <c r="N111" s="39" t="n">
        <f aca="false">MIN(N('My Debts'!$E$8),D111)</f>
        <v>0</v>
      </c>
      <c r="O111" s="39" t="n">
        <f aca="false">MIN(N('My Debts'!$E$9),E111)</f>
        <v>0</v>
      </c>
      <c r="P111" s="39" t="n">
        <f aca="false">MIN(N('My Debts'!$E$10),F111)</f>
        <v>0</v>
      </c>
      <c r="Q111" s="39" t="n">
        <f aca="false">MIN(N('My Debts'!$E$11),G111)</f>
        <v>0</v>
      </c>
      <c r="R111" s="39" t="n">
        <f aca="false">MIN(N('My Debts'!$E$12),H111)</f>
        <v>0</v>
      </c>
      <c r="S111" s="39" t="n">
        <f aca="false">MIN(N('My Debts'!$E$13),I111)</f>
        <v>0</v>
      </c>
      <c r="T111" s="39" t="n">
        <f aca="false">MIN(N('My Debts'!$E$14),J111)</f>
        <v>0</v>
      </c>
      <c r="U111" s="39" t="n">
        <f aca="false">MIN(N('My Debts'!$E$15),K111)</f>
        <v>0</v>
      </c>
      <c r="V111" s="39" t="n">
        <f aca="false">ROUND(B111-L111-MIN(B111-L111,MAX(0,$AF111-SUMPRODUCT(--($B$4:$K$4&lt;B$4),$B111:$K111-$L111:$U111))),2)</f>
        <v>0</v>
      </c>
      <c r="W111" s="39" t="n">
        <f aca="false">ROUND(C111-M111-MIN(C111-M111,MAX(0,$AF111-SUMPRODUCT(--($B$4:$K$4&lt;C$4),$B111:$K111-$L111:$U111))),2)</f>
        <v>0</v>
      </c>
      <c r="X111" s="39" t="n">
        <f aca="false">ROUND(D111-N111-MIN(D111-N111,MAX(0,$AF111-SUMPRODUCT(--($B$4:$K$4&lt;D$4),$B111:$K111-$L111:$U111))),2)</f>
        <v>0</v>
      </c>
      <c r="Y111" s="39" t="n">
        <f aca="false">ROUND(E111-O111-MIN(E111-O111,MAX(0,$AF111-SUMPRODUCT(--($B$4:$K$4&lt;E$4),$B111:$K111-$L111:$U111))),2)</f>
        <v>0</v>
      </c>
      <c r="Z111" s="39" t="n">
        <f aca="false">ROUND(F111-P111-MIN(F111-P111,MAX(0,$AF111-SUMPRODUCT(--($B$4:$K$4&lt;F$4),$B111:$K111-$L111:$U111))),2)</f>
        <v>0</v>
      </c>
      <c r="AA111" s="39" t="n">
        <f aca="false">ROUND(G111-Q111-MIN(G111-Q111,MAX(0,$AF111-SUMPRODUCT(--($B$4:$K$4&lt;G$4),$B111:$K111-$L111:$U111))),2)</f>
        <v>0</v>
      </c>
      <c r="AB111" s="39" t="n">
        <f aca="false">ROUND(H111-R111-MIN(H111-R111,MAX(0,$AF111-SUMPRODUCT(--($B$4:$K$4&lt;H$4),$B111:$K111-$L111:$U111))),2)</f>
        <v>0</v>
      </c>
      <c r="AC111" s="39" t="n">
        <f aca="false">ROUND(I111-S111-MIN(I111-S111,MAX(0,$AF111-SUMPRODUCT(--($B$4:$K$4&lt;I$4),$B111:$K111-$L111:$U111))),2)</f>
        <v>0</v>
      </c>
      <c r="AD111" s="39" t="n">
        <f aca="false">ROUND(J111-T111-MIN(J111-T111,MAX(0,$AF111-SUMPRODUCT(--($B$4:$K$4&lt;J$4),$B111:$K111-$L111:$U111))),2)</f>
        <v>0</v>
      </c>
      <c r="AE111" s="39" t="n">
        <f aca="false">ROUND(K111-U111-MIN(K111-U111,MAX(0,$AF111-SUMPRODUCT(--($B$4:$K$4&lt;K$4),$B111:$K111-$L111:$U111))),2)</f>
        <v>0</v>
      </c>
      <c r="AF111" s="39" t="n">
        <f aca="false">MAX(0,'Start Here'!$C$5-SUM($L111:$U111))</f>
        <v>1200</v>
      </c>
      <c r="AG111" s="39" t="n">
        <f aca="false">SUM(V111:AE111)</f>
        <v>0</v>
      </c>
      <c r="AH111" s="39" t="n">
        <f aca="false">SUM(B111:K111)-AG110</f>
        <v>0</v>
      </c>
    </row>
    <row r="112" customFormat="false" ht="15" hidden="false" customHeight="false" outlineLevel="0" collapsed="false">
      <c r="A112" s="40" t="n">
        <f aca="false">DATE(YEAR('Start Here'!$C$6),MONTH('Start Here'!$C$6)+105,1)</f>
        <v>49491</v>
      </c>
      <c r="B112" s="39" t="n">
        <f aca="false">ROUND(V111*(1+N('My Debts'!$D$6)/12),2)</f>
        <v>0</v>
      </c>
      <c r="C112" s="39" t="n">
        <f aca="false">ROUND(W111*(1+N('My Debts'!$D$7)/12),2)</f>
        <v>0</v>
      </c>
      <c r="D112" s="39" t="n">
        <f aca="false">ROUND(X111*(1+N('My Debts'!$D$8)/12),2)</f>
        <v>0</v>
      </c>
      <c r="E112" s="39" t="n">
        <f aca="false">ROUND(Y111*(1+N('My Debts'!$D$9)/12),2)</f>
        <v>0</v>
      </c>
      <c r="F112" s="39" t="n">
        <f aca="false">ROUND(Z111*(1+N('My Debts'!$D$10)/12),2)</f>
        <v>0</v>
      </c>
      <c r="G112" s="39" t="n">
        <f aca="false">ROUND(AA111*(1+N('My Debts'!$D$11)/12),2)</f>
        <v>0</v>
      </c>
      <c r="H112" s="39" t="n">
        <f aca="false">ROUND(AB111*(1+N('My Debts'!$D$12)/12),2)</f>
        <v>0</v>
      </c>
      <c r="I112" s="39" t="n">
        <f aca="false">ROUND(AC111*(1+N('My Debts'!$D$13)/12),2)</f>
        <v>0</v>
      </c>
      <c r="J112" s="39" t="n">
        <f aca="false">ROUND(AD111*(1+N('My Debts'!$D$14)/12),2)</f>
        <v>0</v>
      </c>
      <c r="K112" s="39" t="n">
        <f aca="false">ROUND(AE111*(1+N('My Debts'!$D$15)/12),2)</f>
        <v>0</v>
      </c>
      <c r="L112" s="39" t="n">
        <f aca="false">MIN(N('My Debts'!$E$6),B112)</f>
        <v>0</v>
      </c>
      <c r="M112" s="39" t="n">
        <f aca="false">MIN(N('My Debts'!$E$7),C112)</f>
        <v>0</v>
      </c>
      <c r="N112" s="39" t="n">
        <f aca="false">MIN(N('My Debts'!$E$8),D112)</f>
        <v>0</v>
      </c>
      <c r="O112" s="39" t="n">
        <f aca="false">MIN(N('My Debts'!$E$9),E112)</f>
        <v>0</v>
      </c>
      <c r="P112" s="39" t="n">
        <f aca="false">MIN(N('My Debts'!$E$10),F112)</f>
        <v>0</v>
      </c>
      <c r="Q112" s="39" t="n">
        <f aca="false">MIN(N('My Debts'!$E$11),G112)</f>
        <v>0</v>
      </c>
      <c r="R112" s="39" t="n">
        <f aca="false">MIN(N('My Debts'!$E$12),H112)</f>
        <v>0</v>
      </c>
      <c r="S112" s="39" t="n">
        <f aca="false">MIN(N('My Debts'!$E$13),I112)</f>
        <v>0</v>
      </c>
      <c r="T112" s="39" t="n">
        <f aca="false">MIN(N('My Debts'!$E$14),J112)</f>
        <v>0</v>
      </c>
      <c r="U112" s="39" t="n">
        <f aca="false">MIN(N('My Debts'!$E$15),K112)</f>
        <v>0</v>
      </c>
      <c r="V112" s="39" t="n">
        <f aca="false">ROUND(B112-L112-MIN(B112-L112,MAX(0,$AF112-SUMPRODUCT(--($B$4:$K$4&lt;B$4),$B112:$K112-$L112:$U112))),2)</f>
        <v>0</v>
      </c>
      <c r="W112" s="39" t="n">
        <f aca="false">ROUND(C112-M112-MIN(C112-M112,MAX(0,$AF112-SUMPRODUCT(--($B$4:$K$4&lt;C$4),$B112:$K112-$L112:$U112))),2)</f>
        <v>0</v>
      </c>
      <c r="X112" s="39" t="n">
        <f aca="false">ROUND(D112-N112-MIN(D112-N112,MAX(0,$AF112-SUMPRODUCT(--($B$4:$K$4&lt;D$4),$B112:$K112-$L112:$U112))),2)</f>
        <v>0</v>
      </c>
      <c r="Y112" s="39" t="n">
        <f aca="false">ROUND(E112-O112-MIN(E112-O112,MAX(0,$AF112-SUMPRODUCT(--($B$4:$K$4&lt;E$4),$B112:$K112-$L112:$U112))),2)</f>
        <v>0</v>
      </c>
      <c r="Z112" s="39" t="n">
        <f aca="false">ROUND(F112-P112-MIN(F112-P112,MAX(0,$AF112-SUMPRODUCT(--($B$4:$K$4&lt;F$4),$B112:$K112-$L112:$U112))),2)</f>
        <v>0</v>
      </c>
      <c r="AA112" s="39" t="n">
        <f aca="false">ROUND(G112-Q112-MIN(G112-Q112,MAX(0,$AF112-SUMPRODUCT(--($B$4:$K$4&lt;G$4),$B112:$K112-$L112:$U112))),2)</f>
        <v>0</v>
      </c>
      <c r="AB112" s="39" t="n">
        <f aca="false">ROUND(H112-R112-MIN(H112-R112,MAX(0,$AF112-SUMPRODUCT(--($B$4:$K$4&lt;H$4),$B112:$K112-$L112:$U112))),2)</f>
        <v>0</v>
      </c>
      <c r="AC112" s="39" t="n">
        <f aca="false">ROUND(I112-S112-MIN(I112-S112,MAX(0,$AF112-SUMPRODUCT(--($B$4:$K$4&lt;I$4),$B112:$K112-$L112:$U112))),2)</f>
        <v>0</v>
      </c>
      <c r="AD112" s="39" t="n">
        <f aca="false">ROUND(J112-T112-MIN(J112-T112,MAX(0,$AF112-SUMPRODUCT(--($B$4:$K$4&lt;J$4),$B112:$K112-$L112:$U112))),2)</f>
        <v>0</v>
      </c>
      <c r="AE112" s="39" t="n">
        <f aca="false">ROUND(K112-U112-MIN(K112-U112,MAX(0,$AF112-SUMPRODUCT(--($B$4:$K$4&lt;K$4),$B112:$K112-$L112:$U112))),2)</f>
        <v>0</v>
      </c>
      <c r="AF112" s="39" t="n">
        <f aca="false">MAX(0,'Start Here'!$C$5-SUM($L112:$U112))</f>
        <v>1200</v>
      </c>
      <c r="AG112" s="39" t="n">
        <f aca="false">SUM(V112:AE112)</f>
        <v>0</v>
      </c>
      <c r="AH112" s="39" t="n">
        <f aca="false">SUM(B112:K112)-AG111</f>
        <v>0</v>
      </c>
    </row>
    <row r="113" customFormat="false" ht="15" hidden="false" customHeight="false" outlineLevel="0" collapsed="false">
      <c r="A113" s="40" t="n">
        <f aca="false">DATE(YEAR('Start Here'!$C$6),MONTH('Start Here'!$C$6)+106,1)</f>
        <v>49522</v>
      </c>
      <c r="B113" s="39" t="n">
        <f aca="false">ROUND(V112*(1+N('My Debts'!$D$6)/12),2)</f>
        <v>0</v>
      </c>
      <c r="C113" s="39" t="n">
        <f aca="false">ROUND(W112*(1+N('My Debts'!$D$7)/12),2)</f>
        <v>0</v>
      </c>
      <c r="D113" s="39" t="n">
        <f aca="false">ROUND(X112*(1+N('My Debts'!$D$8)/12),2)</f>
        <v>0</v>
      </c>
      <c r="E113" s="39" t="n">
        <f aca="false">ROUND(Y112*(1+N('My Debts'!$D$9)/12),2)</f>
        <v>0</v>
      </c>
      <c r="F113" s="39" t="n">
        <f aca="false">ROUND(Z112*(1+N('My Debts'!$D$10)/12),2)</f>
        <v>0</v>
      </c>
      <c r="G113" s="39" t="n">
        <f aca="false">ROUND(AA112*(1+N('My Debts'!$D$11)/12),2)</f>
        <v>0</v>
      </c>
      <c r="H113" s="39" t="n">
        <f aca="false">ROUND(AB112*(1+N('My Debts'!$D$12)/12),2)</f>
        <v>0</v>
      </c>
      <c r="I113" s="39" t="n">
        <f aca="false">ROUND(AC112*(1+N('My Debts'!$D$13)/12),2)</f>
        <v>0</v>
      </c>
      <c r="J113" s="39" t="n">
        <f aca="false">ROUND(AD112*(1+N('My Debts'!$D$14)/12),2)</f>
        <v>0</v>
      </c>
      <c r="K113" s="39" t="n">
        <f aca="false">ROUND(AE112*(1+N('My Debts'!$D$15)/12),2)</f>
        <v>0</v>
      </c>
      <c r="L113" s="39" t="n">
        <f aca="false">MIN(N('My Debts'!$E$6),B113)</f>
        <v>0</v>
      </c>
      <c r="M113" s="39" t="n">
        <f aca="false">MIN(N('My Debts'!$E$7),C113)</f>
        <v>0</v>
      </c>
      <c r="N113" s="39" t="n">
        <f aca="false">MIN(N('My Debts'!$E$8),D113)</f>
        <v>0</v>
      </c>
      <c r="O113" s="39" t="n">
        <f aca="false">MIN(N('My Debts'!$E$9),E113)</f>
        <v>0</v>
      </c>
      <c r="P113" s="39" t="n">
        <f aca="false">MIN(N('My Debts'!$E$10),F113)</f>
        <v>0</v>
      </c>
      <c r="Q113" s="39" t="n">
        <f aca="false">MIN(N('My Debts'!$E$11),G113)</f>
        <v>0</v>
      </c>
      <c r="R113" s="39" t="n">
        <f aca="false">MIN(N('My Debts'!$E$12),H113)</f>
        <v>0</v>
      </c>
      <c r="S113" s="39" t="n">
        <f aca="false">MIN(N('My Debts'!$E$13),I113)</f>
        <v>0</v>
      </c>
      <c r="T113" s="39" t="n">
        <f aca="false">MIN(N('My Debts'!$E$14),J113)</f>
        <v>0</v>
      </c>
      <c r="U113" s="39" t="n">
        <f aca="false">MIN(N('My Debts'!$E$15),K113)</f>
        <v>0</v>
      </c>
      <c r="V113" s="39" t="n">
        <f aca="false">ROUND(B113-L113-MIN(B113-L113,MAX(0,$AF113-SUMPRODUCT(--($B$4:$K$4&lt;B$4),$B113:$K113-$L113:$U113))),2)</f>
        <v>0</v>
      </c>
      <c r="W113" s="39" t="n">
        <f aca="false">ROUND(C113-M113-MIN(C113-M113,MAX(0,$AF113-SUMPRODUCT(--($B$4:$K$4&lt;C$4),$B113:$K113-$L113:$U113))),2)</f>
        <v>0</v>
      </c>
      <c r="X113" s="39" t="n">
        <f aca="false">ROUND(D113-N113-MIN(D113-N113,MAX(0,$AF113-SUMPRODUCT(--($B$4:$K$4&lt;D$4),$B113:$K113-$L113:$U113))),2)</f>
        <v>0</v>
      </c>
      <c r="Y113" s="39" t="n">
        <f aca="false">ROUND(E113-O113-MIN(E113-O113,MAX(0,$AF113-SUMPRODUCT(--($B$4:$K$4&lt;E$4),$B113:$K113-$L113:$U113))),2)</f>
        <v>0</v>
      </c>
      <c r="Z113" s="39" t="n">
        <f aca="false">ROUND(F113-P113-MIN(F113-P113,MAX(0,$AF113-SUMPRODUCT(--($B$4:$K$4&lt;F$4),$B113:$K113-$L113:$U113))),2)</f>
        <v>0</v>
      </c>
      <c r="AA113" s="39" t="n">
        <f aca="false">ROUND(G113-Q113-MIN(G113-Q113,MAX(0,$AF113-SUMPRODUCT(--($B$4:$K$4&lt;G$4),$B113:$K113-$L113:$U113))),2)</f>
        <v>0</v>
      </c>
      <c r="AB113" s="39" t="n">
        <f aca="false">ROUND(H113-R113-MIN(H113-R113,MAX(0,$AF113-SUMPRODUCT(--($B$4:$K$4&lt;H$4),$B113:$K113-$L113:$U113))),2)</f>
        <v>0</v>
      </c>
      <c r="AC113" s="39" t="n">
        <f aca="false">ROUND(I113-S113-MIN(I113-S113,MAX(0,$AF113-SUMPRODUCT(--($B$4:$K$4&lt;I$4),$B113:$K113-$L113:$U113))),2)</f>
        <v>0</v>
      </c>
      <c r="AD113" s="39" t="n">
        <f aca="false">ROUND(J113-T113-MIN(J113-T113,MAX(0,$AF113-SUMPRODUCT(--($B$4:$K$4&lt;J$4),$B113:$K113-$L113:$U113))),2)</f>
        <v>0</v>
      </c>
      <c r="AE113" s="39" t="n">
        <f aca="false">ROUND(K113-U113-MIN(K113-U113,MAX(0,$AF113-SUMPRODUCT(--($B$4:$K$4&lt;K$4),$B113:$K113-$L113:$U113))),2)</f>
        <v>0</v>
      </c>
      <c r="AF113" s="39" t="n">
        <f aca="false">MAX(0,'Start Here'!$C$5-SUM($L113:$U113))</f>
        <v>1200</v>
      </c>
      <c r="AG113" s="39" t="n">
        <f aca="false">SUM(V113:AE113)</f>
        <v>0</v>
      </c>
      <c r="AH113" s="39" t="n">
        <f aca="false">SUM(B113:K113)-AG112</f>
        <v>0</v>
      </c>
    </row>
    <row r="114" customFormat="false" ht="15" hidden="false" customHeight="false" outlineLevel="0" collapsed="false">
      <c r="A114" s="40" t="n">
        <f aca="false">DATE(YEAR('Start Here'!$C$6),MONTH('Start Here'!$C$6)+107,1)</f>
        <v>49553</v>
      </c>
      <c r="B114" s="39" t="n">
        <f aca="false">ROUND(V113*(1+N('My Debts'!$D$6)/12),2)</f>
        <v>0</v>
      </c>
      <c r="C114" s="39" t="n">
        <f aca="false">ROUND(W113*(1+N('My Debts'!$D$7)/12),2)</f>
        <v>0</v>
      </c>
      <c r="D114" s="39" t="n">
        <f aca="false">ROUND(X113*(1+N('My Debts'!$D$8)/12),2)</f>
        <v>0</v>
      </c>
      <c r="E114" s="39" t="n">
        <f aca="false">ROUND(Y113*(1+N('My Debts'!$D$9)/12),2)</f>
        <v>0</v>
      </c>
      <c r="F114" s="39" t="n">
        <f aca="false">ROUND(Z113*(1+N('My Debts'!$D$10)/12),2)</f>
        <v>0</v>
      </c>
      <c r="G114" s="39" t="n">
        <f aca="false">ROUND(AA113*(1+N('My Debts'!$D$11)/12),2)</f>
        <v>0</v>
      </c>
      <c r="H114" s="39" t="n">
        <f aca="false">ROUND(AB113*(1+N('My Debts'!$D$12)/12),2)</f>
        <v>0</v>
      </c>
      <c r="I114" s="39" t="n">
        <f aca="false">ROUND(AC113*(1+N('My Debts'!$D$13)/12),2)</f>
        <v>0</v>
      </c>
      <c r="J114" s="39" t="n">
        <f aca="false">ROUND(AD113*(1+N('My Debts'!$D$14)/12),2)</f>
        <v>0</v>
      </c>
      <c r="K114" s="39" t="n">
        <f aca="false">ROUND(AE113*(1+N('My Debts'!$D$15)/12),2)</f>
        <v>0</v>
      </c>
      <c r="L114" s="39" t="n">
        <f aca="false">MIN(N('My Debts'!$E$6),B114)</f>
        <v>0</v>
      </c>
      <c r="M114" s="39" t="n">
        <f aca="false">MIN(N('My Debts'!$E$7),C114)</f>
        <v>0</v>
      </c>
      <c r="N114" s="39" t="n">
        <f aca="false">MIN(N('My Debts'!$E$8),D114)</f>
        <v>0</v>
      </c>
      <c r="O114" s="39" t="n">
        <f aca="false">MIN(N('My Debts'!$E$9),E114)</f>
        <v>0</v>
      </c>
      <c r="P114" s="39" t="n">
        <f aca="false">MIN(N('My Debts'!$E$10),F114)</f>
        <v>0</v>
      </c>
      <c r="Q114" s="39" t="n">
        <f aca="false">MIN(N('My Debts'!$E$11),G114)</f>
        <v>0</v>
      </c>
      <c r="R114" s="39" t="n">
        <f aca="false">MIN(N('My Debts'!$E$12),H114)</f>
        <v>0</v>
      </c>
      <c r="S114" s="39" t="n">
        <f aca="false">MIN(N('My Debts'!$E$13),I114)</f>
        <v>0</v>
      </c>
      <c r="T114" s="39" t="n">
        <f aca="false">MIN(N('My Debts'!$E$14),J114)</f>
        <v>0</v>
      </c>
      <c r="U114" s="39" t="n">
        <f aca="false">MIN(N('My Debts'!$E$15),K114)</f>
        <v>0</v>
      </c>
      <c r="V114" s="39" t="n">
        <f aca="false">ROUND(B114-L114-MIN(B114-L114,MAX(0,$AF114-SUMPRODUCT(--($B$4:$K$4&lt;B$4),$B114:$K114-$L114:$U114))),2)</f>
        <v>0</v>
      </c>
      <c r="W114" s="39" t="n">
        <f aca="false">ROUND(C114-M114-MIN(C114-M114,MAX(0,$AF114-SUMPRODUCT(--($B$4:$K$4&lt;C$4),$B114:$K114-$L114:$U114))),2)</f>
        <v>0</v>
      </c>
      <c r="X114" s="39" t="n">
        <f aca="false">ROUND(D114-N114-MIN(D114-N114,MAX(0,$AF114-SUMPRODUCT(--($B$4:$K$4&lt;D$4),$B114:$K114-$L114:$U114))),2)</f>
        <v>0</v>
      </c>
      <c r="Y114" s="39" t="n">
        <f aca="false">ROUND(E114-O114-MIN(E114-O114,MAX(0,$AF114-SUMPRODUCT(--($B$4:$K$4&lt;E$4),$B114:$K114-$L114:$U114))),2)</f>
        <v>0</v>
      </c>
      <c r="Z114" s="39" t="n">
        <f aca="false">ROUND(F114-P114-MIN(F114-P114,MAX(0,$AF114-SUMPRODUCT(--($B$4:$K$4&lt;F$4),$B114:$K114-$L114:$U114))),2)</f>
        <v>0</v>
      </c>
      <c r="AA114" s="39" t="n">
        <f aca="false">ROUND(G114-Q114-MIN(G114-Q114,MAX(0,$AF114-SUMPRODUCT(--($B$4:$K$4&lt;G$4),$B114:$K114-$L114:$U114))),2)</f>
        <v>0</v>
      </c>
      <c r="AB114" s="39" t="n">
        <f aca="false">ROUND(H114-R114-MIN(H114-R114,MAX(0,$AF114-SUMPRODUCT(--($B$4:$K$4&lt;H$4),$B114:$K114-$L114:$U114))),2)</f>
        <v>0</v>
      </c>
      <c r="AC114" s="39" t="n">
        <f aca="false">ROUND(I114-S114-MIN(I114-S114,MAX(0,$AF114-SUMPRODUCT(--($B$4:$K$4&lt;I$4),$B114:$K114-$L114:$U114))),2)</f>
        <v>0</v>
      </c>
      <c r="AD114" s="39" t="n">
        <f aca="false">ROUND(J114-T114-MIN(J114-T114,MAX(0,$AF114-SUMPRODUCT(--($B$4:$K$4&lt;J$4),$B114:$K114-$L114:$U114))),2)</f>
        <v>0</v>
      </c>
      <c r="AE114" s="39" t="n">
        <f aca="false">ROUND(K114-U114-MIN(K114-U114,MAX(0,$AF114-SUMPRODUCT(--($B$4:$K$4&lt;K$4),$B114:$K114-$L114:$U114))),2)</f>
        <v>0</v>
      </c>
      <c r="AF114" s="39" t="n">
        <f aca="false">MAX(0,'Start Here'!$C$5-SUM($L114:$U114))</f>
        <v>1200</v>
      </c>
      <c r="AG114" s="39" t="n">
        <f aca="false">SUM(V114:AE114)</f>
        <v>0</v>
      </c>
      <c r="AH114" s="39" t="n">
        <f aca="false">SUM(B114:K114)-AG113</f>
        <v>0</v>
      </c>
    </row>
    <row r="115" customFormat="false" ht="15" hidden="false" customHeight="false" outlineLevel="0" collapsed="false">
      <c r="A115" s="40" t="n">
        <f aca="false">DATE(YEAR('Start Here'!$C$6),MONTH('Start Here'!$C$6)+108,1)</f>
        <v>49583</v>
      </c>
      <c r="B115" s="39" t="n">
        <f aca="false">ROUND(V114*(1+N('My Debts'!$D$6)/12),2)</f>
        <v>0</v>
      </c>
      <c r="C115" s="39" t="n">
        <f aca="false">ROUND(W114*(1+N('My Debts'!$D$7)/12),2)</f>
        <v>0</v>
      </c>
      <c r="D115" s="39" t="n">
        <f aca="false">ROUND(X114*(1+N('My Debts'!$D$8)/12),2)</f>
        <v>0</v>
      </c>
      <c r="E115" s="39" t="n">
        <f aca="false">ROUND(Y114*(1+N('My Debts'!$D$9)/12),2)</f>
        <v>0</v>
      </c>
      <c r="F115" s="39" t="n">
        <f aca="false">ROUND(Z114*(1+N('My Debts'!$D$10)/12),2)</f>
        <v>0</v>
      </c>
      <c r="G115" s="39" t="n">
        <f aca="false">ROUND(AA114*(1+N('My Debts'!$D$11)/12),2)</f>
        <v>0</v>
      </c>
      <c r="H115" s="39" t="n">
        <f aca="false">ROUND(AB114*(1+N('My Debts'!$D$12)/12),2)</f>
        <v>0</v>
      </c>
      <c r="I115" s="39" t="n">
        <f aca="false">ROUND(AC114*(1+N('My Debts'!$D$13)/12),2)</f>
        <v>0</v>
      </c>
      <c r="J115" s="39" t="n">
        <f aca="false">ROUND(AD114*(1+N('My Debts'!$D$14)/12),2)</f>
        <v>0</v>
      </c>
      <c r="K115" s="39" t="n">
        <f aca="false">ROUND(AE114*(1+N('My Debts'!$D$15)/12),2)</f>
        <v>0</v>
      </c>
      <c r="L115" s="39" t="n">
        <f aca="false">MIN(N('My Debts'!$E$6),B115)</f>
        <v>0</v>
      </c>
      <c r="M115" s="39" t="n">
        <f aca="false">MIN(N('My Debts'!$E$7),C115)</f>
        <v>0</v>
      </c>
      <c r="N115" s="39" t="n">
        <f aca="false">MIN(N('My Debts'!$E$8),D115)</f>
        <v>0</v>
      </c>
      <c r="O115" s="39" t="n">
        <f aca="false">MIN(N('My Debts'!$E$9),E115)</f>
        <v>0</v>
      </c>
      <c r="P115" s="39" t="n">
        <f aca="false">MIN(N('My Debts'!$E$10),F115)</f>
        <v>0</v>
      </c>
      <c r="Q115" s="39" t="n">
        <f aca="false">MIN(N('My Debts'!$E$11),G115)</f>
        <v>0</v>
      </c>
      <c r="R115" s="39" t="n">
        <f aca="false">MIN(N('My Debts'!$E$12),H115)</f>
        <v>0</v>
      </c>
      <c r="S115" s="39" t="n">
        <f aca="false">MIN(N('My Debts'!$E$13),I115)</f>
        <v>0</v>
      </c>
      <c r="T115" s="39" t="n">
        <f aca="false">MIN(N('My Debts'!$E$14),J115)</f>
        <v>0</v>
      </c>
      <c r="U115" s="39" t="n">
        <f aca="false">MIN(N('My Debts'!$E$15),K115)</f>
        <v>0</v>
      </c>
      <c r="V115" s="39" t="n">
        <f aca="false">ROUND(B115-L115-MIN(B115-L115,MAX(0,$AF115-SUMPRODUCT(--($B$4:$K$4&lt;B$4),$B115:$K115-$L115:$U115))),2)</f>
        <v>0</v>
      </c>
      <c r="W115" s="39" t="n">
        <f aca="false">ROUND(C115-M115-MIN(C115-M115,MAX(0,$AF115-SUMPRODUCT(--($B$4:$K$4&lt;C$4),$B115:$K115-$L115:$U115))),2)</f>
        <v>0</v>
      </c>
      <c r="X115" s="39" t="n">
        <f aca="false">ROUND(D115-N115-MIN(D115-N115,MAX(0,$AF115-SUMPRODUCT(--($B$4:$K$4&lt;D$4),$B115:$K115-$L115:$U115))),2)</f>
        <v>0</v>
      </c>
      <c r="Y115" s="39" t="n">
        <f aca="false">ROUND(E115-O115-MIN(E115-O115,MAX(0,$AF115-SUMPRODUCT(--($B$4:$K$4&lt;E$4),$B115:$K115-$L115:$U115))),2)</f>
        <v>0</v>
      </c>
      <c r="Z115" s="39" t="n">
        <f aca="false">ROUND(F115-P115-MIN(F115-P115,MAX(0,$AF115-SUMPRODUCT(--($B$4:$K$4&lt;F$4),$B115:$K115-$L115:$U115))),2)</f>
        <v>0</v>
      </c>
      <c r="AA115" s="39" t="n">
        <f aca="false">ROUND(G115-Q115-MIN(G115-Q115,MAX(0,$AF115-SUMPRODUCT(--($B$4:$K$4&lt;G$4),$B115:$K115-$L115:$U115))),2)</f>
        <v>0</v>
      </c>
      <c r="AB115" s="39" t="n">
        <f aca="false">ROUND(H115-R115-MIN(H115-R115,MAX(0,$AF115-SUMPRODUCT(--($B$4:$K$4&lt;H$4),$B115:$K115-$L115:$U115))),2)</f>
        <v>0</v>
      </c>
      <c r="AC115" s="39" t="n">
        <f aca="false">ROUND(I115-S115-MIN(I115-S115,MAX(0,$AF115-SUMPRODUCT(--($B$4:$K$4&lt;I$4),$B115:$K115-$L115:$U115))),2)</f>
        <v>0</v>
      </c>
      <c r="AD115" s="39" t="n">
        <f aca="false">ROUND(J115-T115-MIN(J115-T115,MAX(0,$AF115-SUMPRODUCT(--($B$4:$K$4&lt;J$4),$B115:$K115-$L115:$U115))),2)</f>
        <v>0</v>
      </c>
      <c r="AE115" s="39" t="n">
        <f aca="false">ROUND(K115-U115-MIN(K115-U115,MAX(0,$AF115-SUMPRODUCT(--($B$4:$K$4&lt;K$4),$B115:$K115-$L115:$U115))),2)</f>
        <v>0</v>
      </c>
      <c r="AF115" s="39" t="n">
        <f aca="false">MAX(0,'Start Here'!$C$5-SUM($L115:$U115))</f>
        <v>1200</v>
      </c>
      <c r="AG115" s="39" t="n">
        <f aca="false">SUM(V115:AE115)</f>
        <v>0</v>
      </c>
      <c r="AH115" s="39" t="n">
        <f aca="false">SUM(B115:K115)-AG114</f>
        <v>0</v>
      </c>
    </row>
    <row r="116" customFormat="false" ht="15" hidden="false" customHeight="false" outlineLevel="0" collapsed="false">
      <c r="A116" s="40" t="n">
        <f aca="false">DATE(YEAR('Start Here'!$C$6),MONTH('Start Here'!$C$6)+109,1)</f>
        <v>49614</v>
      </c>
      <c r="B116" s="39" t="n">
        <f aca="false">ROUND(V115*(1+N('My Debts'!$D$6)/12),2)</f>
        <v>0</v>
      </c>
      <c r="C116" s="39" t="n">
        <f aca="false">ROUND(W115*(1+N('My Debts'!$D$7)/12),2)</f>
        <v>0</v>
      </c>
      <c r="D116" s="39" t="n">
        <f aca="false">ROUND(X115*(1+N('My Debts'!$D$8)/12),2)</f>
        <v>0</v>
      </c>
      <c r="E116" s="39" t="n">
        <f aca="false">ROUND(Y115*(1+N('My Debts'!$D$9)/12),2)</f>
        <v>0</v>
      </c>
      <c r="F116" s="39" t="n">
        <f aca="false">ROUND(Z115*(1+N('My Debts'!$D$10)/12),2)</f>
        <v>0</v>
      </c>
      <c r="G116" s="39" t="n">
        <f aca="false">ROUND(AA115*(1+N('My Debts'!$D$11)/12),2)</f>
        <v>0</v>
      </c>
      <c r="H116" s="39" t="n">
        <f aca="false">ROUND(AB115*(1+N('My Debts'!$D$12)/12),2)</f>
        <v>0</v>
      </c>
      <c r="I116" s="39" t="n">
        <f aca="false">ROUND(AC115*(1+N('My Debts'!$D$13)/12),2)</f>
        <v>0</v>
      </c>
      <c r="J116" s="39" t="n">
        <f aca="false">ROUND(AD115*(1+N('My Debts'!$D$14)/12),2)</f>
        <v>0</v>
      </c>
      <c r="K116" s="39" t="n">
        <f aca="false">ROUND(AE115*(1+N('My Debts'!$D$15)/12),2)</f>
        <v>0</v>
      </c>
      <c r="L116" s="39" t="n">
        <f aca="false">MIN(N('My Debts'!$E$6),B116)</f>
        <v>0</v>
      </c>
      <c r="M116" s="39" t="n">
        <f aca="false">MIN(N('My Debts'!$E$7),C116)</f>
        <v>0</v>
      </c>
      <c r="N116" s="39" t="n">
        <f aca="false">MIN(N('My Debts'!$E$8),D116)</f>
        <v>0</v>
      </c>
      <c r="O116" s="39" t="n">
        <f aca="false">MIN(N('My Debts'!$E$9),E116)</f>
        <v>0</v>
      </c>
      <c r="P116" s="39" t="n">
        <f aca="false">MIN(N('My Debts'!$E$10),F116)</f>
        <v>0</v>
      </c>
      <c r="Q116" s="39" t="n">
        <f aca="false">MIN(N('My Debts'!$E$11),G116)</f>
        <v>0</v>
      </c>
      <c r="R116" s="39" t="n">
        <f aca="false">MIN(N('My Debts'!$E$12),H116)</f>
        <v>0</v>
      </c>
      <c r="S116" s="39" t="n">
        <f aca="false">MIN(N('My Debts'!$E$13),I116)</f>
        <v>0</v>
      </c>
      <c r="T116" s="39" t="n">
        <f aca="false">MIN(N('My Debts'!$E$14),J116)</f>
        <v>0</v>
      </c>
      <c r="U116" s="39" t="n">
        <f aca="false">MIN(N('My Debts'!$E$15),K116)</f>
        <v>0</v>
      </c>
      <c r="V116" s="39" t="n">
        <f aca="false">ROUND(B116-L116-MIN(B116-L116,MAX(0,$AF116-SUMPRODUCT(--($B$4:$K$4&lt;B$4),$B116:$K116-$L116:$U116))),2)</f>
        <v>0</v>
      </c>
      <c r="W116" s="39" t="n">
        <f aca="false">ROUND(C116-M116-MIN(C116-M116,MAX(0,$AF116-SUMPRODUCT(--($B$4:$K$4&lt;C$4),$B116:$K116-$L116:$U116))),2)</f>
        <v>0</v>
      </c>
      <c r="X116" s="39" t="n">
        <f aca="false">ROUND(D116-N116-MIN(D116-N116,MAX(0,$AF116-SUMPRODUCT(--($B$4:$K$4&lt;D$4),$B116:$K116-$L116:$U116))),2)</f>
        <v>0</v>
      </c>
      <c r="Y116" s="39" t="n">
        <f aca="false">ROUND(E116-O116-MIN(E116-O116,MAX(0,$AF116-SUMPRODUCT(--($B$4:$K$4&lt;E$4),$B116:$K116-$L116:$U116))),2)</f>
        <v>0</v>
      </c>
      <c r="Z116" s="39" t="n">
        <f aca="false">ROUND(F116-P116-MIN(F116-P116,MAX(0,$AF116-SUMPRODUCT(--($B$4:$K$4&lt;F$4),$B116:$K116-$L116:$U116))),2)</f>
        <v>0</v>
      </c>
      <c r="AA116" s="39" t="n">
        <f aca="false">ROUND(G116-Q116-MIN(G116-Q116,MAX(0,$AF116-SUMPRODUCT(--($B$4:$K$4&lt;G$4),$B116:$K116-$L116:$U116))),2)</f>
        <v>0</v>
      </c>
      <c r="AB116" s="39" t="n">
        <f aca="false">ROUND(H116-R116-MIN(H116-R116,MAX(0,$AF116-SUMPRODUCT(--($B$4:$K$4&lt;H$4),$B116:$K116-$L116:$U116))),2)</f>
        <v>0</v>
      </c>
      <c r="AC116" s="39" t="n">
        <f aca="false">ROUND(I116-S116-MIN(I116-S116,MAX(0,$AF116-SUMPRODUCT(--($B$4:$K$4&lt;I$4),$B116:$K116-$L116:$U116))),2)</f>
        <v>0</v>
      </c>
      <c r="AD116" s="39" t="n">
        <f aca="false">ROUND(J116-T116-MIN(J116-T116,MAX(0,$AF116-SUMPRODUCT(--($B$4:$K$4&lt;J$4),$B116:$K116-$L116:$U116))),2)</f>
        <v>0</v>
      </c>
      <c r="AE116" s="39" t="n">
        <f aca="false">ROUND(K116-U116-MIN(K116-U116,MAX(0,$AF116-SUMPRODUCT(--($B$4:$K$4&lt;K$4),$B116:$K116-$L116:$U116))),2)</f>
        <v>0</v>
      </c>
      <c r="AF116" s="39" t="n">
        <f aca="false">MAX(0,'Start Here'!$C$5-SUM($L116:$U116))</f>
        <v>1200</v>
      </c>
      <c r="AG116" s="39" t="n">
        <f aca="false">SUM(V116:AE116)</f>
        <v>0</v>
      </c>
      <c r="AH116" s="39" t="n">
        <f aca="false">SUM(B116:K116)-AG115</f>
        <v>0</v>
      </c>
    </row>
    <row r="117" customFormat="false" ht="15" hidden="false" customHeight="false" outlineLevel="0" collapsed="false">
      <c r="A117" s="40" t="n">
        <f aca="false">DATE(YEAR('Start Here'!$C$6),MONTH('Start Here'!$C$6)+110,1)</f>
        <v>49644</v>
      </c>
      <c r="B117" s="39" t="n">
        <f aca="false">ROUND(V116*(1+N('My Debts'!$D$6)/12),2)</f>
        <v>0</v>
      </c>
      <c r="C117" s="39" t="n">
        <f aca="false">ROUND(W116*(1+N('My Debts'!$D$7)/12),2)</f>
        <v>0</v>
      </c>
      <c r="D117" s="39" t="n">
        <f aca="false">ROUND(X116*(1+N('My Debts'!$D$8)/12),2)</f>
        <v>0</v>
      </c>
      <c r="E117" s="39" t="n">
        <f aca="false">ROUND(Y116*(1+N('My Debts'!$D$9)/12),2)</f>
        <v>0</v>
      </c>
      <c r="F117" s="39" t="n">
        <f aca="false">ROUND(Z116*(1+N('My Debts'!$D$10)/12),2)</f>
        <v>0</v>
      </c>
      <c r="G117" s="39" t="n">
        <f aca="false">ROUND(AA116*(1+N('My Debts'!$D$11)/12),2)</f>
        <v>0</v>
      </c>
      <c r="H117" s="39" t="n">
        <f aca="false">ROUND(AB116*(1+N('My Debts'!$D$12)/12),2)</f>
        <v>0</v>
      </c>
      <c r="I117" s="39" t="n">
        <f aca="false">ROUND(AC116*(1+N('My Debts'!$D$13)/12),2)</f>
        <v>0</v>
      </c>
      <c r="J117" s="39" t="n">
        <f aca="false">ROUND(AD116*(1+N('My Debts'!$D$14)/12),2)</f>
        <v>0</v>
      </c>
      <c r="K117" s="39" t="n">
        <f aca="false">ROUND(AE116*(1+N('My Debts'!$D$15)/12),2)</f>
        <v>0</v>
      </c>
      <c r="L117" s="39" t="n">
        <f aca="false">MIN(N('My Debts'!$E$6),B117)</f>
        <v>0</v>
      </c>
      <c r="M117" s="39" t="n">
        <f aca="false">MIN(N('My Debts'!$E$7),C117)</f>
        <v>0</v>
      </c>
      <c r="N117" s="39" t="n">
        <f aca="false">MIN(N('My Debts'!$E$8),D117)</f>
        <v>0</v>
      </c>
      <c r="O117" s="39" t="n">
        <f aca="false">MIN(N('My Debts'!$E$9),E117)</f>
        <v>0</v>
      </c>
      <c r="P117" s="39" t="n">
        <f aca="false">MIN(N('My Debts'!$E$10),F117)</f>
        <v>0</v>
      </c>
      <c r="Q117" s="39" t="n">
        <f aca="false">MIN(N('My Debts'!$E$11),G117)</f>
        <v>0</v>
      </c>
      <c r="R117" s="39" t="n">
        <f aca="false">MIN(N('My Debts'!$E$12),H117)</f>
        <v>0</v>
      </c>
      <c r="S117" s="39" t="n">
        <f aca="false">MIN(N('My Debts'!$E$13),I117)</f>
        <v>0</v>
      </c>
      <c r="T117" s="39" t="n">
        <f aca="false">MIN(N('My Debts'!$E$14),J117)</f>
        <v>0</v>
      </c>
      <c r="U117" s="39" t="n">
        <f aca="false">MIN(N('My Debts'!$E$15),K117)</f>
        <v>0</v>
      </c>
      <c r="V117" s="39" t="n">
        <f aca="false">ROUND(B117-L117-MIN(B117-L117,MAX(0,$AF117-SUMPRODUCT(--($B$4:$K$4&lt;B$4),$B117:$K117-$L117:$U117))),2)</f>
        <v>0</v>
      </c>
      <c r="W117" s="39" t="n">
        <f aca="false">ROUND(C117-M117-MIN(C117-M117,MAX(0,$AF117-SUMPRODUCT(--($B$4:$K$4&lt;C$4),$B117:$K117-$L117:$U117))),2)</f>
        <v>0</v>
      </c>
      <c r="X117" s="39" t="n">
        <f aca="false">ROUND(D117-N117-MIN(D117-N117,MAX(0,$AF117-SUMPRODUCT(--($B$4:$K$4&lt;D$4),$B117:$K117-$L117:$U117))),2)</f>
        <v>0</v>
      </c>
      <c r="Y117" s="39" t="n">
        <f aca="false">ROUND(E117-O117-MIN(E117-O117,MAX(0,$AF117-SUMPRODUCT(--($B$4:$K$4&lt;E$4),$B117:$K117-$L117:$U117))),2)</f>
        <v>0</v>
      </c>
      <c r="Z117" s="39" t="n">
        <f aca="false">ROUND(F117-P117-MIN(F117-P117,MAX(0,$AF117-SUMPRODUCT(--($B$4:$K$4&lt;F$4),$B117:$K117-$L117:$U117))),2)</f>
        <v>0</v>
      </c>
      <c r="AA117" s="39" t="n">
        <f aca="false">ROUND(G117-Q117-MIN(G117-Q117,MAX(0,$AF117-SUMPRODUCT(--($B$4:$K$4&lt;G$4),$B117:$K117-$L117:$U117))),2)</f>
        <v>0</v>
      </c>
      <c r="AB117" s="39" t="n">
        <f aca="false">ROUND(H117-R117-MIN(H117-R117,MAX(0,$AF117-SUMPRODUCT(--($B$4:$K$4&lt;H$4),$B117:$K117-$L117:$U117))),2)</f>
        <v>0</v>
      </c>
      <c r="AC117" s="39" t="n">
        <f aca="false">ROUND(I117-S117-MIN(I117-S117,MAX(0,$AF117-SUMPRODUCT(--($B$4:$K$4&lt;I$4),$B117:$K117-$L117:$U117))),2)</f>
        <v>0</v>
      </c>
      <c r="AD117" s="39" t="n">
        <f aca="false">ROUND(J117-T117-MIN(J117-T117,MAX(0,$AF117-SUMPRODUCT(--($B$4:$K$4&lt;J$4),$B117:$K117-$L117:$U117))),2)</f>
        <v>0</v>
      </c>
      <c r="AE117" s="39" t="n">
        <f aca="false">ROUND(K117-U117-MIN(K117-U117,MAX(0,$AF117-SUMPRODUCT(--($B$4:$K$4&lt;K$4),$B117:$K117-$L117:$U117))),2)</f>
        <v>0</v>
      </c>
      <c r="AF117" s="39" t="n">
        <f aca="false">MAX(0,'Start Here'!$C$5-SUM($L117:$U117))</f>
        <v>1200</v>
      </c>
      <c r="AG117" s="39" t="n">
        <f aca="false">SUM(V117:AE117)</f>
        <v>0</v>
      </c>
      <c r="AH117" s="39" t="n">
        <f aca="false">SUM(B117:K117)-AG116</f>
        <v>0</v>
      </c>
    </row>
    <row r="118" customFormat="false" ht="15" hidden="false" customHeight="false" outlineLevel="0" collapsed="false">
      <c r="A118" s="40" t="n">
        <f aca="false">DATE(YEAR('Start Here'!$C$6),MONTH('Start Here'!$C$6)+111,1)</f>
        <v>49675</v>
      </c>
      <c r="B118" s="39" t="n">
        <f aca="false">ROUND(V117*(1+N('My Debts'!$D$6)/12),2)</f>
        <v>0</v>
      </c>
      <c r="C118" s="39" t="n">
        <f aca="false">ROUND(W117*(1+N('My Debts'!$D$7)/12),2)</f>
        <v>0</v>
      </c>
      <c r="D118" s="39" t="n">
        <f aca="false">ROUND(X117*(1+N('My Debts'!$D$8)/12),2)</f>
        <v>0</v>
      </c>
      <c r="E118" s="39" t="n">
        <f aca="false">ROUND(Y117*(1+N('My Debts'!$D$9)/12),2)</f>
        <v>0</v>
      </c>
      <c r="F118" s="39" t="n">
        <f aca="false">ROUND(Z117*(1+N('My Debts'!$D$10)/12),2)</f>
        <v>0</v>
      </c>
      <c r="G118" s="39" t="n">
        <f aca="false">ROUND(AA117*(1+N('My Debts'!$D$11)/12),2)</f>
        <v>0</v>
      </c>
      <c r="H118" s="39" t="n">
        <f aca="false">ROUND(AB117*(1+N('My Debts'!$D$12)/12),2)</f>
        <v>0</v>
      </c>
      <c r="I118" s="39" t="n">
        <f aca="false">ROUND(AC117*(1+N('My Debts'!$D$13)/12),2)</f>
        <v>0</v>
      </c>
      <c r="J118" s="39" t="n">
        <f aca="false">ROUND(AD117*(1+N('My Debts'!$D$14)/12),2)</f>
        <v>0</v>
      </c>
      <c r="K118" s="39" t="n">
        <f aca="false">ROUND(AE117*(1+N('My Debts'!$D$15)/12),2)</f>
        <v>0</v>
      </c>
      <c r="L118" s="39" t="n">
        <f aca="false">MIN(N('My Debts'!$E$6),B118)</f>
        <v>0</v>
      </c>
      <c r="M118" s="39" t="n">
        <f aca="false">MIN(N('My Debts'!$E$7),C118)</f>
        <v>0</v>
      </c>
      <c r="N118" s="39" t="n">
        <f aca="false">MIN(N('My Debts'!$E$8),D118)</f>
        <v>0</v>
      </c>
      <c r="O118" s="39" t="n">
        <f aca="false">MIN(N('My Debts'!$E$9),E118)</f>
        <v>0</v>
      </c>
      <c r="P118" s="39" t="n">
        <f aca="false">MIN(N('My Debts'!$E$10),F118)</f>
        <v>0</v>
      </c>
      <c r="Q118" s="39" t="n">
        <f aca="false">MIN(N('My Debts'!$E$11),G118)</f>
        <v>0</v>
      </c>
      <c r="R118" s="39" t="n">
        <f aca="false">MIN(N('My Debts'!$E$12),H118)</f>
        <v>0</v>
      </c>
      <c r="S118" s="39" t="n">
        <f aca="false">MIN(N('My Debts'!$E$13),I118)</f>
        <v>0</v>
      </c>
      <c r="T118" s="39" t="n">
        <f aca="false">MIN(N('My Debts'!$E$14),J118)</f>
        <v>0</v>
      </c>
      <c r="U118" s="39" t="n">
        <f aca="false">MIN(N('My Debts'!$E$15),K118)</f>
        <v>0</v>
      </c>
      <c r="V118" s="39" t="n">
        <f aca="false">ROUND(B118-L118-MIN(B118-L118,MAX(0,$AF118-SUMPRODUCT(--($B$4:$K$4&lt;B$4),$B118:$K118-$L118:$U118))),2)</f>
        <v>0</v>
      </c>
      <c r="W118" s="39" t="n">
        <f aca="false">ROUND(C118-M118-MIN(C118-M118,MAX(0,$AF118-SUMPRODUCT(--($B$4:$K$4&lt;C$4),$B118:$K118-$L118:$U118))),2)</f>
        <v>0</v>
      </c>
      <c r="X118" s="39" t="n">
        <f aca="false">ROUND(D118-N118-MIN(D118-N118,MAX(0,$AF118-SUMPRODUCT(--($B$4:$K$4&lt;D$4),$B118:$K118-$L118:$U118))),2)</f>
        <v>0</v>
      </c>
      <c r="Y118" s="39" t="n">
        <f aca="false">ROUND(E118-O118-MIN(E118-O118,MAX(0,$AF118-SUMPRODUCT(--($B$4:$K$4&lt;E$4),$B118:$K118-$L118:$U118))),2)</f>
        <v>0</v>
      </c>
      <c r="Z118" s="39" t="n">
        <f aca="false">ROUND(F118-P118-MIN(F118-P118,MAX(0,$AF118-SUMPRODUCT(--($B$4:$K$4&lt;F$4),$B118:$K118-$L118:$U118))),2)</f>
        <v>0</v>
      </c>
      <c r="AA118" s="39" t="n">
        <f aca="false">ROUND(G118-Q118-MIN(G118-Q118,MAX(0,$AF118-SUMPRODUCT(--($B$4:$K$4&lt;G$4),$B118:$K118-$L118:$U118))),2)</f>
        <v>0</v>
      </c>
      <c r="AB118" s="39" t="n">
        <f aca="false">ROUND(H118-R118-MIN(H118-R118,MAX(0,$AF118-SUMPRODUCT(--($B$4:$K$4&lt;H$4),$B118:$K118-$L118:$U118))),2)</f>
        <v>0</v>
      </c>
      <c r="AC118" s="39" t="n">
        <f aca="false">ROUND(I118-S118-MIN(I118-S118,MAX(0,$AF118-SUMPRODUCT(--($B$4:$K$4&lt;I$4),$B118:$K118-$L118:$U118))),2)</f>
        <v>0</v>
      </c>
      <c r="AD118" s="39" t="n">
        <f aca="false">ROUND(J118-T118-MIN(J118-T118,MAX(0,$AF118-SUMPRODUCT(--($B$4:$K$4&lt;J$4),$B118:$K118-$L118:$U118))),2)</f>
        <v>0</v>
      </c>
      <c r="AE118" s="39" t="n">
        <f aca="false">ROUND(K118-U118-MIN(K118-U118,MAX(0,$AF118-SUMPRODUCT(--($B$4:$K$4&lt;K$4),$B118:$K118-$L118:$U118))),2)</f>
        <v>0</v>
      </c>
      <c r="AF118" s="39" t="n">
        <f aca="false">MAX(0,'Start Here'!$C$5-SUM($L118:$U118))</f>
        <v>1200</v>
      </c>
      <c r="AG118" s="39" t="n">
        <f aca="false">SUM(V118:AE118)</f>
        <v>0</v>
      </c>
      <c r="AH118" s="39" t="n">
        <f aca="false">SUM(B118:K118)-AG117</f>
        <v>0</v>
      </c>
    </row>
    <row r="119" customFormat="false" ht="15" hidden="false" customHeight="false" outlineLevel="0" collapsed="false">
      <c r="A119" s="40" t="n">
        <f aca="false">DATE(YEAR('Start Here'!$C$6),MONTH('Start Here'!$C$6)+112,1)</f>
        <v>49706</v>
      </c>
      <c r="B119" s="39" t="n">
        <f aca="false">ROUND(V118*(1+N('My Debts'!$D$6)/12),2)</f>
        <v>0</v>
      </c>
      <c r="C119" s="39" t="n">
        <f aca="false">ROUND(W118*(1+N('My Debts'!$D$7)/12),2)</f>
        <v>0</v>
      </c>
      <c r="D119" s="39" t="n">
        <f aca="false">ROUND(X118*(1+N('My Debts'!$D$8)/12),2)</f>
        <v>0</v>
      </c>
      <c r="E119" s="39" t="n">
        <f aca="false">ROUND(Y118*(1+N('My Debts'!$D$9)/12),2)</f>
        <v>0</v>
      </c>
      <c r="F119" s="39" t="n">
        <f aca="false">ROUND(Z118*(1+N('My Debts'!$D$10)/12),2)</f>
        <v>0</v>
      </c>
      <c r="G119" s="39" t="n">
        <f aca="false">ROUND(AA118*(1+N('My Debts'!$D$11)/12),2)</f>
        <v>0</v>
      </c>
      <c r="H119" s="39" t="n">
        <f aca="false">ROUND(AB118*(1+N('My Debts'!$D$12)/12),2)</f>
        <v>0</v>
      </c>
      <c r="I119" s="39" t="n">
        <f aca="false">ROUND(AC118*(1+N('My Debts'!$D$13)/12),2)</f>
        <v>0</v>
      </c>
      <c r="J119" s="39" t="n">
        <f aca="false">ROUND(AD118*(1+N('My Debts'!$D$14)/12),2)</f>
        <v>0</v>
      </c>
      <c r="K119" s="39" t="n">
        <f aca="false">ROUND(AE118*(1+N('My Debts'!$D$15)/12),2)</f>
        <v>0</v>
      </c>
      <c r="L119" s="39" t="n">
        <f aca="false">MIN(N('My Debts'!$E$6),B119)</f>
        <v>0</v>
      </c>
      <c r="M119" s="39" t="n">
        <f aca="false">MIN(N('My Debts'!$E$7),C119)</f>
        <v>0</v>
      </c>
      <c r="N119" s="39" t="n">
        <f aca="false">MIN(N('My Debts'!$E$8),D119)</f>
        <v>0</v>
      </c>
      <c r="O119" s="39" t="n">
        <f aca="false">MIN(N('My Debts'!$E$9),E119)</f>
        <v>0</v>
      </c>
      <c r="P119" s="39" t="n">
        <f aca="false">MIN(N('My Debts'!$E$10),F119)</f>
        <v>0</v>
      </c>
      <c r="Q119" s="39" t="n">
        <f aca="false">MIN(N('My Debts'!$E$11),G119)</f>
        <v>0</v>
      </c>
      <c r="R119" s="39" t="n">
        <f aca="false">MIN(N('My Debts'!$E$12),H119)</f>
        <v>0</v>
      </c>
      <c r="S119" s="39" t="n">
        <f aca="false">MIN(N('My Debts'!$E$13),I119)</f>
        <v>0</v>
      </c>
      <c r="T119" s="39" t="n">
        <f aca="false">MIN(N('My Debts'!$E$14),J119)</f>
        <v>0</v>
      </c>
      <c r="U119" s="39" t="n">
        <f aca="false">MIN(N('My Debts'!$E$15),K119)</f>
        <v>0</v>
      </c>
      <c r="V119" s="39" t="n">
        <f aca="false">ROUND(B119-L119-MIN(B119-L119,MAX(0,$AF119-SUMPRODUCT(--($B$4:$K$4&lt;B$4),$B119:$K119-$L119:$U119))),2)</f>
        <v>0</v>
      </c>
      <c r="W119" s="39" t="n">
        <f aca="false">ROUND(C119-M119-MIN(C119-M119,MAX(0,$AF119-SUMPRODUCT(--($B$4:$K$4&lt;C$4),$B119:$K119-$L119:$U119))),2)</f>
        <v>0</v>
      </c>
      <c r="X119" s="39" t="n">
        <f aca="false">ROUND(D119-N119-MIN(D119-N119,MAX(0,$AF119-SUMPRODUCT(--($B$4:$K$4&lt;D$4),$B119:$K119-$L119:$U119))),2)</f>
        <v>0</v>
      </c>
      <c r="Y119" s="39" t="n">
        <f aca="false">ROUND(E119-O119-MIN(E119-O119,MAX(0,$AF119-SUMPRODUCT(--($B$4:$K$4&lt;E$4),$B119:$K119-$L119:$U119))),2)</f>
        <v>0</v>
      </c>
      <c r="Z119" s="39" t="n">
        <f aca="false">ROUND(F119-P119-MIN(F119-P119,MAX(0,$AF119-SUMPRODUCT(--($B$4:$K$4&lt;F$4),$B119:$K119-$L119:$U119))),2)</f>
        <v>0</v>
      </c>
      <c r="AA119" s="39" t="n">
        <f aca="false">ROUND(G119-Q119-MIN(G119-Q119,MAX(0,$AF119-SUMPRODUCT(--($B$4:$K$4&lt;G$4),$B119:$K119-$L119:$U119))),2)</f>
        <v>0</v>
      </c>
      <c r="AB119" s="39" t="n">
        <f aca="false">ROUND(H119-R119-MIN(H119-R119,MAX(0,$AF119-SUMPRODUCT(--($B$4:$K$4&lt;H$4),$B119:$K119-$L119:$U119))),2)</f>
        <v>0</v>
      </c>
      <c r="AC119" s="39" t="n">
        <f aca="false">ROUND(I119-S119-MIN(I119-S119,MAX(0,$AF119-SUMPRODUCT(--($B$4:$K$4&lt;I$4),$B119:$K119-$L119:$U119))),2)</f>
        <v>0</v>
      </c>
      <c r="AD119" s="39" t="n">
        <f aca="false">ROUND(J119-T119-MIN(J119-T119,MAX(0,$AF119-SUMPRODUCT(--($B$4:$K$4&lt;J$4),$B119:$K119-$L119:$U119))),2)</f>
        <v>0</v>
      </c>
      <c r="AE119" s="39" t="n">
        <f aca="false">ROUND(K119-U119-MIN(K119-U119,MAX(0,$AF119-SUMPRODUCT(--($B$4:$K$4&lt;K$4),$B119:$K119-$L119:$U119))),2)</f>
        <v>0</v>
      </c>
      <c r="AF119" s="39" t="n">
        <f aca="false">MAX(0,'Start Here'!$C$5-SUM($L119:$U119))</f>
        <v>1200</v>
      </c>
      <c r="AG119" s="39" t="n">
        <f aca="false">SUM(V119:AE119)</f>
        <v>0</v>
      </c>
      <c r="AH119" s="39" t="n">
        <f aca="false">SUM(B119:K119)-AG118</f>
        <v>0</v>
      </c>
    </row>
    <row r="120" customFormat="false" ht="15" hidden="false" customHeight="false" outlineLevel="0" collapsed="false">
      <c r="A120" s="40" t="n">
        <f aca="false">DATE(YEAR('Start Here'!$C$6),MONTH('Start Here'!$C$6)+113,1)</f>
        <v>49735</v>
      </c>
      <c r="B120" s="39" t="n">
        <f aca="false">ROUND(V119*(1+N('My Debts'!$D$6)/12),2)</f>
        <v>0</v>
      </c>
      <c r="C120" s="39" t="n">
        <f aca="false">ROUND(W119*(1+N('My Debts'!$D$7)/12),2)</f>
        <v>0</v>
      </c>
      <c r="D120" s="39" t="n">
        <f aca="false">ROUND(X119*(1+N('My Debts'!$D$8)/12),2)</f>
        <v>0</v>
      </c>
      <c r="E120" s="39" t="n">
        <f aca="false">ROUND(Y119*(1+N('My Debts'!$D$9)/12),2)</f>
        <v>0</v>
      </c>
      <c r="F120" s="39" t="n">
        <f aca="false">ROUND(Z119*(1+N('My Debts'!$D$10)/12),2)</f>
        <v>0</v>
      </c>
      <c r="G120" s="39" t="n">
        <f aca="false">ROUND(AA119*(1+N('My Debts'!$D$11)/12),2)</f>
        <v>0</v>
      </c>
      <c r="H120" s="39" t="n">
        <f aca="false">ROUND(AB119*(1+N('My Debts'!$D$12)/12),2)</f>
        <v>0</v>
      </c>
      <c r="I120" s="39" t="n">
        <f aca="false">ROUND(AC119*(1+N('My Debts'!$D$13)/12),2)</f>
        <v>0</v>
      </c>
      <c r="J120" s="39" t="n">
        <f aca="false">ROUND(AD119*(1+N('My Debts'!$D$14)/12),2)</f>
        <v>0</v>
      </c>
      <c r="K120" s="39" t="n">
        <f aca="false">ROUND(AE119*(1+N('My Debts'!$D$15)/12),2)</f>
        <v>0</v>
      </c>
      <c r="L120" s="39" t="n">
        <f aca="false">MIN(N('My Debts'!$E$6),B120)</f>
        <v>0</v>
      </c>
      <c r="M120" s="39" t="n">
        <f aca="false">MIN(N('My Debts'!$E$7),C120)</f>
        <v>0</v>
      </c>
      <c r="N120" s="39" t="n">
        <f aca="false">MIN(N('My Debts'!$E$8),D120)</f>
        <v>0</v>
      </c>
      <c r="O120" s="39" t="n">
        <f aca="false">MIN(N('My Debts'!$E$9),E120)</f>
        <v>0</v>
      </c>
      <c r="P120" s="39" t="n">
        <f aca="false">MIN(N('My Debts'!$E$10),F120)</f>
        <v>0</v>
      </c>
      <c r="Q120" s="39" t="n">
        <f aca="false">MIN(N('My Debts'!$E$11),G120)</f>
        <v>0</v>
      </c>
      <c r="R120" s="39" t="n">
        <f aca="false">MIN(N('My Debts'!$E$12),H120)</f>
        <v>0</v>
      </c>
      <c r="S120" s="39" t="n">
        <f aca="false">MIN(N('My Debts'!$E$13),I120)</f>
        <v>0</v>
      </c>
      <c r="T120" s="39" t="n">
        <f aca="false">MIN(N('My Debts'!$E$14),J120)</f>
        <v>0</v>
      </c>
      <c r="U120" s="39" t="n">
        <f aca="false">MIN(N('My Debts'!$E$15),K120)</f>
        <v>0</v>
      </c>
      <c r="V120" s="39" t="n">
        <f aca="false">ROUND(B120-L120-MIN(B120-L120,MAX(0,$AF120-SUMPRODUCT(--($B$4:$K$4&lt;B$4),$B120:$K120-$L120:$U120))),2)</f>
        <v>0</v>
      </c>
      <c r="W120" s="39" t="n">
        <f aca="false">ROUND(C120-M120-MIN(C120-M120,MAX(0,$AF120-SUMPRODUCT(--($B$4:$K$4&lt;C$4),$B120:$K120-$L120:$U120))),2)</f>
        <v>0</v>
      </c>
      <c r="X120" s="39" t="n">
        <f aca="false">ROUND(D120-N120-MIN(D120-N120,MAX(0,$AF120-SUMPRODUCT(--($B$4:$K$4&lt;D$4),$B120:$K120-$L120:$U120))),2)</f>
        <v>0</v>
      </c>
      <c r="Y120" s="39" t="n">
        <f aca="false">ROUND(E120-O120-MIN(E120-O120,MAX(0,$AF120-SUMPRODUCT(--($B$4:$K$4&lt;E$4),$B120:$K120-$L120:$U120))),2)</f>
        <v>0</v>
      </c>
      <c r="Z120" s="39" t="n">
        <f aca="false">ROUND(F120-P120-MIN(F120-P120,MAX(0,$AF120-SUMPRODUCT(--($B$4:$K$4&lt;F$4),$B120:$K120-$L120:$U120))),2)</f>
        <v>0</v>
      </c>
      <c r="AA120" s="39" t="n">
        <f aca="false">ROUND(G120-Q120-MIN(G120-Q120,MAX(0,$AF120-SUMPRODUCT(--($B$4:$K$4&lt;G$4),$B120:$K120-$L120:$U120))),2)</f>
        <v>0</v>
      </c>
      <c r="AB120" s="39" t="n">
        <f aca="false">ROUND(H120-R120-MIN(H120-R120,MAX(0,$AF120-SUMPRODUCT(--($B$4:$K$4&lt;H$4),$B120:$K120-$L120:$U120))),2)</f>
        <v>0</v>
      </c>
      <c r="AC120" s="39" t="n">
        <f aca="false">ROUND(I120-S120-MIN(I120-S120,MAX(0,$AF120-SUMPRODUCT(--($B$4:$K$4&lt;I$4),$B120:$K120-$L120:$U120))),2)</f>
        <v>0</v>
      </c>
      <c r="AD120" s="39" t="n">
        <f aca="false">ROUND(J120-T120-MIN(J120-T120,MAX(0,$AF120-SUMPRODUCT(--($B$4:$K$4&lt;J$4),$B120:$K120-$L120:$U120))),2)</f>
        <v>0</v>
      </c>
      <c r="AE120" s="39" t="n">
        <f aca="false">ROUND(K120-U120-MIN(K120-U120,MAX(0,$AF120-SUMPRODUCT(--($B$4:$K$4&lt;K$4),$B120:$K120-$L120:$U120))),2)</f>
        <v>0</v>
      </c>
      <c r="AF120" s="39" t="n">
        <f aca="false">MAX(0,'Start Here'!$C$5-SUM($L120:$U120))</f>
        <v>1200</v>
      </c>
      <c r="AG120" s="39" t="n">
        <f aca="false">SUM(V120:AE120)</f>
        <v>0</v>
      </c>
      <c r="AH120" s="39" t="n">
        <f aca="false">SUM(B120:K120)-AG119</f>
        <v>0</v>
      </c>
    </row>
    <row r="121" customFormat="false" ht="15" hidden="false" customHeight="false" outlineLevel="0" collapsed="false">
      <c r="A121" s="40" t="n">
        <f aca="false">DATE(YEAR('Start Here'!$C$6),MONTH('Start Here'!$C$6)+114,1)</f>
        <v>49766</v>
      </c>
      <c r="B121" s="39" t="n">
        <f aca="false">ROUND(V120*(1+N('My Debts'!$D$6)/12),2)</f>
        <v>0</v>
      </c>
      <c r="C121" s="39" t="n">
        <f aca="false">ROUND(W120*(1+N('My Debts'!$D$7)/12),2)</f>
        <v>0</v>
      </c>
      <c r="D121" s="39" t="n">
        <f aca="false">ROUND(X120*(1+N('My Debts'!$D$8)/12),2)</f>
        <v>0</v>
      </c>
      <c r="E121" s="39" t="n">
        <f aca="false">ROUND(Y120*(1+N('My Debts'!$D$9)/12),2)</f>
        <v>0</v>
      </c>
      <c r="F121" s="39" t="n">
        <f aca="false">ROUND(Z120*(1+N('My Debts'!$D$10)/12),2)</f>
        <v>0</v>
      </c>
      <c r="G121" s="39" t="n">
        <f aca="false">ROUND(AA120*(1+N('My Debts'!$D$11)/12),2)</f>
        <v>0</v>
      </c>
      <c r="H121" s="39" t="n">
        <f aca="false">ROUND(AB120*(1+N('My Debts'!$D$12)/12),2)</f>
        <v>0</v>
      </c>
      <c r="I121" s="39" t="n">
        <f aca="false">ROUND(AC120*(1+N('My Debts'!$D$13)/12),2)</f>
        <v>0</v>
      </c>
      <c r="J121" s="39" t="n">
        <f aca="false">ROUND(AD120*(1+N('My Debts'!$D$14)/12),2)</f>
        <v>0</v>
      </c>
      <c r="K121" s="39" t="n">
        <f aca="false">ROUND(AE120*(1+N('My Debts'!$D$15)/12),2)</f>
        <v>0</v>
      </c>
      <c r="L121" s="39" t="n">
        <f aca="false">MIN(N('My Debts'!$E$6),B121)</f>
        <v>0</v>
      </c>
      <c r="M121" s="39" t="n">
        <f aca="false">MIN(N('My Debts'!$E$7),C121)</f>
        <v>0</v>
      </c>
      <c r="N121" s="39" t="n">
        <f aca="false">MIN(N('My Debts'!$E$8),D121)</f>
        <v>0</v>
      </c>
      <c r="O121" s="39" t="n">
        <f aca="false">MIN(N('My Debts'!$E$9),E121)</f>
        <v>0</v>
      </c>
      <c r="P121" s="39" t="n">
        <f aca="false">MIN(N('My Debts'!$E$10),F121)</f>
        <v>0</v>
      </c>
      <c r="Q121" s="39" t="n">
        <f aca="false">MIN(N('My Debts'!$E$11),G121)</f>
        <v>0</v>
      </c>
      <c r="R121" s="39" t="n">
        <f aca="false">MIN(N('My Debts'!$E$12),H121)</f>
        <v>0</v>
      </c>
      <c r="S121" s="39" t="n">
        <f aca="false">MIN(N('My Debts'!$E$13),I121)</f>
        <v>0</v>
      </c>
      <c r="T121" s="39" t="n">
        <f aca="false">MIN(N('My Debts'!$E$14),J121)</f>
        <v>0</v>
      </c>
      <c r="U121" s="39" t="n">
        <f aca="false">MIN(N('My Debts'!$E$15),K121)</f>
        <v>0</v>
      </c>
      <c r="V121" s="39" t="n">
        <f aca="false">ROUND(B121-L121-MIN(B121-L121,MAX(0,$AF121-SUMPRODUCT(--($B$4:$K$4&lt;B$4),$B121:$K121-$L121:$U121))),2)</f>
        <v>0</v>
      </c>
      <c r="W121" s="39" t="n">
        <f aca="false">ROUND(C121-M121-MIN(C121-M121,MAX(0,$AF121-SUMPRODUCT(--($B$4:$K$4&lt;C$4),$B121:$K121-$L121:$U121))),2)</f>
        <v>0</v>
      </c>
      <c r="X121" s="39" t="n">
        <f aca="false">ROUND(D121-N121-MIN(D121-N121,MAX(0,$AF121-SUMPRODUCT(--($B$4:$K$4&lt;D$4),$B121:$K121-$L121:$U121))),2)</f>
        <v>0</v>
      </c>
      <c r="Y121" s="39" t="n">
        <f aca="false">ROUND(E121-O121-MIN(E121-O121,MAX(0,$AF121-SUMPRODUCT(--($B$4:$K$4&lt;E$4),$B121:$K121-$L121:$U121))),2)</f>
        <v>0</v>
      </c>
      <c r="Z121" s="39" t="n">
        <f aca="false">ROUND(F121-P121-MIN(F121-P121,MAX(0,$AF121-SUMPRODUCT(--($B$4:$K$4&lt;F$4),$B121:$K121-$L121:$U121))),2)</f>
        <v>0</v>
      </c>
      <c r="AA121" s="39" t="n">
        <f aca="false">ROUND(G121-Q121-MIN(G121-Q121,MAX(0,$AF121-SUMPRODUCT(--($B$4:$K$4&lt;G$4),$B121:$K121-$L121:$U121))),2)</f>
        <v>0</v>
      </c>
      <c r="AB121" s="39" t="n">
        <f aca="false">ROUND(H121-R121-MIN(H121-R121,MAX(0,$AF121-SUMPRODUCT(--($B$4:$K$4&lt;H$4),$B121:$K121-$L121:$U121))),2)</f>
        <v>0</v>
      </c>
      <c r="AC121" s="39" t="n">
        <f aca="false">ROUND(I121-S121-MIN(I121-S121,MAX(0,$AF121-SUMPRODUCT(--($B$4:$K$4&lt;I$4),$B121:$K121-$L121:$U121))),2)</f>
        <v>0</v>
      </c>
      <c r="AD121" s="39" t="n">
        <f aca="false">ROUND(J121-T121-MIN(J121-T121,MAX(0,$AF121-SUMPRODUCT(--($B$4:$K$4&lt;J$4),$B121:$K121-$L121:$U121))),2)</f>
        <v>0</v>
      </c>
      <c r="AE121" s="39" t="n">
        <f aca="false">ROUND(K121-U121-MIN(K121-U121,MAX(0,$AF121-SUMPRODUCT(--($B$4:$K$4&lt;K$4),$B121:$K121-$L121:$U121))),2)</f>
        <v>0</v>
      </c>
      <c r="AF121" s="39" t="n">
        <f aca="false">MAX(0,'Start Here'!$C$5-SUM($L121:$U121))</f>
        <v>1200</v>
      </c>
      <c r="AG121" s="39" t="n">
        <f aca="false">SUM(V121:AE121)</f>
        <v>0</v>
      </c>
      <c r="AH121" s="39" t="n">
        <f aca="false">SUM(B121:K121)-AG120</f>
        <v>0</v>
      </c>
    </row>
    <row r="122" customFormat="false" ht="15" hidden="false" customHeight="false" outlineLevel="0" collapsed="false">
      <c r="A122" s="40" t="n">
        <f aca="false">DATE(YEAR('Start Here'!$C$6),MONTH('Start Here'!$C$6)+115,1)</f>
        <v>49796</v>
      </c>
      <c r="B122" s="39" t="n">
        <f aca="false">ROUND(V121*(1+N('My Debts'!$D$6)/12),2)</f>
        <v>0</v>
      </c>
      <c r="C122" s="39" t="n">
        <f aca="false">ROUND(W121*(1+N('My Debts'!$D$7)/12),2)</f>
        <v>0</v>
      </c>
      <c r="D122" s="39" t="n">
        <f aca="false">ROUND(X121*(1+N('My Debts'!$D$8)/12),2)</f>
        <v>0</v>
      </c>
      <c r="E122" s="39" t="n">
        <f aca="false">ROUND(Y121*(1+N('My Debts'!$D$9)/12),2)</f>
        <v>0</v>
      </c>
      <c r="F122" s="39" t="n">
        <f aca="false">ROUND(Z121*(1+N('My Debts'!$D$10)/12),2)</f>
        <v>0</v>
      </c>
      <c r="G122" s="39" t="n">
        <f aca="false">ROUND(AA121*(1+N('My Debts'!$D$11)/12),2)</f>
        <v>0</v>
      </c>
      <c r="H122" s="39" t="n">
        <f aca="false">ROUND(AB121*(1+N('My Debts'!$D$12)/12),2)</f>
        <v>0</v>
      </c>
      <c r="I122" s="39" t="n">
        <f aca="false">ROUND(AC121*(1+N('My Debts'!$D$13)/12),2)</f>
        <v>0</v>
      </c>
      <c r="J122" s="39" t="n">
        <f aca="false">ROUND(AD121*(1+N('My Debts'!$D$14)/12),2)</f>
        <v>0</v>
      </c>
      <c r="K122" s="39" t="n">
        <f aca="false">ROUND(AE121*(1+N('My Debts'!$D$15)/12),2)</f>
        <v>0</v>
      </c>
      <c r="L122" s="39" t="n">
        <f aca="false">MIN(N('My Debts'!$E$6),B122)</f>
        <v>0</v>
      </c>
      <c r="M122" s="39" t="n">
        <f aca="false">MIN(N('My Debts'!$E$7),C122)</f>
        <v>0</v>
      </c>
      <c r="N122" s="39" t="n">
        <f aca="false">MIN(N('My Debts'!$E$8),D122)</f>
        <v>0</v>
      </c>
      <c r="O122" s="39" t="n">
        <f aca="false">MIN(N('My Debts'!$E$9),E122)</f>
        <v>0</v>
      </c>
      <c r="P122" s="39" t="n">
        <f aca="false">MIN(N('My Debts'!$E$10),F122)</f>
        <v>0</v>
      </c>
      <c r="Q122" s="39" t="n">
        <f aca="false">MIN(N('My Debts'!$E$11),G122)</f>
        <v>0</v>
      </c>
      <c r="R122" s="39" t="n">
        <f aca="false">MIN(N('My Debts'!$E$12),H122)</f>
        <v>0</v>
      </c>
      <c r="S122" s="39" t="n">
        <f aca="false">MIN(N('My Debts'!$E$13),I122)</f>
        <v>0</v>
      </c>
      <c r="T122" s="39" t="n">
        <f aca="false">MIN(N('My Debts'!$E$14),J122)</f>
        <v>0</v>
      </c>
      <c r="U122" s="39" t="n">
        <f aca="false">MIN(N('My Debts'!$E$15),K122)</f>
        <v>0</v>
      </c>
      <c r="V122" s="39" t="n">
        <f aca="false">ROUND(B122-L122-MIN(B122-L122,MAX(0,$AF122-SUMPRODUCT(--($B$4:$K$4&lt;B$4),$B122:$K122-$L122:$U122))),2)</f>
        <v>0</v>
      </c>
      <c r="W122" s="39" t="n">
        <f aca="false">ROUND(C122-M122-MIN(C122-M122,MAX(0,$AF122-SUMPRODUCT(--($B$4:$K$4&lt;C$4),$B122:$K122-$L122:$U122))),2)</f>
        <v>0</v>
      </c>
      <c r="X122" s="39" t="n">
        <f aca="false">ROUND(D122-N122-MIN(D122-N122,MAX(0,$AF122-SUMPRODUCT(--($B$4:$K$4&lt;D$4),$B122:$K122-$L122:$U122))),2)</f>
        <v>0</v>
      </c>
      <c r="Y122" s="39" t="n">
        <f aca="false">ROUND(E122-O122-MIN(E122-O122,MAX(0,$AF122-SUMPRODUCT(--($B$4:$K$4&lt;E$4),$B122:$K122-$L122:$U122))),2)</f>
        <v>0</v>
      </c>
      <c r="Z122" s="39" t="n">
        <f aca="false">ROUND(F122-P122-MIN(F122-P122,MAX(0,$AF122-SUMPRODUCT(--($B$4:$K$4&lt;F$4),$B122:$K122-$L122:$U122))),2)</f>
        <v>0</v>
      </c>
      <c r="AA122" s="39" t="n">
        <f aca="false">ROUND(G122-Q122-MIN(G122-Q122,MAX(0,$AF122-SUMPRODUCT(--($B$4:$K$4&lt;G$4),$B122:$K122-$L122:$U122))),2)</f>
        <v>0</v>
      </c>
      <c r="AB122" s="39" t="n">
        <f aca="false">ROUND(H122-R122-MIN(H122-R122,MAX(0,$AF122-SUMPRODUCT(--($B$4:$K$4&lt;H$4),$B122:$K122-$L122:$U122))),2)</f>
        <v>0</v>
      </c>
      <c r="AC122" s="39" t="n">
        <f aca="false">ROUND(I122-S122-MIN(I122-S122,MAX(0,$AF122-SUMPRODUCT(--($B$4:$K$4&lt;I$4),$B122:$K122-$L122:$U122))),2)</f>
        <v>0</v>
      </c>
      <c r="AD122" s="39" t="n">
        <f aca="false">ROUND(J122-T122-MIN(J122-T122,MAX(0,$AF122-SUMPRODUCT(--($B$4:$K$4&lt;J$4),$B122:$K122-$L122:$U122))),2)</f>
        <v>0</v>
      </c>
      <c r="AE122" s="39" t="n">
        <f aca="false">ROUND(K122-U122-MIN(K122-U122,MAX(0,$AF122-SUMPRODUCT(--($B$4:$K$4&lt;K$4),$B122:$K122-$L122:$U122))),2)</f>
        <v>0</v>
      </c>
      <c r="AF122" s="39" t="n">
        <f aca="false">MAX(0,'Start Here'!$C$5-SUM($L122:$U122))</f>
        <v>1200</v>
      </c>
      <c r="AG122" s="39" t="n">
        <f aca="false">SUM(V122:AE122)</f>
        <v>0</v>
      </c>
      <c r="AH122" s="39" t="n">
        <f aca="false">SUM(B122:K122)-AG121</f>
        <v>0</v>
      </c>
    </row>
    <row r="123" customFormat="false" ht="15" hidden="false" customHeight="false" outlineLevel="0" collapsed="false">
      <c r="A123" s="40" t="n">
        <f aca="false">DATE(YEAR('Start Here'!$C$6),MONTH('Start Here'!$C$6)+116,1)</f>
        <v>49827</v>
      </c>
      <c r="B123" s="39" t="n">
        <f aca="false">ROUND(V122*(1+N('My Debts'!$D$6)/12),2)</f>
        <v>0</v>
      </c>
      <c r="C123" s="39" t="n">
        <f aca="false">ROUND(W122*(1+N('My Debts'!$D$7)/12),2)</f>
        <v>0</v>
      </c>
      <c r="D123" s="39" t="n">
        <f aca="false">ROUND(X122*(1+N('My Debts'!$D$8)/12),2)</f>
        <v>0</v>
      </c>
      <c r="E123" s="39" t="n">
        <f aca="false">ROUND(Y122*(1+N('My Debts'!$D$9)/12),2)</f>
        <v>0</v>
      </c>
      <c r="F123" s="39" t="n">
        <f aca="false">ROUND(Z122*(1+N('My Debts'!$D$10)/12),2)</f>
        <v>0</v>
      </c>
      <c r="G123" s="39" t="n">
        <f aca="false">ROUND(AA122*(1+N('My Debts'!$D$11)/12),2)</f>
        <v>0</v>
      </c>
      <c r="H123" s="39" t="n">
        <f aca="false">ROUND(AB122*(1+N('My Debts'!$D$12)/12),2)</f>
        <v>0</v>
      </c>
      <c r="I123" s="39" t="n">
        <f aca="false">ROUND(AC122*(1+N('My Debts'!$D$13)/12),2)</f>
        <v>0</v>
      </c>
      <c r="J123" s="39" t="n">
        <f aca="false">ROUND(AD122*(1+N('My Debts'!$D$14)/12),2)</f>
        <v>0</v>
      </c>
      <c r="K123" s="39" t="n">
        <f aca="false">ROUND(AE122*(1+N('My Debts'!$D$15)/12),2)</f>
        <v>0</v>
      </c>
      <c r="L123" s="39" t="n">
        <f aca="false">MIN(N('My Debts'!$E$6),B123)</f>
        <v>0</v>
      </c>
      <c r="M123" s="39" t="n">
        <f aca="false">MIN(N('My Debts'!$E$7),C123)</f>
        <v>0</v>
      </c>
      <c r="N123" s="39" t="n">
        <f aca="false">MIN(N('My Debts'!$E$8),D123)</f>
        <v>0</v>
      </c>
      <c r="O123" s="39" t="n">
        <f aca="false">MIN(N('My Debts'!$E$9),E123)</f>
        <v>0</v>
      </c>
      <c r="P123" s="39" t="n">
        <f aca="false">MIN(N('My Debts'!$E$10),F123)</f>
        <v>0</v>
      </c>
      <c r="Q123" s="39" t="n">
        <f aca="false">MIN(N('My Debts'!$E$11),G123)</f>
        <v>0</v>
      </c>
      <c r="R123" s="39" t="n">
        <f aca="false">MIN(N('My Debts'!$E$12),H123)</f>
        <v>0</v>
      </c>
      <c r="S123" s="39" t="n">
        <f aca="false">MIN(N('My Debts'!$E$13),I123)</f>
        <v>0</v>
      </c>
      <c r="T123" s="39" t="n">
        <f aca="false">MIN(N('My Debts'!$E$14),J123)</f>
        <v>0</v>
      </c>
      <c r="U123" s="39" t="n">
        <f aca="false">MIN(N('My Debts'!$E$15),K123)</f>
        <v>0</v>
      </c>
      <c r="V123" s="39" t="n">
        <f aca="false">ROUND(B123-L123-MIN(B123-L123,MAX(0,$AF123-SUMPRODUCT(--($B$4:$K$4&lt;B$4),$B123:$K123-$L123:$U123))),2)</f>
        <v>0</v>
      </c>
      <c r="W123" s="39" t="n">
        <f aca="false">ROUND(C123-M123-MIN(C123-M123,MAX(0,$AF123-SUMPRODUCT(--($B$4:$K$4&lt;C$4),$B123:$K123-$L123:$U123))),2)</f>
        <v>0</v>
      </c>
      <c r="X123" s="39" t="n">
        <f aca="false">ROUND(D123-N123-MIN(D123-N123,MAX(0,$AF123-SUMPRODUCT(--($B$4:$K$4&lt;D$4),$B123:$K123-$L123:$U123))),2)</f>
        <v>0</v>
      </c>
      <c r="Y123" s="39" t="n">
        <f aca="false">ROUND(E123-O123-MIN(E123-O123,MAX(0,$AF123-SUMPRODUCT(--($B$4:$K$4&lt;E$4),$B123:$K123-$L123:$U123))),2)</f>
        <v>0</v>
      </c>
      <c r="Z123" s="39" t="n">
        <f aca="false">ROUND(F123-P123-MIN(F123-P123,MAX(0,$AF123-SUMPRODUCT(--($B$4:$K$4&lt;F$4),$B123:$K123-$L123:$U123))),2)</f>
        <v>0</v>
      </c>
      <c r="AA123" s="39" t="n">
        <f aca="false">ROUND(G123-Q123-MIN(G123-Q123,MAX(0,$AF123-SUMPRODUCT(--($B$4:$K$4&lt;G$4),$B123:$K123-$L123:$U123))),2)</f>
        <v>0</v>
      </c>
      <c r="AB123" s="39" t="n">
        <f aca="false">ROUND(H123-R123-MIN(H123-R123,MAX(0,$AF123-SUMPRODUCT(--($B$4:$K$4&lt;H$4),$B123:$K123-$L123:$U123))),2)</f>
        <v>0</v>
      </c>
      <c r="AC123" s="39" t="n">
        <f aca="false">ROUND(I123-S123-MIN(I123-S123,MAX(0,$AF123-SUMPRODUCT(--($B$4:$K$4&lt;I$4),$B123:$K123-$L123:$U123))),2)</f>
        <v>0</v>
      </c>
      <c r="AD123" s="39" t="n">
        <f aca="false">ROUND(J123-T123-MIN(J123-T123,MAX(0,$AF123-SUMPRODUCT(--($B$4:$K$4&lt;J$4),$B123:$K123-$L123:$U123))),2)</f>
        <v>0</v>
      </c>
      <c r="AE123" s="39" t="n">
        <f aca="false">ROUND(K123-U123-MIN(K123-U123,MAX(0,$AF123-SUMPRODUCT(--($B$4:$K$4&lt;K$4),$B123:$K123-$L123:$U123))),2)</f>
        <v>0</v>
      </c>
      <c r="AF123" s="39" t="n">
        <f aca="false">MAX(0,'Start Here'!$C$5-SUM($L123:$U123))</f>
        <v>1200</v>
      </c>
      <c r="AG123" s="39" t="n">
        <f aca="false">SUM(V123:AE123)</f>
        <v>0</v>
      </c>
      <c r="AH123" s="39" t="n">
        <f aca="false">SUM(B123:K123)-AG122</f>
        <v>0</v>
      </c>
    </row>
    <row r="124" customFormat="false" ht="15" hidden="false" customHeight="false" outlineLevel="0" collapsed="false">
      <c r="A124" s="40" t="n">
        <f aca="false">DATE(YEAR('Start Here'!$C$6),MONTH('Start Here'!$C$6)+117,1)</f>
        <v>49857</v>
      </c>
      <c r="B124" s="39" t="n">
        <f aca="false">ROUND(V123*(1+N('My Debts'!$D$6)/12),2)</f>
        <v>0</v>
      </c>
      <c r="C124" s="39" t="n">
        <f aca="false">ROUND(W123*(1+N('My Debts'!$D$7)/12),2)</f>
        <v>0</v>
      </c>
      <c r="D124" s="39" t="n">
        <f aca="false">ROUND(X123*(1+N('My Debts'!$D$8)/12),2)</f>
        <v>0</v>
      </c>
      <c r="E124" s="39" t="n">
        <f aca="false">ROUND(Y123*(1+N('My Debts'!$D$9)/12),2)</f>
        <v>0</v>
      </c>
      <c r="F124" s="39" t="n">
        <f aca="false">ROUND(Z123*(1+N('My Debts'!$D$10)/12),2)</f>
        <v>0</v>
      </c>
      <c r="G124" s="39" t="n">
        <f aca="false">ROUND(AA123*(1+N('My Debts'!$D$11)/12),2)</f>
        <v>0</v>
      </c>
      <c r="H124" s="39" t="n">
        <f aca="false">ROUND(AB123*(1+N('My Debts'!$D$12)/12),2)</f>
        <v>0</v>
      </c>
      <c r="I124" s="39" t="n">
        <f aca="false">ROUND(AC123*(1+N('My Debts'!$D$13)/12),2)</f>
        <v>0</v>
      </c>
      <c r="J124" s="39" t="n">
        <f aca="false">ROUND(AD123*(1+N('My Debts'!$D$14)/12),2)</f>
        <v>0</v>
      </c>
      <c r="K124" s="39" t="n">
        <f aca="false">ROUND(AE123*(1+N('My Debts'!$D$15)/12),2)</f>
        <v>0</v>
      </c>
      <c r="L124" s="39" t="n">
        <f aca="false">MIN(N('My Debts'!$E$6),B124)</f>
        <v>0</v>
      </c>
      <c r="M124" s="39" t="n">
        <f aca="false">MIN(N('My Debts'!$E$7),C124)</f>
        <v>0</v>
      </c>
      <c r="N124" s="39" t="n">
        <f aca="false">MIN(N('My Debts'!$E$8),D124)</f>
        <v>0</v>
      </c>
      <c r="O124" s="39" t="n">
        <f aca="false">MIN(N('My Debts'!$E$9),E124)</f>
        <v>0</v>
      </c>
      <c r="P124" s="39" t="n">
        <f aca="false">MIN(N('My Debts'!$E$10),F124)</f>
        <v>0</v>
      </c>
      <c r="Q124" s="39" t="n">
        <f aca="false">MIN(N('My Debts'!$E$11),G124)</f>
        <v>0</v>
      </c>
      <c r="R124" s="39" t="n">
        <f aca="false">MIN(N('My Debts'!$E$12),H124)</f>
        <v>0</v>
      </c>
      <c r="S124" s="39" t="n">
        <f aca="false">MIN(N('My Debts'!$E$13),I124)</f>
        <v>0</v>
      </c>
      <c r="T124" s="39" t="n">
        <f aca="false">MIN(N('My Debts'!$E$14),J124)</f>
        <v>0</v>
      </c>
      <c r="U124" s="39" t="n">
        <f aca="false">MIN(N('My Debts'!$E$15),K124)</f>
        <v>0</v>
      </c>
      <c r="V124" s="39" t="n">
        <f aca="false">ROUND(B124-L124-MIN(B124-L124,MAX(0,$AF124-SUMPRODUCT(--($B$4:$K$4&lt;B$4),$B124:$K124-$L124:$U124))),2)</f>
        <v>0</v>
      </c>
      <c r="W124" s="39" t="n">
        <f aca="false">ROUND(C124-M124-MIN(C124-M124,MAX(0,$AF124-SUMPRODUCT(--($B$4:$K$4&lt;C$4),$B124:$K124-$L124:$U124))),2)</f>
        <v>0</v>
      </c>
      <c r="X124" s="39" t="n">
        <f aca="false">ROUND(D124-N124-MIN(D124-N124,MAX(0,$AF124-SUMPRODUCT(--($B$4:$K$4&lt;D$4),$B124:$K124-$L124:$U124))),2)</f>
        <v>0</v>
      </c>
      <c r="Y124" s="39" t="n">
        <f aca="false">ROUND(E124-O124-MIN(E124-O124,MAX(0,$AF124-SUMPRODUCT(--($B$4:$K$4&lt;E$4),$B124:$K124-$L124:$U124))),2)</f>
        <v>0</v>
      </c>
      <c r="Z124" s="39" t="n">
        <f aca="false">ROUND(F124-P124-MIN(F124-P124,MAX(0,$AF124-SUMPRODUCT(--($B$4:$K$4&lt;F$4),$B124:$K124-$L124:$U124))),2)</f>
        <v>0</v>
      </c>
      <c r="AA124" s="39" t="n">
        <f aca="false">ROUND(G124-Q124-MIN(G124-Q124,MAX(0,$AF124-SUMPRODUCT(--($B$4:$K$4&lt;G$4),$B124:$K124-$L124:$U124))),2)</f>
        <v>0</v>
      </c>
      <c r="AB124" s="39" t="n">
        <f aca="false">ROUND(H124-R124-MIN(H124-R124,MAX(0,$AF124-SUMPRODUCT(--($B$4:$K$4&lt;H$4),$B124:$K124-$L124:$U124))),2)</f>
        <v>0</v>
      </c>
      <c r="AC124" s="39" t="n">
        <f aca="false">ROUND(I124-S124-MIN(I124-S124,MAX(0,$AF124-SUMPRODUCT(--($B$4:$K$4&lt;I$4),$B124:$K124-$L124:$U124))),2)</f>
        <v>0</v>
      </c>
      <c r="AD124" s="39" t="n">
        <f aca="false">ROUND(J124-T124-MIN(J124-T124,MAX(0,$AF124-SUMPRODUCT(--($B$4:$K$4&lt;J$4),$B124:$K124-$L124:$U124))),2)</f>
        <v>0</v>
      </c>
      <c r="AE124" s="39" t="n">
        <f aca="false">ROUND(K124-U124-MIN(K124-U124,MAX(0,$AF124-SUMPRODUCT(--($B$4:$K$4&lt;K$4),$B124:$K124-$L124:$U124))),2)</f>
        <v>0</v>
      </c>
      <c r="AF124" s="39" t="n">
        <f aca="false">MAX(0,'Start Here'!$C$5-SUM($L124:$U124))</f>
        <v>1200</v>
      </c>
      <c r="AG124" s="39" t="n">
        <f aca="false">SUM(V124:AE124)</f>
        <v>0</v>
      </c>
      <c r="AH124" s="39" t="n">
        <f aca="false">SUM(B124:K124)-AG123</f>
        <v>0</v>
      </c>
    </row>
    <row r="125" customFormat="false" ht="15" hidden="false" customHeight="false" outlineLevel="0" collapsed="false">
      <c r="A125" s="40" t="n">
        <f aca="false">DATE(YEAR('Start Here'!$C$6),MONTH('Start Here'!$C$6)+118,1)</f>
        <v>49888</v>
      </c>
      <c r="B125" s="39" t="n">
        <f aca="false">ROUND(V124*(1+N('My Debts'!$D$6)/12),2)</f>
        <v>0</v>
      </c>
      <c r="C125" s="39" t="n">
        <f aca="false">ROUND(W124*(1+N('My Debts'!$D$7)/12),2)</f>
        <v>0</v>
      </c>
      <c r="D125" s="39" t="n">
        <f aca="false">ROUND(X124*(1+N('My Debts'!$D$8)/12),2)</f>
        <v>0</v>
      </c>
      <c r="E125" s="39" t="n">
        <f aca="false">ROUND(Y124*(1+N('My Debts'!$D$9)/12),2)</f>
        <v>0</v>
      </c>
      <c r="F125" s="39" t="n">
        <f aca="false">ROUND(Z124*(1+N('My Debts'!$D$10)/12),2)</f>
        <v>0</v>
      </c>
      <c r="G125" s="39" t="n">
        <f aca="false">ROUND(AA124*(1+N('My Debts'!$D$11)/12),2)</f>
        <v>0</v>
      </c>
      <c r="H125" s="39" t="n">
        <f aca="false">ROUND(AB124*(1+N('My Debts'!$D$12)/12),2)</f>
        <v>0</v>
      </c>
      <c r="I125" s="39" t="n">
        <f aca="false">ROUND(AC124*(1+N('My Debts'!$D$13)/12),2)</f>
        <v>0</v>
      </c>
      <c r="J125" s="39" t="n">
        <f aca="false">ROUND(AD124*(1+N('My Debts'!$D$14)/12),2)</f>
        <v>0</v>
      </c>
      <c r="K125" s="39" t="n">
        <f aca="false">ROUND(AE124*(1+N('My Debts'!$D$15)/12),2)</f>
        <v>0</v>
      </c>
      <c r="L125" s="39" t="n">
        <f aca="false">MIN(N('My Debts'!$E$6),B125)</f>
        <v>0</v>
      </c>
      <c r="M125" s="39" t="n">
        <f aca="false">MIN(N('My Debts'!$E$7),C125)</f>
        <v>0</v>
      </c>
      <c r="N125" s="39" t="n">
        <f aca="false">MIN(N('My Debts'!$E$8),D125)</f>
        <v>0</v>
      </c>
      <c r="O125" s="39" t="n">
        <f aca="false">MIN(N('My Debts'!$E$9),E125)</f>
        <v>0</v>
      </c>
      <c r="P125" s="39" t="n">
        <f aca="false">MIN(N('My Debts'!$E$10),F125)</f>
        <v>0</v>
      </c>
      <c r="Q125" s="39" t="n">
        <f aca="false">MIN(N('My Debts'!$E$11),G125)</f>
        <v>0</v>
      </c>
      <c r="R125" s="39" t="n">
        <f aca="false">MIN(N('My Debts'!$E$12),H125)</f>
        <v>0</v>
      </c>
      <c r="S125" s="39" t="n">
        <f aca="false">MIN(N('My Debts'!$E$13),I125)</f>
        <v>0</v>
      </c>
      <c r="T125" s="39" t="n">
        <f aca="false">MIN(N('My Debts'!$E$14),J125)</f>
        <v>0</v>
      </c>
      <c r="U125" s="39" t="n">
        <f aca="false">MIN(N('My Debts'!$E$15),K125)</f>
        <v>0</v>
      </c>
      <c r="V125" s="39" t="n">
        <f aca="false">ROUND(B125-L125-MIN(B125-L125,MAX(0,$AF125-SUMPRODUCT(--($B$4:$K$4&lt;B$4),$B125:$K125-$L125:$U125))),2)</f>
        <v>0</v>
      </c>
      <c r="W125" s="39" t="n">
        <f aca="false">ROUND(C125-M125-MIN(C125-M125,MAX(0,$AF125-SUMPRODUCT(--($B$4:$K$4&lt;C$4),$B125:$K125-$L125:$U125))),2)</f>
        <v>0</v>
      </c>
      <c r="X125" s="39" t="n">
        <f aca="false">ROUND(D125-N125-MIN(D125-N125,MAX(0,$AF125-SUMPRODUCT(--($B$4:$K$4&lt;D$4),$B125:$K125-$L125:$U125))),2)</f>
        <v>0</v>
      </c>
      <c r="Y125" s="39" t="n">
        <f aca="false">ROUND(E125-O125-MIN(E125-O125,MAX(0,$AF125-SUMPRODUCT(--($B$4:$K$4&lt;E$4),$B125:$K125-$L125:$U125))),2)</f>
        <v>0</v>
      </c>
      <c r="Z125" s="39" t="n">
        <f aca="false">ROUND(F125-P125-MIN(F125-P125,MAX(0,$AF125-SUMPRODUCT(--($B$4:$K$4&lt;F$4),$B125:$K125-$L125:$U125))),2)</f>
        <v>0</v>
      </c>
      <c r="AA125" s="39" t="n">
        <f aca="false">ROUND(G125-Q125-MIN(G125-Q125,MAX(0,$AF125-SUMPRODUCT(--($B$4:$K$4&lt;G$4),$B125:$K125-$L125:$U125))),2)</f>
        <v>0</v>
      </c>
      <c r="AB125" s="39" t="n">
        <f aca="false">ROUND(H125-R125-MIN(H125-R125,MAX(0,$AF125-SUMPRODUCT(--($B$4:$K$4&lt;H$4),$B125:$K125-$L125:$U125))),2)</f>
        <v>0</v>
      </c>
      <c r="AC125" s="39" t="n">
        <f aca="false">ROUND(I125-S125-MIN(I125-S125,MAX(0,$AF125-SUMPRODUCT(--($B$4:$K$4&lt;I$4),$B125:$K125-$L125:$U125))),2)</f>
        <v>0</v>
      </c>
      <c r="AD125" s="39" t="n">
        <f aca="false">ROUND(J125-T125-MIN(J125-T125,MAX(0,$AF125-SUMPRODUCT(--($B$4:$K$4&lt;J$4),$B125:$K125-$L125:$U125))),2)</f>
        <v>0</v>
      </c>
      <c r="AE125" s="39" t="n">
        <f aca="false">ROUND(K125-U125-MIN(K125-U125,MAX(0,$AF125-SUMPRODUCT(--($B$4:$K$4&lt;K$4),$B125:$K125-$L125:$U125))),2)</f>
        <v>0</v>
      </c>
      <c r="AF125" s="39" t="n">
        <f aca="false">MAX(0,'Start Here'!$C$5-SUM($L125:$U125))</f>
        <v>1200</v>
      </c>
      <c r="AG125" s="39" t="n">
        <f aca="false">SUM(V125:AE125)</f>
        <v>0</v>
      </c>
      <c r="AH125" s="39" t="n">
        <f aca="false">SUM(B125:K125)-AG124</f>
        <v>0</v>
      </c>
    </row>
    <row r="126" customFormat="false" ht="15" hidden="false" customHeight="false" outlineLevel="0" collapsed="false">
      <c r="A126" s="40" t="n">
        <f aca="false">DATE(YEAR('Start Here'!$C$6),MONTH('Start Here'!$C$6)+119,1)</f>
        <v>49919</v>
      </c>
      <c r="B126" s="39" t="n">
        <f aca="false">ROUND(V125*(1+N('My Debts'!$D$6)/12),2)</f>
        <v>0</v>
      </c>
      <c r="C126" s="39" t="n">
        <f aca="false">ROUND(W125*(1+N('My Debts'!$D$7)/12),2)</f>
        <v>0</v>
      </c>
      <c r="D126" s="39" t="n">
        <f aca="false">ROUND(X125*(1+N('My Debts'!$D$8)/12),2)</f>
        <v>0</v>
      </c>
      <c r="E126" s="39" t="n">
        <f aca="false">ROUND(Y125*(1+N('My Debts'!$D$9)/12),2)</f>
        <v>0</v>
      </c>
      <c r="F126" s="39" t="n">
        <f aca="false">ROUND(Z125*(1+N('My Debts'!$D$10)/12),2)</f>
        <v>0</v>
      </c>
      <c r="G126" s="39" t="n">
        <f aca="false">ROUND(AA125*(1+N('My Debts'!$D$11)/12),2)</f>
        <v>0</v>
      </c>
      <c r="H126" s="39" t="n">
        <f aca="false">ROUND(AB125*(1+N('My Debts'!$D$12)/12),2)</f>
        <v>0</v>
      </c>
      <c r="I126" s="39" t="n">
        <f aca="false">ROUND(AC125*(1+N('My Debts'!$D$13)/12),2)</f>
        <v>0</v>
      </c>
      <c r="J126" s="39" t="n">
        <f aca="false">ROUND(AD125*(1+N('My Debts'!$D$14)/12),2)</f>
        <v>0</v>
      </c>
      <c r="K126" s="39" t="n">
        <f aca="false">ROUND(AE125*(1+N('My Debts'!$D$15)/12),2)</f>
        <v>0</v>
      </c>
      <c r="L126" s="39" t="n">
        <f aca="false">MIN(N('My Debts'!$E$6),B126)</f>
        <v>0</v>
      </c>
      <c r="M126" s="39" t="n">
        <f aca="false">MIN(N('My Debts'!$E$7),C126)</f>
        <v>0</v>
      </c>
      <c r="N126" s="39" t="n">
        <f aca="false">MIN(N('My Debts'!$E$8),D126)</f>
        <v>0</v>
      </c>
      <c r="O126" s="39" t="n">
        <f aca="false">MIN(N('My Debts'!$E$9),E126)</f>
        <v>0</v>
      </c>
      <c r="P126" s="39" t="n">
        <f aca="false">MIN(N('My Debts'!$E$10),F126)</f>
        <v>0</v>
      </c>
      <c r="Q126" s="39" t="n">
        <f aca="false">MIN(N('My Debts'!$E$11),G126)</f>
        <v>0</v>
      </c>
      <c r="R126" s="39" t="n">
        <f aca="false">MIN(N('My Debts'!$E$12),H126)</f>
        <v>0</v>
      </c>
      <c r="S126" s="39" t="n">
        <f aca="false">MIN(N('My Debts'!$E$13),I126)</f>
        <v>0</v>
      </c>
      <c r="T126" s="39" t="n">
        <f aca="false">MIN(N('My Debts'!$E$14),J126)</f>
        <v>0</v>
      </c>
      <c r="U126" s="39" t="n">
        <f aca="false">MIN(N('My Debts'!$E$15),K126)</f>
        <v>0</v>
      </c>
      <c r="V126" s="39" t="n">
        <f aca="false">ROUND(B126-L126-MIN(B126-L126,MAX(0,$AF126-SUMPRODUCT(--($B$4:$K$4&lt;B$4),$B126:$K126-$L126:$U126))),2)</f>
        <v>0</v>
      </c>
      <c r="W126" s="39" t="n">
        <f aca="false">ROUND(C126-M126-MIN(C126-M126,MAX(0,$AF126-SUMPRODUCT(--($B$4:$K$4&lt;C$4),$B126:$K126-$L126:$U126))),2)</f>
        <v>0</v>
      </c>
      <c r="X126" s="39" t="n">
        <f aca="false">ROUND(D126-N126-MIN(D126-N126,MAX(0,$AF126-SUMPRODUCT(--($B$4:$K$4&lt;D$4),$B126:$K126-$L126:$U126))),2)</f>
        <v>0</v>
      </c>
      <c r="Y126" s="39" t="n">
        <f aca="false">ROUND(E126-O126-MIN(E126-O126,MAX(0,$AF126-SUMPRODUCT(--($B$4:$K$4&lt;E$4),$B126:$K126-$L126:$U126))),2)</f>
        <v>0</v>
      </c>
      <c r="Z126" s="39" t="n">
        <f aca="false">ROUND(F126-P126-MIN(F126-P126,MAX(0,$AF126-SUMPRODUCT(--($B$4:$K$4&lt;F$4),$B126:$K126-$L126:$U126))),2)</f>
        <v>0</v>
      </c>
      <c r="AA126" s="39" t="n">
        <f aca="false">ROUND(G126-Q126-MIN(G126-Q126,MAX(0,$AF126-SUMPRODUCT(--($B$4:$K$4&lt;G$4),$B126:$K126-$L126:$U126))),2)</f>
        <v>0</v>
      </c>
      <c r="AB126" s="39" t="n">
        <f aca="false">ROUND(H126-R126-MIN(H126-R126,MAX(0,$AF126-SUMPRODUCT(--($B$4:$K$4&lt;H$4),$B126:$K126-$L126:$U126))),2)</f>
        <v>0</v>
      </c>
      <c r="AC126" s="39" t="n">
        <f aca="false">ROUND(I126-S126-MIN(I126-S126,MAX(0,$AF126-SUMPRODUCT(--($B$4:$K$4&lt;I$4),$B126:$K126-$L126:$U126))),2)</f>
        <v>0</v>
      </c>
      <c r="AD126" s="39" t="n">
        <f aca="false">ROUND(J126-T126-MIN(J126-T126,MAX(0,$AF126-SUMPRODUCT(--($B$4:$K$4&lt;J$4),$B126:$K126-$L126:$U126))),2)</f>
        <v>0</v>
      </c>
      <c r="AE126" s="39" t="n">
        <f aca="false">ROUND(K126-U126-MIN(K126-U126,MAX(0,$AF126-SUMPRODUCT(--($B$4:$K$4&lt;K$4),$B126:$K126-$L126:$U126))),2)</f>
        <v>0</v>
      </c>
      <c r="AF126" s="39" t="n">
        <f aca="false">MAX(0,'Start Here'!$C$5-SUM($L126:$U126))</f>
        <v>1200</v>
      </c>
      <c r="AG126" s="39" t="n">
        <f aca="false">SUM(V126:AE126)</f>
        <v>0</v>
      </c>
      <c r="AH126" s="39" t="n">
        <f aca="false">SUM(B126:K126)-AG125</f>
        <v>0</v>
      </c>
    </row>
    <row r="127" customFormat="false" ht="15" hidden="false" customHeight="false" outlineLevel="0" collapsed="false">
      <c r="A127" s="40" t="n">
        <f aca="false">DATE(YEAR('Start Here'!$C$6),MONTH('Start Here'!$C$6)+120,1)</f>
        <v>49949</v>
      </c>
      <c r="B127" s="39" t="n">
        <f aca="false">ROUND(V126*(1+N('My Debts'!$D$6)/12),2)</f>
        <v>0</v>
      </c>
      <c r="C127" s="39" t="n">
        <f aca="false">ROUND(W126*(1+N('My Debts'!$D$7)/12),2)</f>
        <v>0</v>
      </c>
      <c r="D127" s="39" t="n">
        <f aca="false">ROUND(X126*(1+N('My Debts'!$D$8)/12),2)</f>
        <v>0</v>
      </c>
      <c r="E127" s="39" t="n">
        <f aca="false">ROUND(Y126*(1+N('My Debts'!$D$9)/12),2)</f>
        <v>0</v>
      </c>
      <c r="F127" s="39" t="n">
        <f aca="false">ROUND(Z126*(1+N('My Debts'!$D$10)/12),2)</f>
        <v>0</v>
      </c>
      <c r="G127" s="39" t="n">
        <f aca="false">ROUND(AA126*(1+N('My Debts'!$D$11)/12),2)</f>
        <v>0</v>
      </c>
      <c r="H127" s="39" t="n">
        <f aca="false">ROUND(AB126*(1+N('My Debts'!$D$12)/12),2)</f>
        <v>0</v>
      </c>
      <c r="I127" s="39" t="n">
        <f aca="false">ROUND(AC126*(1+N('My Debts'!$D$13)/12),2)</f>
        <v>0</v>
      </c>
      <c r="J127" s="39" t="n">
        <f aca="false">ROUND(AD126*(1+N('My Debts'!$D$14)/12),2)</f>
        <v>0</v>
      </c>
      <c r="K127" s="39" t="n">
        <f aca="false">ROUND(AE126*(1+N('My Debts'!$D$15)/12),2)</f>
        <v>0</v>
      </c>
      <c r="L127" s="39" t="n">
        <f aca="false">MIN(N('My Debts'!$E$6),B127)</f>
        <v>0</v>
      </c>
      <c r="M127" s="39" t="n">
        <f aca="false">MIN(N('My Debts'!$E$7),C127)</f>
        <v>0</v>
      </c>
      <c r="N127" s="39" t="n">
        <f aca="false">MIN(N('My Debts'!$E$8),D127)</f>
        <v>0</v>
      </c>
      <c r="O127" s="39" t="n">
        <f aca="false">MIN(N('My Debts'!$E$9),E127)</f>
        <v>0</v>
      </c>
      <c r="P127" s="39" t="n">
        <f aca="false">MIN(N('My Debts'!$E$10),F127)</f>
        <v>0</v>
      </c>
      <c r="Q127" s="39" t="n">
        <f aca="false">MIN(N('My Debts'!$E$11),G127)</f>
        <v>0</v>
      </c>
      <c r="R127" s="39" t="n">
        <f aca="false">MIN(N('My Debts'!$E$12),H127)</f>
        <v>0</v>
      </c>
      <c r="S127" s="39" t="n">
        <f aca="false">MIN(N('My Debts'!$E$13),I127)</f>
        <v>0</v>
      </c>
      <c r="T127" s="39" t="n">
        <f aca="false">MIN(N('My Debts'!$E$14),J127)</f>
        <v>0</v>
      </c>
      <c r="U127" s="39" t="n">
        <f aca="false">MIN(N('My Debts'!$E$15),K127)</f>
        <v>0</v>
      </c>
      <c r="V127" s="39" t="n">
        <f aca="false">ROUND(B127-L127-MIN(B127-L127,MAX(0,$AF127-SUMPRODUCT(--($B$4:$K$4&lt;B$4),$B127:$K127-$L127:$U127))),2)</f>
        <v>0</v>
      </c>
      <c r="W127" s="39" t="n">
        <f aca="false">ROUND(C127-M127-MIN(C127-M127,MAX(0,$AF127-SUMPRODUCT(--($B$4:$K$4&lt;C$4),$B127:$K127-$L127:$U127))),2)</f>
        <v>0</v>
      </c>
      <c r="X127" s="39" t="n">
        <f aca="false">ROUND(D127-N127-MIN(D127-N127,MAX(0,$AF127-SUMPRODUCT(--($B$4:$K$4&lt;D$4),$B127:$K127-$L127:$U127))),2)</f>
        <v>0</v>
      </c>
      <c r="Y127" s="39" t="n">
        <f aca="false">ROUND(E127-O127-MIN(E127-O127,MAX(0,$AF127-SUMPRODUCT(--($B$4:$K$4&lt;E$4),$B127:$K127-$L127:$U127))),2)</f>
        <v>0</v>
      </c>
      <c r="Z127" s="39" t="n">
        <f aca="false">ROUND(F127-P127-MIN(F127-P127,MAX(0,$AF127-SUMPRODUCT(--($B$4:$K$4&lt;F$4),$B127:$K127-$L127:$U127))),2)</f>
        <v>0</v>
      </c>
      <c r="AA127" s="39" t="n">
        <f aca="false">ROUND(G127-Q127-MIN(G127-Q127,MAX(0,$AF127-SUMPRODUCT(--($B$4:$K$4&lt;G$4),$B127:$K127-$L127:$U127))),2)</f>
        <v>0</v>
      </c>
      <c r="AB127" s="39" t="n">
        <f aca="false">ROUND(H127-R127-MIN(H127-R127,MAX(0,$AF127-SUMPRODUCT(--($B$4:$K$4&lt;H$4),$B127:$K127-$L127:$U127))),2)</f>
        <v>0</v>
      </c>
      <c r="AC127" s="39" t="n">
        <f aca="false">ROUND(I127-S127-MIN(I127-S127,MAX(0,$AF127-SUMPRODUCT(--($B$4:$K$4&lt;I$4),$B127:$K127-$L127:$U127))),2)</f>
        <v>0</v>
      </c>
      <c r="AD127" s="39" t="n">
        <f aca="false">ROUND(J127-T127-MIN(J127-T127,MAX(0,$AF127-SUMPRODUCT(--($B$4:$K$4&lt;J$4),$B127:$K127-$L127:$U127))),2)</f>
        <v>0</v>
      </c>
      <c r="AE127" s="39" t="n">
        <f aca="false">ROUND(K127-U127-MIN(K127-U127,MAX(0,$AF127-SUMPRODUCT(--($B$4:$K$4&lt;K$4),$B127:$K127-$L127:$U127))),2)</f>
        <v>0</v>
      </c>
      <c r="AF127" s="39" t="n">
        <f aca="false">MAX(0,'Start Here'!$C$5-SUM($L127:$U127))</f>
        <v>1200</v>
      </c>
      <c r="AG127" s="39" t="n">
        <f aca="false">SUM(V127:AE127)</f>
        <v>0</v>
      </c>
      <c r="AH127" s="39" t="n">
        <f aca="false">SUM(B127:K127)-AG126</f>
        <v>0</v>
      </c>
    </row>
    <row r="128" customFormat="false" ht="15" hidden="false" customHeight="false" outlineLevel="0" collapsed="false">
      <c r="A128" s="40" t="n">
        <f aca="false">DATE(YEAR('Start Here'!$C$6),MONTH('Start Here'!$C$6)+121,1)</f>
        <v>49980</v>
      </c>
      <c r="B128" s="39" t="n">
        <f aca="false">ROUND(V127*(1+N('My Debts'!$D$6)/12),2)</f>
        <v>0</v>
      </c>
      <c r="C128" s="39" t="n">
        <f aca="false">ROUND(W127*(1+N('My Debts'!$D$7)/12),2)</f>
        <v>0</v>
      </c>
      <c r="D128" s="39" t="n">
        <f aca="false">ROUND(X127*(1+N('My Debts'!$D$8)/12),2)</f>
        <v>0</v>
      </c>
      <c r="E128" s="39" t="n">
        <f aca="false">ROUND(Y127*(1+N('My Debts'!$D$9)/12),2)</f>
        <v>0</v>
      </c>
      <c r="F128" s="39" t="n">
        <f aca="false">ROUND(Z127*(1+N('My Debts'!$D$10)/12),2)</f>
        <v>0</v>
      </c>
      <c r="G128" s="39" t="n">
        <f aca="false">ROUND(AA127*(1+N('My Debts'!$D$11)/12),2)</f>
        <v>0</v>
      </c>
      <c r="H128" s="39" t="n">
        <f aca="false">ROUND(AB127*(1+N('My Debts'!$D$12)/12),2)</f>
        <v>0</v>
      </c>
      <c r="I128" s="39" t="n">
        <f aca="false">ROUND(AC127*(1+N('My Debts'!$D$13)/12),2)</f>
        <v>0</v>
      </c>
      <c r="J128" s="39" t="n">
        <f aca="false">ROUND(AD127*(1+N('My Debts'!$D$14)/12),2)</f>
        <v>0</v>
      </c>
      <c r="K128" s="39" t="n">
        <f aca="false">ROUND(AE127*(1+N('My Debts'!$D$15)/12),2)</f>
        <v>0</v>
      </c>
      <c r="L128" s="39" t="n">
        <f aca="false">MIN(N('My Debts'!$E$6),B128)</f>
        <v>0</v>
      </c>
      <c r="M128" s="39" t="n">
        <f aca="false">MIN(N('My Debts'!$E$7),C128)</f>
        <v>0</v>
      </c>
      <c r="N128" s="39" t="n">
        <f aca="false">MIN(N('My Debts'!$E$8),D128)</f>
        <v>0</v>
      </c>
      <c r="O128" s="39" t="n">
        <f aca="false">MIN(N('My Debts'!$E$9),E128)</f>
        <v>0</v>
      </c>
      <c r="P128" s="39" t="n">
        <f aca="false">MIN(N('My Debts'!$E$10),F128)</f>
        <v>0</v>
      </c>
      <c r="Q128" s="39" t="n">
        <f aca="false">MIN(N('My Debts'!$E$11),G128)</f>
        <v>0</v>
      </c>
      <c r="R128" s="39" t="n">
        <f aca="false">MIN(N('My Debts'!$E$12),H128)</f>
        <v>0</v>
      </c>
      <c r="S128" s="39" t="n">
        <f aca="false">MIN(N('My Debts'!$E$13),I128)</f>
        <v>0</v>
      </c>
      <c r="T128" s="39" t="n">
        <f aca="false">MIN(N('My Debts'!$E$14),J128)</f>
        <v>0</v>
      </c>
      <c r="U128" s="39" t="n">
        <f aca="false">MIN(N('My Debts'!$E$15),K128)</f>
        <v>0</v>
      </c>
      <c r="V128" s="39" t="n">
        <f aca="false">ROUND(B128-L128-MIN(B128-L128,MAX(0,$AF128-SUMPRODUCT(--($B$4:$K$4&lt;B$4),$B128:$K128-$L128:$U128))),2)</f>
        <v>0</v>
      </c>
      <c r="W128" s="39" t="n">
        <f aca="false">ROUND(C128-M128-MIN(C128-M128,MAX(0,$AF128-SUMPRODUCT(--($B$4:$K$4&lt;C$4),$B128:$K128-$L128:$U128))),2)</f>
        <v>0</v>
      </c>
      <c r="X128" s="39" t="n">
        <f aca="false">ROUND(D128-N128-MIN(D128-N128,MAX(0,$AF128-SUMPRODUCT(--($B$4:$K$4&lt;D$4),$B128:$K128-$L128:$U128))),2)</f>
        <v>0</v>
      </c>
      <c r="Y128" s="39" t="n">
        <f aca="false">ROUND(E128-O128-MIN(E128-O128,MAX(0,$AF128-SUMPRODUCT(--($B$4:$K$4&lt;E$4),$B128:$K128-$L128:$U128))),2)</f>
        <v>0</v>
      </c>
      <c r="Z128" s="39" t="n">
        <f aca="false">ROUND(F128-P128-MIN(F128-P128,MAX(0,$AF128-SUMPRODUCT(--($B$4:$K$4&lt;F$4),$B128:$K128-$L128:$U128))),2)</f>
        <v>0</v>
      </c>
      <c r="AA128" s="39" t="n">
        <f aca="false">ROUND(G128-Q128-MIN(G128-Q128,MAX(0,$AF128-SUMPRODUCT(--($B$4:$K$4&lt;G$4),$B128:$K128-$L128:$U128))),2)</f>
        <v>0</v>
      </c>
      <c r="AB128" s="39" t="n">
        <f aca="false">ROUND(H128-R128-MIN(H128-R128,MAX(0,$AF128-SUMPRODUCT(--($B$4:$K$4&lt;H$4),$B128:$K128-$L128:$U128))),2)</f>
        <v>0</v>
      </c>
      <c r="AC128" s="39" t="n">
        <f aca="false">ROUND(I128-S128-MIN(I128-S128,MAX(0,$AF128-SUMPRODUCT(--($B$4:$K$4&lt;I$4),$B128:$K128-$L128:$U128))),2)</f>
        <v>0</v>
      </c>
      <c r="AD128" s="39" t="n">
        <f aca="false">ROUND(J128-T128-MIN(J128-T128,MAX(0,$AF128-SUMPRODUCT(--($B$4:$K$4&lt;J$4),$B128:$K128-$L128:$U128))),2)</f>
        <v>0</v>
      </c>
      <c r="AE128" s="39" t="n">
        <f aca="false">ROUND(K128-U128-MIN(K128-U128,MAX(0,$AF128-SUMPRODUCT(--($B$4:$K$4&lt;K$4),$B128:$K128-$L128:$U128))),2)</f>
        <v>0</v>
      </c>
      <c r="AF128" s="39" t="n">
        <f aca="false">MAX(0,'Start Here'!$C$5-SUM($L128:$U128))</f>
        <v>1200</v>
      </c>
      <c r="AG128" s="39" t="n">
        <f aca="false">SUM(V128:AE128)</f>
        <v>0</v>
      </c>
      <c r="AH128" s="39" t="n">
        <f aca="false">SUM(B128:K128)-AG127</f>
        <v>0</v>
      </c>
    </row>
    <row r="129" customFormat="false" ht="15" hidden="false" customHeight="false" outlineLevel="0" collapsed="false">
      <c r="A129" s="40" t="n">
        <f aca="false">DATE(YEAR('Start Here'!$C$6),MONTH('Start Here'!$C$6)+122,1)</f>
        <v>50010</v>
      </c>
      <c r="B129" s="39" t="n">
        <f aca="false">ROUND(V128*(1+N('My Debts'!$D$6)/12),2)</f>
        <v>0</v>
      </c>
      <c r="C129" s="39" t="n">
        <f aca="false">ROUND(W128*(1+N('My Debts'!$D$7)/12),2)</f>
        <v>0</v>
      </c>
      <c r="D129" s="39" t="n">
        <f aca="false">ROUND(X128*(1+N('My Debts'!$D$8)/12),2)</f>
        <v>0</v>
      </c>
      <c r="E129" s="39" t="n">
        <f aca="false">ROUND(Y128*(1+N('My Debts'!$D$9)/12),2)</f>
        <v>0</v>
      </c>
      <c r="F129" s="39" t="n">
        <f aca="false">ROUND(Z128*(1+N('My Debts'!$D$10)/12),2)</f>
        <v>0</v>
      </c>
      <c r="G129" s="39" t="n">
        <f aca="false">ROUND(AA128*(1+N('My Debts'!$D$11)/12),2)</f>
        <v>0</v>
      </c>
      <c r="H129" s="39" t="n">
        <f aca="false">ROUND(AB128*(1+N('My Debts'!$D$12)/12),2)</f>
        <v>0</v>
      </c>
      <c r="I129" s="39" t="n">
        <f aca="false">ROUND(AC128*(1+N('My Debts'!$D$13)/12),2)</f>
        <v>0</v>
      </c>
      <c r="J129" s="39" t="n">
        <f aca="false">ROUND(AD128*(1+N('My Debts'!$D$14)/12),2)</f>
        <v>0</v>
      </c>
      <c r="K129" s="39" t="n">
        <f aca="false">ROUND(AE128*(1+N('My Debts'!$D$15)/12),2)</f>
        <v>0</v>
      </c>
      <c r="L129" s="39" t="n">
        <f aca="false">MIN(N('My Debts'!$E$6),B129)</f>
        <v>0</v>
      </c>
      <c r="M129" s="39" t="n">
        <f aca="false">MIN(N('My Debts'!$E$7),C129)</f>
        <v>0</v>
      </c>
      <c r="N129" s="39" t="n">
        <f aca="false">MIN(N('My Debts'!$E$8),D129)</f>
        <v>0</v>
      </c>
      <c r="O129" s="39" t="n">
        <f aca="false">MIN(N('My Debts'!$E$9),E129)</f>
        <v>0</v>
      </c>
      <c r="P129" s="39" t="n">
        <f aca="false">MIN(N('My Debts'!$E$10),F129)</f>
        <v>0</v>
      </c>
      <c r="Q129" s="39" t="n">
        <f aca="false">MIN(N('My Debts'!$E$11),G129)</f>
        <v>0</v>
      </c>
      <c r="R129" s="39" t="n">
        <f aca="false">MIN(N('My Debts'!$E$12),H129)</f>
        <v>0</v>
      </c>
      <c r="S129" s="39" t="n">
        <f aca="false">MIN(N('My Debts'!$E$13),I129)</f>
        <v>0</v>
      </c>
      <c r="T129" s="39" t="n">
        <f aca="false">MIN(N('My Debts'!$E$14),J129)</f>
        <v>0</v>
      </c>
      <c r="U129" s="39" t="n">
        <f aca="false">MIN(N('My Debts'!$E$15),K129)</f>
        <v>0</v>
      </c>
      <c r="V129" s="39" t="n">
        <f aca="false">ROUND(B129-L129-MIN(B129-L129,MAX(0,$AF129-SUMPRODUCT(--($B$4:$K$4&lt;B$4),$B129:$K129-$L129:$U129))),2)</f>
        <v>0</v>
      </c>
      <c r="W129" s="39" t="n">
        <f aca="false">ROUND(C129-M129-MIN(C129-M129,MAX(0,$AF129-SUMPRODUCT(--($B$4:$K$4&lt;C$4),$B129:$K129-$L129:$U129))),2)</f>
        <v>0</v>
      </c>
      <c r="X129" s="39" t="n">
        <f aca="false">ROUND(D129-N129-MIN(D129-N129,MAX(0,$AF129-SUMPRODUCT(--($B$4:$K$4&lt;D$4),$B129:$K129-$L129:$U129))),2)</f>
        <v>0</v>
      </c>
      <c r="Y129" s="39" t="n">
        <f aca="false">ROUND(E129-O129-MIN(E129-O129,MAX(0,$AF129-SUMPRODUCT(--($B$4:$K$4&lt;E$4),$B129:$K129-$L129:$U129))),2)</f>
        <v>0</v>
      </c>
      <c r="Z129" s="39" t="n">
        <f aca="false">ROUND(F129-P129-MIN(F129-P129,MAX(0,$AF129-SUMPRODUCT(--($B$4:$K$4&lt;F$4),$B129:$K129-$L129:$U129))),2)</f>
        <v>0</v>
      </c>
      <c r="AA129" s="39" t="n">
        <f aca="false">ROUND(G129-Q129-MIN(G129-Q129,MAX(0,$AF129-SUMPRODUCT(--($B$4:$K$4&lt;G$4),$B129:$K129-$L129:$U129))),2)</f>
        <v>0</v>
      </c>
      <c r="AB129" s="39" t="n">
        <f aca="false">ROUND(H129-R129-MIN(H129-R129,MAX(0,$AF129-SUMPRODUCT(--($B$4:$K$4&lt;H$4),$B129:$K129-$L129:$U129))),2)</f>
        <v>0</v>
      </c>
      <c r="AC129" s="39" t="n">
        <f aca="false">ROUND(I129-S129-MIN(I129-S129,MAX(0,$AF129-SUMPRODUCT(--($B$4:$K$4&lt;I$4),$B129:$K129-$L129:$U129))),2)</f>
        <v>0</v>
      </c>
      <c r="AD129" s="39" t="n">
        <f aca="false">ROUND(J129-T129-MIN(J129-T129,MAX(0,$AF129-SUMPRODUCT(--($B$4:$K$4&lt;J$4),$B129:$K129-$L129:$U129))),2)</f>
        <v>0</v>
      </c>
      <c r="AE129" s="39" t="n">
        <f aca="false">ROUND(K129-U129-MIN(K129-U129,MAX(0,$AF129-SUMPRODUCT(--($B$4:$K$4&lt;K$4),$B129:$K129-$L129:$U129))),2)</f>
        <v>0</v>
      </c>
      <c r="AF129" s="39" t="n">
        <f aca="false">MAX(0,'Start Here'!$C$5-SUM($L129:$U129))</f>
        <v>1200</v>
      </c>
      <c r="AG129" s="39" t="n">
        <f aca="false">SUM(V129:AE129)</f>
        <v>0</v>
      </c>
      <c r="AH129" s="39" t="n">
        <f aca="false">SUM(B129:K129)-AG128</f>
        <v>0</v>
      </c>
    </row>
    <row r="130" customFormat="false" ht="15" hidden="false" customHeight="false" outlineLevel="0" collapsed="false">
      <c r="A130" s="40" t="n">
        <f aca="false">DATE(YEAR('Start Here'!$C$6),MONTH('Start Here'!$C$6)+123,1)</f>
        <v>50041</v>
      </c>
      <c r="B130" s="39" t="n">
        <f aca="false">ROUND(V129*(1+N('My Debts'!$D$6)/12),2)</f>
        <v>0</v>
      </c>
      <c r="C130" s="39" t="n">
        <f aca="false">ROUND(W129*(1+N('My Debts'!$D$7)/12),2)</f>
        <v>0</v>
      </c>
      <c r="D130" s="39" t="n">
        <f aca="false">ROUND(X129*(1+N('My Debts'!$D$8)/12),2)</f>
        <v>0</v>
      </c>
      <c r="E130" s="39" t="n">
        <f aca="false">ROUND(Y129*(1+N('My Debts'!$D$9)/12),2)</f>
        <v>0</v>
      </c>
      <c r="F130" s="39" t="n">
        <f aca="false">ROUND(Z129*(1+N('My Debts'!$D$10)/12),2)</f>
        <v>0</v>
      </c>
      <c r="G130" s="39" t="n">
        <f aca="false">ROUND(AA129*(1+N('My Debts'!$D$11)/12),2)</f>
        <v>0</v>
      </c>
      <c r="H130" s="39" t="n">
        <f aca="false">ROUND(AB129*(1+N('My Debts'!$D$12)/12),2)</f>
        <v>0</v>
      </c>
      <c r="I130" s="39" t="n">
        <f aca="false">ROUND(AC129*(1+N('My Debts'!$D$13)/12),2)</f>
        <v>0</v>
      </c>
      <c r="J130" s="39" t="n">
        <f aca="false">ROUND(AD129*(1+N('My Debts'!$D$14)/12),2)</f>
        <v>0</v>
      </c>
      <c r="K130" s="39" t="n">
        <f aca="false">ROUND(AE129*(1+N('My Debts'!$D$15)/12),2)</f>
        <v>0</v>
      </c>
      <c r="L130" s="39" t="n">
        <f aca="false">MIN(N('My Debts'!$E$6),B130)</f>
        <v>0</v>
      </c>
      <c r="M130" s="39" t="n">
        <f aca="false">MIN(N('My Debts'!$E$7),C130)</f>
        <v>0</v>
      </c>
      <c r="N130" s="39" t="n">
        <f aca="false">MIN(N('My Debts'!$E$8),D130)</f>
        <v>0</v>
      </c>
      <c r="O130" s="39" t="n">
        <f aca="false">MIN(N('My Debts'!$E$9),E130)</f>
        <v>0</v>
      </c>
      <c r="P130" s="39" t="n">
        <f aca="false">MIN(N('My Debts'!$E$10),F130)</f>
        <v>0</v>
      </c>
      <c r="Q130" s="39" t="n">
        <f aca="false">MIN(N('My Debts'!$E$11),G130)</f>
        <v>0</v>
      </c>
      <c r="R130" s="39" t="n">
        <f aca="false">MIN(N('My Debts'!$E$12),H130)</f>
        <v>0</v>
      </c>
      <c r="S130" s="39" t="n">
        <f aca="false">MIN(N('My Debts'!$E$13),I130)</f>
        <v>0</v>
      </c>
      <c r="T130" s="39" t="n">
        <f aca="false">MIN(N('My Debts'!$E$14),J130)</f>
        <v>0</v>
      </c>
      <c r="U130" s="39" t="n">
        <f aca="false">MIN(N('My Debts'!$E$15),K130)</f>
        <v>0</v>
      </c>
      <c r="V130" s="39" t="n">
        <f aca="false">ROUND(B130-L130-MIN(B130-L130,MAX(0,$AF130-SUMPRODUCT(--($B$4:$K$4&lt;B$4),$B130:$K130-$L130:$U130))),2)</f>
        <v>0</v>
      </c>
      <c r="W130" s="39" t="n">
        <f aca="false">ROUND(C130-M130-MIN(C130-M130,MAX(0,$AF130-SUMPRODUCT(--($B$4:$K$4&lt;C$4),$B130:$K130-$L130:$U130))),2)</f>
        <v>0</v>
      </c>
      <c r="X130" s="39" t="n">
        <f aca="false">ROUND(D130-N130-MIN(D130-N130,MAX(0,$AF130-SUMPRODUCT(--($B$4:$K$4&lt;D$4),$B130:$K130-$L130:$U130))),2)</f>
        <v>0</v>
      </c>
      <c r="Y130" s="39" t="n">
        <f aca="false">ROUND(E130-O130-MIN(E130-O130,MAX(0,$AF130-SUMPRODUCT(--($B$4:$K$4&lt;E$4),$B130:$K130-$L130:$U130))),2)</f>
        <v>0</v>
      </c>
      <c r="Z130" s="39" t="n">
        <f aca="false">ROUND(F130-P130-MIN(F130-P130,MAX(0,$AF130-SUMPRODUCT(--($B$4:$K$4&lt;F$4),$B130:$K130-$L130:$U130))),2)</f>
        <v>0</v>
      </c>
      <c r="AA130" s="39" t="n">
        <f aca="false">ROUND(G130-Q130-MIN(G130-Q130,MAX(0,$AF130-SUMPRODUCT(--($B$4:$K$4&lt;G$4),$B130:$K130-$L130:$U130))),2)</f>
        <v>0</v>
      </c>
      <c r="AB130" s="39" t="n">
        <f aca="false">ROUND(H130-R130-MIN(H130-R130,MAX(0,$AF130-SUMPRODUCT(--($B$4:$K$4&lt;H$4),$B130:$K130-$L130:$U130))),2)</f>
        <v>0</v>
      </c>
      <c r="AC130" s="39" t="n">
        <f aca="false">ROUND(I130-S130-MIN(I130-S130,MAX(0,$AF130-SUMPRODUCT(--($B$4:$K$4&lt;I$4),$B130:$K130-$L130:$U130))),2)</f>
        <v>0</v>
      </c>
      <c r="AD130" s="39" t="n">
        <f aca="false">ROUND(J130-T130-MIN(J130-T130,MAX(0,$AF130-SUMPRODUCT(--($B$4:$K$4&lt;J$4),$B130:$K130-$L130:$U130))),2)</f>
        <v>0</v>
      </c>
      <c r="AE130" s="39" t="n">
        <f aca="false">ROUND(K130-U130-MIN(K130-U130,MAX(0,$AF130-SUMPRODUCT(--($B$4:$K$4&lt;K$4),$B130:$K130-$L130:$U130))),2)</f>
        <v>0</v>
      </c>
      <c r="AF130" s="39" t="n">
        <f aca="false">MAX(0,'Start Here'!$C$5-SUM($L130:$U130))</f>
        <v>1200</v>
      </c>
      <c r="AG130" s="39" t="n">
        <f aca="false">SUM(V130:AE130)</f>
        <v>0</v>
      </c>
      <c r="AH130" s="39" t="n">
        <f aca="false">SUM(B130:K130)-AG129</f>
        <v>0</v>
      </c>
    </row>
    <row r="131" customFormat="false" ht="15" hidden="false" customHeight="false" outlineLevel="0" collapsed="false">
      <c r="A131" s="40" t="n">
        <f aca="false">DATE(YEAR('Start Here'!$C$6),MONTH('Start Here'!$C$6)+124,1)</f>
        <v>50072</v>
      </c>
      <c r="B131" s="39" t="n">
        <f aca="false">ROUND(V130*(1+N('My Debts'!$D$6)/12),2)</f>
        <v>0</v>
      </c>
      <c r="C131" s="39" t="n">
        <f aca="false">ROUND(W130*(1+N('My Debts'!$D$7)/12),2)</f>
        <v>0</v>
      </c>
      <c r="D131" s="39" t="n">
        <f aca="false">ROUND(X130*(1+N('My Debts'!$D$8)/12),2)</f>
        <v>0</v>
      </c>
      <c r="E131" s="39" t="n">
        <f aca="false">ROUND(Y130*(1+N('My Debts'!$D$9)/12),2)</f>
        <v>0</v>
      </c>
      <c r="F131" s="39" t="n">
        <f aca="false">ROUND(Z130*(1+N('My Debts'!$D$10)/12),2)</f>
        <v>0</v>
      </c>
      <c r="G131" s="39" t="n">
        <f aca="false">ROUND(AA130*(1+N('My Debts'!$D$11)/12),2)</f>
        <v>0</v>
      </c>
      <c r="H131" s="39" t="n">
        <f aca="false">ROUND(AB130*(1+N('My Debts'!$D$12)/12),2)</f>
        <v>0</v>
      </c>
      <c r="I131" s="39" t="n">
        <f aca="false">ROUND(AC130*(1+N('My Debts'!$D$13)/12),2)</f>
        <v>0</v>
      </c>
      <c r="J131" s="39" t="n">
        <f aca="false">ROUND(AD130*(1+N('My Debts'!$D$14)/12),2)</f>
        <v>0</v>
      </c>
      <c r="K131" s="39" t="n">
        <f aca="false">ROUND(AE130*(1+N('My Debts'!$D$15)/12),2)</f>
        <v>0</v>
      </c>
      <c r="L131" s="39" t="n">
        <f aca="false">MIN(N('My Debts'!$E$6),B131)</f>
        <v>0</v>
      </c>
      <c r="M131" s="39" t="n">
        <f aca="false">MIN(N('My Debts'!$E$7),C131)</f>
        <v>0</v>
      </c>
      <c r="N131" s="39" t="n">
        <f aca="false">MIN(N('My Debts'!$E$8),D131)</f>
        <v>0</v>
      </c>
      <c r="O131" s="39" t="n">
        <f aca="false">MIN(N('My Debts'!$E$9),E131)</f>
        <v>0</v>
      </c>
      <c r="P131" s="39" t="n">
        <f aca="false">MIN(N('My Debts'!$E$10),F131)</f>
        <v>0</v>
      </c>
      <c r="Q131" s="39" t="n">
        <f aca="false">MIN(N('My Debts'!$E$11),G131)</f>
        <v>0</v>
      </c>
      <c r="R131" s="39" t="n">
        <f aca="false">MIN(N('My Debts'!$E$12),H131)</f>
        <v>0</v>
      </c>
      <c r="S131" s="39" t="n">
        <f aca="false">MIN(N('My Debts'!$E$13),I131)</f>
        <v>0</v>
      </c>
      <c r="T131" s="39" t="n">
        <f aca="false">MIN(N('My Debts'!$E$14),J131)</f>
        <v>0</v>
      </c>
      <c r="U131" s="39" t="n">
        <f aca="false">MIN(N('My Debts'!$E$15),K131)</f>
        <v>0</v>
      </c>
      <c r="V131" s="39" t="n">
        <f aca="false">ROUND(B131-L131-MIN(B131-L131,MAX(0,$AF131-SUMPRODUCT(--($B$4:$K$4&lt;B$4),$B131:$K131-$L131:$U131))),2)</f>
        <v>0</v>
      </c>
      <c r="W131" s="39" t="n">
        <f aca="false">ROUND(C131-M131-MIN(C131-M131,MAX(0,$AF131-SUMPRODUCT(--($B$4:$K$4&lt;C$4),$B131:$K131-$L131:$U131))),2)</f>
        <v>0</v>
      </c>
      <c r="X131" s="39" t="n">
        <f aca="false">ROUND(D131-N131-MIN(D131-N131,MAX(0,$AF131-SUMPRODUCT(--($B$4:$K$4&lt;D$4),$B131:$K131-$L131:$U131))),2)</f>
        <v>0</v>
      </c>
      <c r="Y131" s="39" t="n">
        <f aca="false">ROUND(E131-O131-MIN(E131-O131,MAX(0,$AF131-SUMPRODUCT(--($B$4:$K$4&lt;E$4),$B131:$K131-$L131:$U131))),2)</f>
        <v>0</v>
      </c>
      <c r="Z131" s="39" t="n">
        <f aca="false">ROUND(F131-P131-MIN(F131-P131,MAX(0,$AF131-SUMPRODUCT(--($B$4:$K$4&lt;F$4),$B131:$K131-$L131:$U131))),2)</f>
        <v>0</v>
      </c>
      <c r="AA131" s="39" t="n">
        <f aca="false">ROUND(G131-Q131-MIN(G131-Q131,MAX(0,$AF131-SUMPRODUCT(--($B$4:$K$4&lt;G$4),$B131:$K131-$L131:$U131))),2)</f>
        <v>0</v>
      </c>
      <c r="AB131" s="39" t="n">
        <f aca="false">ROUND(H131-R131-MIN(H131-R131,MAX(0,$AF131-SUMPRODUCT(--($B$4:$K$4&lt;H$4),$B131:$K131-$L131:$U131))),2)</f>
        <v>0</v>
      </c>
      <c r="AC131" s="39" t="n">
        <f aca="false">ROUND(I131-S131-MIN(I131-S131,MAX(0,$AF131-SUMPRODUCT(--($B$4:$K$4&lt;I$4),$B131:$K131-$L131:$U131))),2)</f>
        <v>0</v>
      </c>
      <c r="AD131" s="39" t="n">
        <f aca="false">ROUND(J131-T131-MIN(J131-T131,MAX(0,$AF131-SUMPRODUCT(--($B$4:$K$4&lt;J$4),$B131:$K131-$L131:$U131))),2)</f>
        <v>0</v>
      </c>
      <c r="AE131" s="39" t="n">
        <f aca="false">ROUND(K131-U131-MIN(K131-U131,MAX(0,$AF131-SUMPRODUCT(--($B$4:$K$4&lt;K$4),$B131:$K131-$L131:$U131))),2)</f>
        <v>0</v>
      </c>
      <c r="AF131" s="39" t="n">
        <f aca="false">MAX(0,'Start Here'!$C$5-SUM($L131:$U131))</f>
        <v>1200</v>
      </c>
      <c r="AG131" s="39" t="n">
        <f aca="false">SUM(V131:AE131)</f>
        <v>0</v>
      </c>
      <c r="AH131" s="39" t="n">
        <f aca="false">SUM(B131:K131)-AG130</f>
        <v>0</v>
      </c>
    </row>
    <row r="132" customFormat="false" ht="15" hidden="false" customHeight="false" outlineLevel="0" collapsed="false">
      <c r="A132" s="40" t="n">
        <f aca="false">DATE(YEAR('Start Here'!$C$6),MONTH('Start Here'!$C$6)+125,1)</f>
        <v>50100</v>
      </c>
      <c r="B132" s="39" t="n">
        <f aca="false">ROUND(V131*(1+N('My Debts'!$D$6)/12),2)</f>
        <v>0</v>
      </c>
      <c r="C132" s="39" t="n">
        <f aca="false">ROUND(W131*(1+N('My Debts'!$D$7)/12),2)</f>
        <v>0</v>
      </c>
      <c r="D132" s="39" t="n">
        <f aca="false">ROUND(X131*(1+N('My Debts'!$D$8)/12),2)</f>
        <v>0</v>
      </c>
      <c r="E132" s="39" t="n">
        <f aca="false">ROUND(Y131*(1+N('My Debts'!$D$9)/12),2)</f>
        <v>0</v>
      </c>
      <c r="F132" s="39" t="n">
        <f aca="false">ROUND(Z131*(1+N('My Debts'!$D$10)/12),2)</f>
        <v>0</v>
      </c>
      <c r="G132" s="39" t="n">
        <f aca="false">ROUND(AA131*(1+N('My Debts'!$D$11)/12),2)</f>
        <v>0</v>
      </c>
      <c r="H132" s="39" t="n">
        <f aca="false">ROUND(AB131*(1+N('My Debts'!$D$12)/12),2)</f>
        <v>0</v>
      </c>
      <c r="I132" s="39" t="n">
        <f aca="false">ROUND(AC131*(1+N('My Debts'!$D$13)/12),2)</f>
        <v>0</v>
      </c>
      <c r="J132" s="39" t="n">
        <f aca="false">ROUND(AD131*(1+N('My Debts'!$D$14)/12),2)</f>
        <v>0</v>
      </c>
      <c r="K132" s="39" t="n">
        <f aca="false">ROUND(AE131*(1+N('My Debts'!$D$15)/12),2)</f>
        <v>0</v>
      </c>
      <c r="L132" s="39" t="n">
        <f aca="false">MIN(N('My Debts'!$E$6),B132)</f>
        <v>0</v>
      </c>
      <c r="M132" s="39" t="n">
        <f aca="false">MIN(N('My Debts'!$E$7),C132)</f>
        <v>0</v>
      </c>
      <c r="N132" s="39" t="n">
        <f aca="false">MIN(N('My Debts'!$E$8),D132)</f>
        <v>0</v>
      </c>
      <c r="O132" s="39" t="n">
        <f aca="false">MIN(N('My Debts'!$E$9),E132)</f>
        <v>0</v>
      </c>
      <c r="P132" s="39" t="n">
        <f aca="false">MIN(N('My Debts'!$E$10),F132)</f>
        <v>0</v>
      </c>
      <c r="Q132" s="39" t="n">
        <f aca="false">MIN(N('My Debts'!$E$11),G132)</f>
        <v>0</v>
      </c>
      <c r="R132" s="39" t="n">
        <f aca="false">MIN(N('My Debts'!$E$12),H132)</f>
        <v>0</v>
      </c>
      <c r="S132" s="39" t="n">
        <f aca="false">MIN(N('My Debts'!$E$13),I132)</f>
        <v>0</v>
      </c>
      <c r="T132" s="39" t="n">
        <f aca="false">MIN(N('My Debts'!$E$14),J132)</f>
        <v>0</v>
      </c>
      <c r="U132" s="39" t="n">
        <f aca="false">MIN(N('My Debts'!$E$15),K132)</f>
        <v>0</v>
      </c>
      <c r="V132" s="39" t="n">
        <f aca="false">ROUND(B132-L132-MIN(B132-L132,MAX(0,$AF132-SUMPRODUCT(--($B$4:$K$4&lt;B$4),$B132:$K132-$L132:$U132))),2)</f>
        <v>0</v>
      </c>
      <c r="W132" s="39" t="n">
        <f aca="false">ROUND(C132-M132-MIN(C132-M132,MAX(0,$AF132-SUMPRODUCT(--($B$4:$K$4&lt;C$4),$B132:$K132-$L132:$U132))),2)</f>
        <v>0</v>
      </c>
      <c r="X132" s="39" t="n">
        <f aca="false">ROUND(D132-N132-MIN(D132-N132,MAX(0,$AF132-SUMPRODUCT(--($B$4:$K$4&lt;D$4),$B132:$K132-$L132:$U132))),2)</f>
        <v>0</v>
      </c>
      <c r="Y132" s="39" t="n">
        <f aca="false">ROUND(E132-O132-MIN(E132-O132,MAX(0,$AF132-SUMPRODUCT(--($B$4:$K$4&lt;E$4),$B132:$K132-$L132:$U132))),2)</f>
        <v>0</v>
      </c>
      <c r="Z132" s="39" t="n">
        <f aca="false">ROUND(F132-P132-MIN(F132-P132,MAX(0,$AF132-SUMPRODUCT(--($B$4:$K$4&lt;F$4),$B132:$K132-$L132:$U132))),2)</f>
        <v>0</v>
      </c>
      <c r="AA132" s="39" t="n">
        <f aca="false">ROUND(G132-Q132-MIN(G132-Q132,MAX(0,$AF132-SUMPRODUCT(--($B$4:$K$4&lt;G$4),$B132:$K132-$L132:$U132))),2)</f>
        <v>0</v>
      </c>
      <c r="AB132" s="39" t="n">
        <f aca="false">ROUND(H132-R132-MIN(H132-R132,MAX(0,$AF132-SUMPRODUCT(--($B$4:$K$4&lt;H$4),$B132:$K132-$L132:$U132))),2)</f>
        <v>0</v>
      </c>
      <c r="AC132" s="39" t="n">
        <f aca="false">ROUND(I132-S132-MIN(I132-S132,MAX(0,$AF132-SUMPRODUCT(--($B$4:$K$4&lt;I$4),$B132:$K132-$L132:$U132))),2)</f>
        <v>0</v>
      </c>
      <c r="AD132" s="39" t="n">
        <f aca="false">ROUND(J132-T132-MIN(J132-T132,MAX(0,$AF132-SUMPRODUCT(--($B$4:$K$4&lt;J$4),$B132:$K132-$L132:$U132))),2)</f>
        <v>0</v>
      </c>
      <c r="AE132" s="39" t="n">
        <f aca="false">ROUND(K132-U132-MIN(K132-U132,MAX(0,$AF132-SUMPRODUCT(--($B$4:$K$4&lt;K$4),$B132:$K132-$L132:$U132))),2)</f>
        <v>0</v>
      </c>
      <c r="AF132" s="39" t="n">
        <f aca="false">MAX(0,'Start Here'!$C$5-SUM($L132:$U132))</f>
        <v>1200</v>
      </c>
      <c r="AG132" s="39" t="n">
        <f aca="false">SUM(V132:AE132)</f>
        <v>0</v>
      </c>
      <c r="AH132" s="39" t="n">
        <f aca="false">SUM(B132:K132)-AG131</f>
        <v>0</v>
      </c>
    </row>
    <row r="133" customFormat="false" ht="15" hidden="false" customHeight="false" outlineLevel="0" collapsed="false">
      <c r="A133" s="40" t="n">
        <f aca="false">DATE(YEAR('Start Here'!$C$6),MONTH('Start Here'!$C$6)+126,1)</f>
        <v>50131</v>
      </c>
      <c r="B133" s="39" t="n">
        <f aca="false">ROUND(V132*(1+N('My Debts'!$D$6)/12),2)</f>
        <v>0</v>
      </c>
      <c r="C133" s="39" t="n">
        <f aca="false">ROUND(W132*(1+N('My Debts'!$D$7)/12),2)</f>
        <v>0</v>
      </c>
      <c r="D133" s="39" t="n">
        <f aca="false">ROUND(X132*(1+N('My Debts'!$D$8)/12),2)</f>
        <v>0</v>
      </c>
      <c r="E133" s="39" t="n">
        <f aca="false">ROUND(Y132*(1+N('My Debts'!$D$9)/12),2)</f>
        <v>0</v>
      </c>
      <c r="F133" s="39" t="n">
        <f aca="false">ROUND(Z132*(1+N('My Debts'!$D$10)/12),2)</f>
        <v>0</v>
      </c>
      <c r="G133" s="39" t="n">
        <f aca="false">ROUND(AA132*(1+N('My Debts'!$D$11)/12),2)</f>
        <v>0</v>
      </c>
      <c r="H133" s="39" t="n">
        <f aca="false">ROUND(AB132*(1+N('My Debts'!$D$12)/12),2)</f>
        <v>0</v>
      </c>
      <c r="I133" s="39" t="n">
        <f aca="false">ROUND(AC132*(1+N('My Debts'!$D$13)/12),2)</f>
        <v>0</v>
      </c>
      <c r="J133" s="39" t="n">
        <f aca="false">ROUND(AD132*(1+N('My Debts'!$D$14)/12),2)</f>
        <v>0</v>
      </c>
      <c r="K133" s="39" t="n">
        <f aca="false">ROUND(AE132*(1+N('My Debts'!$D$15)/12),2)</f>
        <v>0</v>
      </c>
      <c r="L133" s="39" t="n">
        <f aca="false">MIN(N('My Debts'!$E$6),B133)</f>
        <v>0</v>
      </c>
      <c r="M133" s="39" t="n">
        <f aca="false">MIN(N('My Debts'!$E$7),C133)</f>
        <v>0</v>
      </c>
      <c r="N133" s="39" t="n">
        <f aca="false">MIN(N('My Debts'!$E$8),D133)</f>
        <v>0</v>
      </c>
      <c r="O133" s="39" t="n">
        <f aca="false">MIN(N('My Debts'!$E$9),E133)</f>
        <v>0</v>
      </c>
      <c r="P133" s="39" t="n">
        <f aca="false">MIN(N('My Debts'!$E$10),F133)</f>
        <v>0</v>
      </c>
      <c r="Q133" s="39" t="n">
        <f aca="false">MIN(N('My Debts'!$E$11),G133)</f>
        <v>0</v>
      </c>
      <c r="R133" s="39" t="n">
        <f aca="false">MIN(N('My Debts'!$E$12),H133)</f>
        <v>0</v>
      </c>
      <c r="S133" s="39" t="n">
        <f aca="false">MIN(N('My Debts'!$E$13),I133)</f>
        <v>0</v>
      </c>
      <c r="T133" s="39" t="n">
        <f aca="false">MIN(N('My Debts'!$E$14),J133)</f>
        <v>0</v>
      </c>
      <c r="U133" s="39" t="n">
        <f aca="false">MIN(N('My Debts'!$E$15),K133)</f>
        <v>0</v>
      </c>
      <c r="V133" s="39" t="n">
        <f aca="false">ROUND(B133-L133-MIN(B133-L133,MAX(0,$AF133-SUMPRODUCT(--($B$4:$K$4&lt;B$4),$B133:$K133-$L133:$U133))),2)</f>
        <v>0</v>
      </c>
      <c r="W133" s="39" t="n">
        <f aca="false">ROUND(C133-M133-MIN(C133-M133,MAX(0,$AF133-SUMPRODUCT(--($B$4:$K$4&lt;C$4),$B133:$K133-$L133:$U133))),2)</f>
        <v>0</v>
      </c>
      <c r="X133" s="39" t="n">
        <f aca="false">ROUND(D133-N133-MIN(D133-N133,MAX(0,$AF133-SUMPRODUCT(--($B$4:$K$4&lt;D$4),$B133:$K133-$L133:$U133))),2)</f>
        <v>0</v>
      </c>
      <c r="Y133" s="39" t="n">
        <f aca="false">ROUND(E133-O133-MIN(E133-O133,MAX(0,$AF133-SUMPRODUCT(--($B$4:$K$4&lt;E$4),$B133:$K133-$L133:$U133))),2)</f>
        <v>0</v>
      </c>
      <c r="Z133" s="39" t="n">
        <f aca="false">ROUND(F133-P133-MIN(F133-P133,MAX(0,$AF133-SUMPRODUCT(--($B$4:$K$4&lt;F$4),$B133:$K133-$L133:$U133))),2)</f>
        <v>0</v>
      </c>
      <c r="AA133" s="39" t="n">
        <f aca="false">ROUND(G133-Q133-MIN(G133-Q133,MAX(0,$AF133-SUMPRODUCT(--($B$4:$K$4&lt;G$4),$B133:$K133-$L133:$U133))),2)</f>
        <v>0</v>
      </c>
      <c r="AB133" s="39" t="n">
        <f aca="false">ROUND(H133-R133-MIN(H133-R133,MAX(0,$AF133-SUMPRODUCT(--($B$4:$K$4&lt;H$4),$B133:$K133-$L133:$U133))),2)</f>
        <v>0</v>
      </c>
      <c r="AC133" s="39" t="n">
        <f aca="false">ROUND(I133-S133-MIN(I133-S133,MAX(0,$AF133-SUMPRODUCT(--($B$4:$K$4&lt;I$4),$B133:$K133-$L133:$U133))),2)</f>
        <v>0</v>
      </c>
      <c r="AD133" s="39" t="n">
        <f aca="false">ROUND(J133-T133-MIN(J133-T133,MAX(0,$AF133-SUMPRODUCT(--($B$4:$K$4&lt;J$4),$B133:$K133-$L133:$U133))),2)</f>
        <v>0</v>
      </c>
      <c r="AE133" s="39" t="n">
        <f aca="false">ROUND(K133-U133-MIN(K133-U133,MAX(0,$AF133-SUMPRODUCT(--($B$4:$K$4&lt;K$4),$B133:$K133-$L133:$U133))),2)</f>
        <v>0</v>
      </c>
      <c r="AF133" s="39" t="n">
        <f aca="false">MAX(0,'Start Here'!$C$5-SUM($L133:$U133))</f>
        <v>1200</v>
      </c>
      <c r="AG133" s="39" t="n">
        <f aca="false">SUM(V133:AE133)</f>
        <v>0</v>
      </c>
      <c r="AH133" s="39" t="n">
        <f aca="false">SUM(B133:K133)-AG132</f>
        <v>0</v>
      </c>
    </row>
    <row r="134" customFormat="false" ht="15" hidden="false" customHeight="false" outlineLevel="0" collapsed="false">
      <c r="A134" s="40" t="n">
        <f aca="false">DATE(YEAR('Start Here'!$C$6),MONTH('Start Here'!$C$6)+127,1)</f>
        <v>50161</v>
      </c>
      <c r="B134" s="39" t="n">
        <f aca="false">ROUND(V133*(1+N('My Debts'!$D$6)/12),2)</f>
        <v>0</v>
      </c>
      <c r="C134" s="39" t="n">
        <f aca="false">ROUND(W133*(1+N('My Debts'!$D$7)/12),2)</f>
        <v>0</v>
      </c>
      <c r="D134" s="39" t="n">
        <f aca="false">ROUND(X133*(1+N('My Debts'!$D$8)/12),2)</f>
        <v>0</v>
      </c>
      <c r="E134" s="39" t="n">
        <f aca="false">ROUND(Y133*(1+N('My Debts'!$D$9)/12),2)</f>
        <v>0</v>
      </c>
      <c r="F134" s="39" t="n">
        <f aca="false">ROUND(Z133*(1+N('My Debts'!$D$10)/12),2)</f>
        <v>0</v>
      </c>
      <c r="G134" s="39" t="n">
        <f aca="false">ROUND(AA133*(1+N('My Debts'!$D$11)/12),2)</f>
        <v>0</v>
      </c>
      <c r="H134" s="39" t="n">
        <f aca="false">ROUND(AB133*(1+N('My Debts'!$D$12)/12),2)</f>
        <v>0</v>
      </c>
      <c r="I134" s="39" t="n">
        <f aca="false">ROUND(AC133*(1+N('My Debts'!$D$13)/12),2)</f>
        <v>0</v>
      </c>
      <c r="J134" s="39" t="n">
        <f aca="false">ROUND(AD133*(1+N('My Debts'!$D$14)/12),2)</f>
        <v>0</v>
      </c>
      <c r="K134" s="39" t="n">
        <f aca="false">ROUND(AE133*(1+N('My Debts'!$D$15)/12),2)</f>
        <v>0</v>
      </c>
      <c r="L134" s="39" t="n">
        <f aca="false">MIN(N('My Debts'!$E$6),B134)</f>
        <v>0</v>
      </c>
      <c r="M134" s="39" t="n">
        <f aca="false">MIN(N('My Debts'!$E$7),C134)</f>
        <v>0</v>
      </c>
      <c r="N134" s="39" t="n">
        <f aca="false">MIN(N('My Debts'!$E$8),D134)</f>
        <v>0</v>
      </c>
      <c r="O134" s="39" t="n">
        <f aca="false">MIN(N('My Debts'!$E$9),E134)</f>
        <v>0</v>
      </c>
      <c r="P134" s="39" t="n">
        <f aca="false">MIN(N('My Debts'!$E$10),F134)</f>
        <v>0</v>
      </c>
      <c r="Q134" s="39" t="n">
        <f aca="false">MIN(N('My Debts'!$E$11),G134)</f>
        <v>0</v>
      </c>
      <c r="R134" s="39" t="n">
        <f aca="false">MIN(N('My Debts'!$E$12),H134)</f>
        <v>0</v>
      </c>
      <c r="S134" s="39" t="n">
        <f aca="false">MIN(N('My Debts'!$E$13),I134)</f>
        <v>0</v>
      </c>
      <c r="T134" s="39" t="n">
        <f aca="false">MIN(N('My Debts'!$E$14),J134)</f>
        <v>0</v>
      </c>
      <c r="U134" s="39" t="n">
        <f aca="false">MIN(N('My Debts'!$E$15),K134)</f>
        <v>0</v>
      </c>
      <c r="V134" s="39" t="n">
        <f aca="false">ROUND(B134-L134-MIN(B134-L134,MAX(0,$AF134-SUMPRODUCT(--($B$4:$K$4&lt;B$4),$B134:$K134-$L134:$U134))),2)</f>
        <v>0</v>
      </c>
      <c r="W134" s="39" t="n">
        <f aca="false">ROUND(C134-M134-MIN(C134-M134,MAX(0,$AF134-SUMPRODUCT(--($B$4:$K$4&lt;C$4),$B134:$K134-$L134:$U134))),2)</f>
        <v>0</v>
      </c>
      <c r="X134" s="39" t="n">
        <f aca="false">ROUND(D134-N134-MIN(D134-N134,MAX(0,$AF134-SUMPRODUCT(--($B$4:$K$4&lt;D$4),$B134:$K134-$L134:$U134))),2)</f>
        <v>0</v>
      </c>
      <c r="Y134" s="39" t="n">
        <f aca="false">ROUND(E134-O134-MIN(E134-O134,MAX(0,$AF134-SUMPRODUCT(--($B$4:$K$4&lt;E$4),$B134:$K134-$L134:$U134))),2)</f>
        <v>0</v>
      </c>
      <c r="Z134" s="39" t="n">
        <f aca="false">ROUND(F134-P134-MIN(F134-P134,MAX(0,$AF134-SUMPRODUCT(--($B$4:$K$4&lt;F$4),$B134:$K134-$L134:$U134))),2)</f>
        <v>0</v>
      </c>
      <c r="AA134" s="39" t="n">
        <f aca="false">ROUND(G134-Q134-MIN(G134-Q134,MAX(0,$AF134-SUMPRODUCT(--($B$4:$K$4&lt;G$4),$B134:$K134-$L134:$U134))),2)</f>
        <v>0</v>
      </c>
      <c r="AB134" s="39" t="n">
        <f aca="false">ROUND(H134-R134-MIN(H134-R134,MAX(0,$AF134-SUMPRODUCT(--($B$4:$K$4&lt;H$4),$B134:$K134-$L134:$U134))),2)</f>
        <v>0</v>
      </c>
      <c r="AC134" s="39" t="n">
        <f aca="false">ROUND(I134-S134-MIN(I134-S134,MAX(0,$AF134-SUMPRODUCT(--($B$4:$K$4&lt;I$4),$B134:$K134-$L134:$U134))),2)</f>
        <v>0</v>
      </c>
      <c r="AD134" s="39" t="n">
        <f aca="false">ROUND(J134-T134-MIN(J134-T134,MAX(0,$AF134-SUMPRODUCT(--($B$4:$K$4&lt;J$4),$B134:$K134-$L134:$U134))),2)</f>
        <v>0</v>
      </c>
      <c r="AE134" s="39" t="n">
        <f aca="false">ROUND(K134-U134-MIN(K134-U134,MAX(0,$AF134-SUMPRODUCT(--($B$4:$K$4&lt;K$4),$B134:$K134-$L134:$U134))),2)</f>
        <v>0</v>
      </c>
      <c r="AF134" s="39" t="n">
        <f aca="false">MAX(0,'Start Here'!$C$5-SUM($L134:$U134))</f>
        <v>1200</v>
      </c>
      <c r="AG134" s="39" t="n">
        <f aca="false">SUM(V134:AE134)</f>
        <v>0</v>
      </c>
      <c r="AH134" s="39" t="n">
        <f aca="false">SUM(B134:K134)-AG133</f>
        <v>0</v>
      </c>
    </row>
    <row r="135" customFormat="false" ht="15" hidden="false" customHeight="false" outlineLevel="0" collapsed="false">
      <c r="A135" s="40" t="n">
        <f aca="false">DATE(YEAR('Start Here'!$C$6),MONTH('Start Here'!$C$6)+128,1)</f>
        <v>50192</v>
      </c>
      <c r="B135" s="39" t="n">
        <f aca="false">ROUND(V134*(1+N('My Debts'!$D$6)/12),2)</f>
        <v>0</v>
      </c>
      <c r="C135" s="39" t="n">
        <f aca="false">ROUND(W134*(1+N('My Debts'!$D$7)/12),2)</f>
        <v>0</v>
      </c>
      <c r="D135" s="39" t="n">
        <f aca="false">ROUND(X134*(1+N('My Debts'!$D$8)/12),2)</f>
        <v>0</v>
      </c>
      <c r="E135" s="39" t="n">
        <f aca="false">ROUND(Y134*(1+N('My Debts'!$D$9)/12),2)</f>
        <v>0</v>
      </c>
      <c r="F135" s="39" t="n">
        <f aca="false">ROUND(Z134*(1+N('My Debts'!$D$10)/12),2)</f>
        <v>0</v>
      </c>
      <c r="G135" s="39" t="n">
        <f aca="false">ROUND(AA134*(1+N('My Debts'!$D$11)/12),2)</f>
        <v>0</v>
      </c>
      <c r="H135" s="39" t="n">
        <f aca="false">ROUND(AB134*(1+N('My Debts'!$D$12)/12),2)</f>
        <v>0</v>
      </c>
      <c r="I135" s="39" t="n">
        <f aca="false">ROUND(AC134*(1+N('My Debts'!$D$13)/12),2)</f>
        <v>0</v>
      </c>
      <c r="J135" s="39" t="n">
        <f aca="false">ROUND(AD134*(1+N('My Debts'!$D$14)/12),2)</f>
        <v>0</v>
      </c>
      <c r="K135" s="39" t="n">
        <f aca="false">ROUND(AE134*(1+N('My Debts'!$D$15)/12),2)</f>
        <v>0</v>
      </c>
      <c r="L135" s="39" t="n">
        <f aca="false">MIN(N('My Debts'!$E$6),B135)</f>
        <v>0</v>
      </c>
      <c r="M135" s="39" t="n">
        <f aca="false">MIN(N('My Debts'!$E$7),C135)</f>
        <v>0</v>
      </c>
      <c r="N135" s="39" t="n">
        <f aca="false">MIN(N('My Debts'!$E$8),D135)</f>
        <v>0</v>
      </c>
      <c r="O135" s="39" t="n">
        <f aca="false">MIN(N('My Debts'!$E$9),E135)</f>
        <v>0</v>
      </c>
      <c r="P135" s="39" t="n">
        <f aca="false">MIN(N('My Debts'!$E$10),F135)</f>
        <v>0</v>
      </c>
      <c r="Q135" s="39" t="n">
        <f aca="false">MIN(N('My Debts'!$E$11),G135)</f>
        <v>0</v>
      </c>
      <c r="R135" s="39" t="n">
        <f aca="false">MIN(N('My Debts'!$E$12),H135)</f>
        <v>0</v>
      </c>
      <c r="S135" s="39" t="n">
        <f aca="false">MIN(N('My Debts'!$E$13),I135)</f>
        <v>0</v>
      </c>
      <c r="T135" s="39" t="n">
        <f aca="false">MIN(N('My Debts'!$E$14),J135)</f>
        <v>0</v>
      </c>
      <c r="U135" s="39" t="n">
        <f aca="false">MIN(N('My Debts'!$E$15),K135)</f>
        <v>0</v>
      </c>
      <c r="V135" s="39" t="n">
        <f aca="false">ROUND(B135-L135-MIN(B135-L135,MAX(0,$AF135-SUMPRODUCT(--($B$4:$K$4&lt;B$4),$B135:$K135-$L135:$U135))),2)</f>
        <v>0</v>
      </c>
      <c r="W135" s="39" t="n">
        <f aca="false">ROUND(C135-M135-MIN(C135-M135,MAX(0,$AF135-SUMPRODUCT(--($B$4:$K$4&lt;C$4),$B135:$K135-$L135:$U135))),2)</f>
        <v>0</v>
      </c>
      <c r="X135" s="39" t="n">
        <f aca="false">ROUND(D135-N135-MIN(D135-N135,MAX(0,$AF135-SUMPRODUCT(--($B$4:$K$4&lt;D$4),$B135:$K135-$L135:$U135))),2)</f>
        <v>0</v>
      </c>
      <c r="Y135" s="39" t="n">
        <f aca="false">ROUND(E135-O135-MIN(E135-O135,MAX(0,$AF135-SUMPRODUCT(--($B$4:$K$4&lt;E$4),$B135:$K135-$L135:$U135))),2)</f>
        <v>0</v>
      </c>
      <c r="Z135" s="39" t="n">
        <f aca="false">ROUND(F135-P135-MIN(F135-P135,MAX(0,$AF135-SUMPRODUCT(--($B$4:$K$4&lt;F$4),$B135:$K135-$L135:$U135))),2)</f>
        <v>0</v>
      </c>
      <c r="AA135" s="39" t="n">
        <f aca="false">ROUND(G135-Q135-MIN(G135-Q135,MAX(0,$AF135-SUMPRODUCT(--($B$4:$K$4&lt;G$4),$B135:$K135-$L135:$U135))),2)</f>
        <v>0</v>
      </c>
      <c r="AB135" s="39" t="n">
        <f aca="false">ROUND(H135-R135-MIN(H135-R135,MAX(0,$AF135-SUMPRODUCT(--($B$4:$K$4&lt;H$4),$B135:$K135-$L135:$U135))),2)</f>
        <v>0</v>
      </c>
      <c r="AC135" s="39" t="n">
        <f aca="false">ROUND(I135-S135-MIN(I135-S135,MAX(0,$AF135-SUMPRODUCT(--($B$4:$K$4&lt;I$4),$B135:$K135-$L135:$U135))),2)</f>
        <v>0</v>
      </c>
      <c r="AD135" s="39" t="n">
        <f aca="false">ROUND(J135-T135-MIN(J135-T135,MAX(0,$AF135-SUMPRODUCT(--($B$4:$K$4&lt;J$4),$B135:$K135-$L135:$U135))),2)</f>
        <v>0</v>
      </c>
      <c r="AE135" s="39" t="n">
        <f aca="false">ROUND(K135-U135-MIN(K135-U135,MAX(0,$AF135-SUMPRODUCT(--($B$4:$K$4&lt;K$4),$B135:$K135-$L135:$U135))),2)</f>
        <v>0</v>
      </c>
      <c r="AF135" s="39" t="n">
        <f aca="false">MAX(0,'Start Here'!$C$5-SUM($L135:$U135))</f>
        <v>1200</v>
      </c>
      <c r="AG135" s="39" t="n">
        <f aca="false">SUM(V135:AE135)</f>
        <v>0</v>
      </c>
      <c r="AH135" s="39" t="n">
        <f aca="false">SUM(B135:K135)-AG134</f>
        <v>0</v>
      </c>
    </row>
    <row r="136" customFormat="false" ht="15" hidden="false" customHeight="false" outlineLevel="0" collapsed="false">
      <c r="A136" s="40" t="n">
        <f aca="false">DATE(YEAR('Start Here'!$C$6),MONTH('Start Here'!$C$6)+129,1)</f>
        <v>50222</v>
      </c>
      <c r="B136" s="39" t="n">
        <f aca="false">ROUND(V135*(1+N('My Debts'!$D$6)/12),2)</f>
        <v>0</v>
      </c>
      <c r="C136" s="39" t="n">
        <f aca="false">ROUND(W135*(1+N('My Debts'!$D$7)/12),2)</f>
        <v>0</v>
      </c>
      <c r="D136" s="39" t="n">
        <f aca="false">ROUND(X135*(1+N('My Debts'!$D$8)/12),2)</f>
        <v>0</v>
      </c>
      <c r="E136" s="39" t="n">
        <f aca="false">ROUND(Y135*(1+N('My Debts'!$D$9)/12),2)</f>
        <v>0</v>
      </c>
      <c r="F136" s="39" t="n">
        <f aca="false">ROUND(Z135*(1+N('My Debts'!$D$10)/12),2)</f>
        <v>0</v>
      </c>
      <c r="G136" s="39" t="n">
        <f aca="false">ROUND(AA135*(1+N('My Debts'!$D$11)/12),2)</f>
        <v>0</v>
      </c>
      <c r="H136" s="39" t="n">
        <f aca="false">ROUND(AB135*(1+N('My Debts'!$D$12)/12),2)</f>
        <v>0</v>
      </c>
      <c r="I136" s="39" t="n">
        <f aca="false">ROUND(AC135*(1+N('My Debts'!$D$13)/12),2)</f>
        <v>0</v>
      </c>
      <c r="J136" s="39" t="n">
        <f aca="false">ROUND(AD135*(1+N('My Debts'!$D$14)/12),2)</f>
        <v>0</v>
      </c>
      <c r="K136" s="39" t="n">
        <f aca="false">ROUND(AE135*(1+N('My Debts'!$D$15)/12),2)</f>
        <v>0</v>
      </c>
      <c r="L136" s="39" t="n">
        <f aca="false">MIN(N('My Debts'!$E$6),B136)</f>
        <v>0</v>
      </c>
      <c r="M136" s="39" t="n">
        <f aca="false">MIN(N('My Debts'!$E$7),C136)</f>
        <v>0</v>
      </c>
      <c r="N136" s="39" t="n">
        <f aca="false">MIN(N('My Debts'!$E$8),D136)</f>
        <v>0</v>
      </c>
      <c r="O136" s="39" t="n">
        <f aca="false">MIN(N('My Debts'!$E$9),E136)</f>
        <v>0</v>
      </c>
      <c r="P136" s="39" t="n">
        <f aca="false">MIN(N('My Debts'!$E$10),F136)</f>
        <v>0</v>
      </c>
      <c r="Q136" s="39" t="n">
        <f aca="false">MIN(N('My Debts'!$E$11),G136)</f>
        <v>0</v>
      </c>
      <c r="R136" s="39" t="n">
        <f aca="false">MIN(N('My Debts'!$E$12),H136)</f>
        <v>0</v>
      </c>
      <c r="S136" s="39" t="n">
        <f aca="false">MIN(N('My Debts'!$E$13),I136)</f>
        <v>0</v>
      </c>
      <c r="T136" s="39" t="n">
        <f aca="false">MIN(N('My Debts'!$E$14),J136)</f>
        <v>0</v>
      </c>
      <c r="U136" s="39" t="n">
        <f aca="false">MIN(N('My Debts'!$E$15),K136)</f>
        <v>0</v>
      </c>
      <c r="V136" s="39" t="n">
        <f aca="false">ROUND(B136-L136-MIN(B136-L136,MAX(0,$AF136-SUMPRODUCT(--($B$4:$K$4&lt;B$4),$B136:$K136-$L136:$U136))),2)</f>
        <v>0</v>
      </c>
      <c r="W136" s="39" t="n">
        <f aca="false">ROUND(C136-M136-MIN(C136-M136,MAX(0,$AF136-SUMPRODUCT(--($B$4:$K$4&lt;C$4),$B136:$K136-$L136:$U136))),2)</f>
        <v>0</v>
      </c>
      <c r="X136" s="39" t="n">
        <f aca="false">ROUND(D136-N136-MIN(D136-N136,MAX(0,$AF136-SUMPRODUCT(--($B$4:$K$4&lt;D$4),$B136:$K136-$L136:$U136))),2)</f>
        <v>0</v>
      </c>
      <c r="Y136" s="39" t="n">
        <f aca="false">ROUND(E136-O136-MIN(E136-O136,MAX(0,$AF136-SUMPRODUCT(--($B$4:$K$4&lt;E$4),$B136:$K136-$L136:$U136))),2)</f>
        <v>0</v>
      </c>
      <c r="Z136" s="39" t="n">
        <f aca="false">ROUND(F136-P136-MIN(F136-P136,MAX(0,$AF136-SUMPRODUCT(--($B$4:$K$4&lt;F$4),$B136:$K136-$L136:$U136))),2)</f>
        <v>0</v>
      </c>
      <c r="AA136" s="39" t="n">
        <f aca="false">ROUND(G136-Q136-MIN(G136-Q136,MAX(0,$AF136-SUMPRODUCT(--($B$4:$K$4&lt;G$4),$B136:$K136-$L136:$U136))),2)</f>
        <v>0</v>
      </c>
      <c r="AB136" s="39" t="n">
        <f aca="false">ROUND(H136-R136-MIN(H136-R136,MAX(0,$AF136-SUMPRODUCT(--($B$4:$K$4&lt;H$4),$B136:$K136-$L136:$U136))),2)</f>
        <v>0</v>
      </c>
      <c r="AC136" s="39" t="n">
        <f aca="false">ROUND(I136-S136-MIN(I136-S136,MAX(0,$AF136-SUMPRODUCT(--($B$4:$K$4&lt;I$4),$B136:$K136-$L136:$U136))),2)</f>
        <v>0</v>
      </c>
      <c r="AD136" s="39" t="n">
        <f aca="false">ROUND(J136-T136-MIN(J136-T136,MAX(0,$AF136-SUMPRODUCT(--($B$4:$K$4&lt;J$4),$B136:$K136-$L136:$U136))),2)</f>
        <v>0</v>
      </c>
      <c r="AE136" s="39" t="n">
        <f aca="false">ROUND(K136-U136-MIN(K136-U136,MAX(0,$AF136-SUMPRODUCT(--($B$4:$K$4&lt;K$4),$B136:$K136-$L136:$U136))),2)</f>
        <v>0</v>
      </c>
      <c r="AF136" s="39" t="n">
        <f aca="false">MAX(0,'Start Here'!$C$5-SUM($L136:$U136))</f>
        <v>1200</v>
      </c>
      <c r="AG136" s="39" t="n">
        <f aca="false">SUM(V136:AE136)</f>
        <v>0</v>
      </c>
      <c r="AH136" s="39" t="n">
        <f aca="false">SUM(B136:K136)-AG135</f>
        <v>0</v>
      </c>
    </row>
    <row r="137" customFormat="false" ht="15" hidden="false" customHeight="false" outlineLevel="0" collapsed="false">
      <c r="A137" s="40" t="n">
        <f aca="false">DATE(YEAR('Start Here'!$C$6),MONTH('Start Here'!$C$6)+130,1)</f>
        <v>50253</v>
      </c>
      <c r="B137" s="39" t="n">
        <f aca="false">ROUND(V136*(1+N('My Debts'!$D$6)/12),2)</f>
        <v>0</v>
      </c>
      <c r="C137" s="39" t="n">
        <f aca="false">ROUND(W136*(1+N('My Debts'!$D$7)/12),2)</f>
        <v>0</v>
      </c>
      <c r="D137" s="39" t="n">
        <f aca="false">ROUND(X136*(1+N('My Debts'!$D$8)/12),2)</f>
        <v>0</v>
      </c>
      <c r="E137" s="39" t="n">
        <f aca="false">ROUND(Y136*(1+N('My Debts'!$D$9)/12),2)</f>
        <v>0</v>
      </c>
      <c r="F137" s="39" t="n">
        <f aca="false">ROUND(Z136*(1+N('My Debts'!$D$10)/12),2)</f>
        <v>0</v>
      </c>
      <c r="G137" s="39" t="n">
        <f aca="false">ROUND(AA136*(1+N('My Debts'!$D$11)/12),2)</f>
        <v>0</v>
      </c>
      <c r="H137" s="39" t="n">
        <f aca="false">ROUND(AB136*(1+N('My Debts'!$D$12)/12),2)</f>
        <v>0</v>
      </c>
      <c r="I137" s="39" t="n">
        <f aca="false">ROUND(AC136*(1+N('My Debts'!$D$13)/12),2)</f>
        <v>0</v>
      </c>
      <c r="J137" s="39" t="n">
        <f aca="false">ROUND(AD136*(1+N('My Debts'!$D$14)/12),2)</f>
        <v>0</v>
      </c>
      <c r="K137" s="39" t="n">
        <f aca="false">ROUND(AE136*(1+N('My Debts'!$D$15)/12),2)</f>
        <v>0</v>
      </c>
      <c r="L137" s="39" t="n">
        <f aca="false">MIN(N('My Debts'!$E$6),B137)</f>
        <v>0</v>
      </c>
      <c r="M137" s="39" t="n">
        <f aca="false">MIN(N('My Debts'!$E$7),C137)</f>
        <v>0</v>
      </c>
      <c r="N137" s="39" t="n">
        <f aca="false">MIN(N('My Debts'!$E$8),D137)</f>
        <v>0</v>
      </c>
      <c r="O137" s="39" t="n">
        <f aca="false">MIN(N('My Debts'!$E$9),E137)</f>
        <v>0</v>
      </c>
      <c r="P137" s="39" t="n">
        <f aca="false">MIN(N('My Debts'!$E$10),F137)</f>
        <v>0</v>
      </c>
      <c r="Q137" s="39" t="n">
        <f aca="false">MIN(N('My Debts'!$E$11),G137)</f>
        <v>0</v>
      </c>
      <c r="R137" s="39" t="n">
        <f aca="false">MIN(N('My Debts'!$E$12),H137)</f>
        <v>0</v>
      </c>
      <c r="S137" s="39" t="n">
        <f aca="false">MIN(N('My Debts'!$E$13),I137)</f>
        <v>0</v>
      </c>
      <c r="T137" s="39" t="n">
        <f aca="false">MIN(N('My Debts'!$E$14),J137)</f>
        <v>0</v>
      </c>
      <c r="U137" s="39" t="n">
        <f aca="false">MIN(N('My Debts'!$E$15),K137)</f>
        <v>0</v>
      </c>
      <c r="V137" s="39" t="n">
        <f aca="false">ROUND(B137-L137-MIN(B137-L137,MAX(0,$AF137-SUMPRODUCT(--($B$4:$K$4&lt;B$4),$B137:$K137-$L137:$U137))),2)</f>
        <v>0</v>
      </c>
      <c r="W137" s="39" t="n">
        <f aca="false">ROUND(C137-M137-MIN(C137-M137,MAX(0,$AF137-SUMPRODUCT(--($B$4:$K$4&lt;C$4),$B137:$K137-$L137:$U137))),2)</f>
        <v>0</v>
      </c>
      <c r="X137" s="39" t="n">
        <f aca="false">ROUND(D137-N137-MIN(D137-N137,MAX(0,$AF137-SUMPRODUCT(--($B$4:$K$4&lt;D$4),$B137:$K137-$L137:$U137))),2)</f>
        <v>0</v>
      </c>
      <c r="Y137" s="39" t="n">
        <f aca="false">ROUND(E137-O137-MIN(E137-O137,MAX(0,$AF137-SUMPRODUCT(--($B$4:$K$4&lt;E$4),$B137:$K137-$L137:$U137))),2)</f>
        <v>0</v>
      </c>
      <c r="Z137" s="39" t="n">
        <f aca="false">ROUND(F137-P137-MIN(F137-P137,MAX(0,$AF137-SUMPRODUCT(--($B$4:$K$4&lt;F$4),$B137:$K137-$L137:$U137))),2)</f>
        <v>0</v>
      </c>
      <c r="AA137" s="39" t="n">
        <f aca="false">ROUND(G137-Q137-MIN(G137-Q137,MAX(0,$AF137-SUMPRODUCT(--($B$4:$K$4&lt;G$4),$B137:$K137-$L137:$U137))),2)</f>
        <v>0</v>
      </c>
      <c r="AB137" s="39" t="n">
        <f aca="false">ROUND(H137-R137-MIN(H137-R137,MAX(0,$AF137-SUMPRODUCT(--($B$4:$K$4&lt;H$4),$B137:$K137-$L137:$U137))),2)</f>
        <v>0</v>
      </c>
      <c r="AC137" s="39" t="n">
        <f aca="false">ROUND(I137-S137-MIN(I137-S137,MAX(0,$AF137-SUMPRODUCT(--($B$4:$K$4&lt;I$4),$B137:$K137-$L137:$U137))),2)</f>
        <v>0</v>
      </c>
      <c r="AD137" s="39" t="n">
        <f aca="false">ROUND(J137-T137-MIN(J137-T137,MAX(0,$AF137-SUMPRODUCT(--($B$4:$K$4&lt;J$4),$B137:$K137-$L137:$U137))),2)</f>
        <v>0</v>
      </c>
      <c r="AE137" s="39" t="n">
        <f aca="false">ROUND(K137-U137-MIN(K137-U137,MAX(0,$AF137-SUMPRODUCT(--($B$4:$K$4&lt;K$4),$B137:$K137-$L137:$U137))),2)</f>
        <v>0</v>
      </c>
      <c r="AF137" s="39" t="n">
        <f aca="false">MAX(0,'Start Here'!$C$5-SUM($L137:$U137))</f>
        <v>1200</v>
      </c>
      <c r="AG137" s="39" t="n">
        <f aca="false">SUM(V137:AE137)</f>
        <v>0</v>
      </c>
      <c r="AH137" s="39" t="n">
        <f aca="false">SUM(B137:K137)-AG136</f>
        <v>0</v>
      </c>
    </row>
    <row r="138" customFormat="false" ht="15" hidden="false" customHeight="false" outlineLevel="0" collapsed="false">
      <c r="A138" s="40" t="n">
        <f aca="false">DATE(YEAR('Start Here'!$C$6),MONTH('Start Here'!$C$6)+131,1)</f>
        <v>50284</v>
      </c>
      <c r="B138" s="39" t="n">
        <f aca="false">ROUND(V137*(1+N('My Debts'!$D$6)/12),2)</f>
        <v>0</v>
      </c>
      <c r="C138" s="39" t="n">
        <f aca="false">ROUND(W137*(1+N('My Debts'!$D$7)/12),2)</f>
        <v>0</v>
      </c>
      <c r="D138" s="39" t="n">
        <f aca="false">ROUND(X137*(1+N('My Debts'!$D$8)/12),2)</f>
        <v>0</v>
      </c>
      <c r="E138" s="39" t="n">
        <f aca="false">ROUND(Y137*(1+N('My Debts'!$D$9)/12),2)</f>
        <v>0</v>
      </c>
      <c r="F138" s="39" t="n">
        <f aca="false">ROUND(Z137*(1+N('My Debts'!$D$10)/12),2)</f>
        <v>0</v>
      </c>
      <c r="G138" s="39" t="n">
        <f aca="false">ROUND(AA137*(1+N('My Debts'!$D$11)/12),2)</f>
        <v>0</v>
      </c>
      <c r="H138" s="39" t="n">
        <f aca="false">ROUND(AB137*(1+N('My Debts'!$D$12)/12),2)</f>
        <v>0</v>
      </c>
      <c r="I138" s="39" t="n">
        <f aca="false">ROUND(AC137*(1+N('My Debts'!$D$13)/12),2)</f>
        <v>0</v>
      </c>
      <c r="J138" s="39" t="n">
        <f aca="false">ROUND(AD137*(1+N('My Debts'!$D$14)/12),2)</f>
        <v>0</v>
      </c>
      <c r="K138" s="39" t="n">
        <f aca="false">ROUND(AE137*(1+N('My Debts'!$D$15)/12),2)</f>
        <v>0</v>
      </c>
      <c r="L138" s="39" t="n">
        <f aca="false">MIN(N('My Debts'!$E$6),B138)</f>
        <v>0</v>
      </c>
      <c r="M138" s="39" t="n">
        <f aca="false">MIN(N('My Debts'!$E$7),C138)</f>
        <v>0</v>
      </c>
      <c r="N138" s="39" t="n">
        <f aca="false">MIN(N('My Debts'!$E$8),D138)</f>
        <v>0</v>
      </c>
      <c r="O138" s="39" t="n">
        <f aca="false">MIN(N('My Debts'!$E$9),E138)</f>
        <v>0</v>
      </c>
      <c r="P138" s="39" t="n">
        <f aca="false">MIN(N('My Debts'!$E$10),F138)</f>
        <v>0</v>
      </c>
      <c r="Q138" s="39" t="n">
        <f aca="false">MIN(N('My Debts'!$E$11),G138)</f>
        <v>0</v>
      </c>
      <c r="R138" s="39" t="n">
        <f aca="false">MIN(N('My Debts'!$E$12),H138)</f>
        <v>0</v>
      </c>
      <c r="S138" s="39" t="n">
        <f aca="false">MIN(N('My Debts'!$E$13),I138)</f>
        <v>0</v>
      </c>
      <c r="T138" s="39" t="n">
        <f aca="false">MIN(N('My Debts'!$E$14),J138)</f>
        <v>0</v>
      </c>
      <c r="U138" s="39" t="n">
        <f aca="false">MIN(N('My Debts'!$E$15),K138)</f>
        <v>0</v>
      </c>
      <c r="V138" s="39" t="n">
        <f aca="false">ROUND(B138-L138-MIN(B138-L138,MAX(0,$AF138-SUMPRODUCT(--($B$4:$K$4&lt;B$4),$B138:$K138-$L138:$U138))),2)</f>
        <v>0</v>
      </c>
      <c r="W138" s="39" t="n">
        <f aca="false">ROUND(C138-M138-MIN(C138-M138,MAX(0,$AF138-SUMPRODUCT(--($B$4:$K$4&lt;C$4),$B138:$K138-$L138:$U138))),2)</f>
        <v>0</v>
      </c>
      <c r="X138" s="39" t="n">
        <f aca="false">ROUND(D138-N138-MIN(D138-N138,MAX(0,$AF138-SUMPRODUCT(--($B$4:$K$4&lt;D$4),$B138:$K138-$L138:$U138))),2)</f>
        <v>0</v>
      </c>
      <c r="Y138" s="39" t="n">
        <f aca="false">ROUND(E138-O138-MIN(E138-O138,MAX(0,$AF138-SUMPRODUCT(--($B$4:$K$4&lt;E$4),$B138:$K138-$L138:$U138))),2)</f>
        <v>0</v>
      </c>
      <c r="Z138" s="39" t="n">
        <f aca="false">ROUND(F138-P138-MIN(F138-P138,MAX(0,$AF138-SUMPRODUCT(--($B$4:$K$4&lt;F$4),$B138:$K138-$L138:$U138))),2)</f>
        <v>0</v>
      </c>
      <c r="AA138" s="39" t="n">
        <f aca="false">ROUND(G138-Q138-MIN(G138-Q138,MAX(0,$AF138-SUMPRODUCT(--($B$4:$K$4&lt;G$4),$B138:$K138-$L138:$U138))),2)</f>
        <v>0</v>
      </c>
      <c r="AB138" s="39" t="n">
        <f aca="false">ROUND(H138-R138-MIN(H138-R138,MAX(0,$AF138-SUMPRODUCT(--($B$4:$K$4&lt;H$4),$B138:$K138-$L138:$U138))),2)</f>
        <v>0</v>
      </c>
      <c r="AC138" s="39" t="n">
        <f aca="false">ROUND(I138-S138-MIN(I138-S138,MAX(0,$AF138-SUMPRODUCT(--($B$4:$K$4&lt;I$4),$B138:$K138-$L138:$U138))),2)</f>
        <v>0</v>
      </c>
      <c r="AD138" s="39" t="n">
        <f aca="false">ROUND(J138-T138-MIN(J138-T138,MAX(0,$AF138-SUMPRODUCT(--($B$4:$K$4&lt;J$4),$B138:$K138-$L138:$U138))),2)</f>
        <v>0</v>
      </c>
      <c r="AE138" s="39" t="n">
        <f aca="false">ROUND(K138-U138-MIN(K138-U138,MAX(0,$AF138-SUMPRODUCT(--($B$4:$K$4&lt;K$4),$B138:$K138-$L138:$U138))),2)</f>
        <v>0</v>
      </c>
      <c r="AF138" s="39" t="n">
        <f aca="false">MAX(0,'Start Here'!$C$5-SUM($L138:$U138))</f>
        <v>1200</v>
      </c>
      <c r="AG138" s="39" t="n">
        <f aca="false">SUM(V138:AE138)</f>
        <v>0</v>
      </c>
      <c r="AH138" s="39" t="n">
        <f aca="false">SUM(B138:K138)-AG137</f>
        <v>0</v>
      </c>
    </row>
    <row r="139" customFormat="false" ht="15" hidden="false" customHeight="false" outlineLevel="0" collapsed="false">
      <c r="A139" s="40" t="n">
        <f aca="false">DATE(YEAR('Start Here'!$C$6),MONTH('Start Here'!$C$6)+132,1)</f>
        <v>50314</v>
      </c>
      <c r="B139" s="39" t="n">
        <f aca="false">ROUND(V138*(1+N('My Debts'!$D$6)/12),2)</f>
        <v>0</v>
      </c>
      <c r="C139" s="39" t="n">
        <f aca="false">ROUND(W138*(1+N('My Debts'!$D$7)/12),2)</f>
        <v>0</v>
      </c>
      <c r="D139" s="39" t="n">
        <f aca="false">ROUND(X138*(1+N('My Debts'!$D$8)/12),2)</f>
        <v>0</v>
      </c>
      <c r="E139" s="39" t="n">
        <f aca="false">ROUND(Y138*(1+N('My Debts'!$D$9)/12),2)</f>
        <v>0</v>
      </c>
      <c r="F139" s="39" t="n">
        <f aca="false">ROUND(Z138*(1+N('My Debts'!$D$10)/12),2)</f>
        <v>0</v>
      </c>
      <c r="G139" s="39" t="n">
        <f aca="false">ROUND(AA138*(1+N('My Debts'!$D$11)/12),2)</f>
        <v>0</v>
      </c>
      <c r="H139" s="39" t="n">
        <f aca="false">ROUND(AB138*(1+N('My Debts'!$D$12)/12),2)</f>
        <v>0</v>
      </c>
      <c r="I139" s="39" t="n">
        <f aca="false">ROUND(AC138*(1+N('My Debts'!$D$13)/12),2)</f>
        <v>0</v>
      </c>
      <c r="J139" s="39" t="n">
        <f aca="false">ROUND(AD138*(1+N('My Debts'!$D$14)/12),2)</f>
        <v>0</v>
      </c>
      <c r="K139" s="39" t="n">
        <f aca="false">ROUND(AE138*(1+N('My Debts'!$D$15)/12),2)</f>
        <v>0</v>
      </c>
      <c r="L139" s="39" t="n">
        <f aca="false">MIN(N('My Debts'!$E$6),B139)</f>
        <v>0</v>
      </c>
      <c r="M139" s="39" t="n">
        <f aca="false">MIN(N('My Debts'!$E$7),C139)</f>
        <v>0</v>
      </c>
      <c r="N139" s="39" t="n">
        <f aca="false">MIN(N('My Debts'!$E$8),D139)</f>
        <v>0</v>
      </c>
      <c r="O139" s="39" t="n">
        <f aca="false">MIN(N('My Debts'!$E$9),E139)</f>
        <v>0</v>
      </c>
      <c r="P139" s="39" t="n">
        <f aca="false">MIN(N('My Debts'!$E$10),F139)</f>
        <v>0</v>
      </c>
      <c r="Q139" s="39" t="n">
        <f aca="false">MIN(N('My Debts'!$E$11),G139)</f>
        <v>0</v>
      </c>
      <c r="R139" s="39" t="n">
        <f aca="false">MIN(N('My Debts'!$E$12),H139)</f>
        <v>0</v>
      </c>
      <c r="S139" s="39" t="n">
        <f aca="false">MIN(N('My Debts'!$E$13),I139)</f>
        <v>0</v>
      </c>
      <c r="T139" s="39" t="n">
        <f aca="false">MIN(N('My Debts'!$E$14),J139)</f>
        <v>0</v>
      </c>
      <c r="U139" s="39" t="n">
        <f aca="false">MIN(N('My Debts'!$E$15),K139)</f>
        <v>0</v>
      </c>
      <c r="V139" s="39" t="n">
        <f aca="false">ROUND(B139-L139-MIN(B139-L139,MAX(0,$AF139-SUMPRODUCT(--($B$4:$K$4&lt;B$4),$B139:$K139-$L139:$U139))),2)</f>
        <v>0</v>
      </c>
      <c r="W139" s="39" t="n">
        <f aca="false">ROUND(C139-M139-MIN(C139-M139,MAX(0,$AF139-SUMPRODUCT(--($B$4:$K$4&lt;C$4),$B139:$K139-$L139:$U139))),2)</f>
        <v>0</v>
      </c>
      <c r="X139" s="39" t="n">
        <f aca="false">ROUND(D139-N139-MIN(D139-N139,MAX(0,$AF139-SUMPRODUCT(--($B$4:$K$4&lt;D$4),$B139:$K139-$L139:$U139))),2)</f>
        <v>0</v>
      </c>
      <c r="Y139" s="39" t="n">
        <f aca="false">ROUND(E139-O139-MIN(E139-O139,MAX(0,$AF139-SUMPRODUCT(--($B$4:$K$4&lt;E$4),$B139:$K139-$L139:$U139))),2)</f>
        <v>0</v>
      </c>
      <c r="Z139" s="39" t="n">
        <f aca="false">ROUND(F139-P139-MIN(F139-P139,MAX(0,$AF139-SUMPRODUCT(--($B$4:$K$4&lt;F$4),$B139:$K139-$L139:$U139))),2)</f>
        <v>0</v>
      </c>
      <c r="AA139" s="39" t="n">
        <f aca="false">ROUND(G139-Q139-MIN(G139-Q139,MAX(0,$AF139-SUMPRODUCT(--($B$4:$K$4&lt;G$4),$B139:$K139-$L139:$U139))),2)</f>
        <v>0</v>
      </c>
      <c r="AB139" s="39" t="n">
        <f aca="false">ROUND(H139-R139-MIN(H139-R139,MAX(0,$AF139-SUMPRODUCT(--($B$4:$K$4&lt;H$4),$B139:$K139-$L139:$U139))),2)</f>
        <v>0</v>
      </c>
      <c r="AC139" s="39" t="n">
        <f aca="false">ROUND(I139-S139-MIN(I139-S139,MAX(0,$AF139-SUMPRODUCT(--($B$4:$K$4&lt;I$4),$B139:$K139-$L139:$U139))),2)</f>
        <v>0</v>
      </c>
      <c r="AD139" s="39" t="n">
        <f aca="false">ROUND(J139-T139-MIN(J139-T139,MAX(0,$AF139-SUMPRODUCT(--($B$4:$K$4&lt;J$4),$B139:$K139-$L139:$U139))),2)</f>
        <v>0</v>
      </c>
      <c r="AE139" s="39" t="n">
        <f aca="false">ROUND(K139-U139-MIN(K139-U139,MAX(0,$AF139-SUMPRODUCT(--($B$4:$K$4&lt;K$4),$B139:$K139-$L139:$U139))),2)</f>
        <v>0</v>
      </c>
      <c r="AF139" s="39" t="n">
        <f aca="false">MAX(0,'Start Here'!$C$5-SUM($L139:$U139))</f>
        <v>1200</v>
      </c>
      <c r="AG139" s="39" t="n">
        <f aca="false">SUM(V139:AE139)</f>
        <v>0</v>
      </c>
      <c r="AH139" s="39" t="n">
        <f aca="false">SUM(B139:K139)-AG138</f>
        <v>0</v>
      </c>
    </row>
    <row r="140" customFormat="false" ht="15" hidden="false" customHeight="false" outlineLevel="0" collapsed="false">
      <c r="A140" s="40" t="n">
        <f aca="false">DATE(YEAR('Start Here'!$C$6),MONTH('Start Here'!$C$6)+133,1)</f>
        <v>50345</v>
      </c>
      <c r="B140" s="39" t="n">
        <f aca="false">ROUND(V139*(1+N('My Debts'!$D$6)/12),2)</f>
        <v>0</v>
      </c>
      <c r="C140" s="39" t="n">
        <f aca="false">ROUND(W139*(1+N('My Debts'!$D$7)/12),2)</f>
        <v>0</v>
      </c>
      <c r="D140" s="39" t="n">
        <f aca="false">ROUND(X139*(1+N('My Debts'!$D$8)/12),2)</f>
        <v>0</v>
      </c>
      <c r="E140" s="39" t="n">
        <f aca="false">ROUND(Y139*(1+N('My Debts'!$D$9)/12),2)</f>
        <v>0</v>
      </c>
      <c r="F140" s="39" t="n">
        <f aca="false">ROUND(Z139*(1+N('My Debts'!$D$10)/12),2)</f>
        <v>0</v>
      </c>
      <c r="G140" s="39" t="n">
        <f aca="false">ROUND(AA139*(1+N('My Debts'!$D$11)/12),2)</f>
        <v>0</v>
      </c>
      <c r="H140" s="39" t="n">
        <f aca="false">ROUND(AB139*(1+N('My Debts'!$D$12)/12),2)</f>
        <v>0</v>
      </c>
      <c r="I140" s="39" t="n">
        <f aca="false">ROUND(AC139*(1+N('My Debts'!$D$13)/12),2)</f>
        <v>0</v>
      </c>
      <c r="J140" s="39" t="n">
        <f aca="false">ROUND(AD139*(1+N('My Debts'!$D$14)/12),2)</f>
        <v>0</v>
      </c>
      <c r="K140" s="39" t="n">
        <f aca="false">ROUND(AE139*(1+N('My Debts'!$D$15)/12),2)</f>
        <v>0</v>
      </c>
      <c r="L140" s="39" t="n">
        <f aca="false">MIN(N('My Debts'!$E$6),B140)</f>
        <v>0</v>
      </c>
      <c r="M140" s="39" t="n">
        <f aca="false">MIN(N('My Debts'!$E$7),C140)</f>
        <v>0</v>
      </c>
      <c r="N140" s="39" t="n">
        <f aca="false">MIN(N('My Debts'!$E$8),D140)</f>
        <v>0</v>
      </c>
      <c r="O140" s="39" t="n">
        <f aca="false">MIN(N('My Debts'!$E$9),E140)</f>
        <v>0</v>
      </c>
      <c r="P140" s="39" t="n">
        <f aca="false">MIN(N('My Debts'!$E$10),F140)</f>
        <v>0</v>
      </c>
      <c r="Q140" s="39" t="n">
        <f aca="false">MIN(N('My Debts'!$E$11),G140)</f>
        <v>0</v>
      </c>
      <c r="R140" s="39" t="n">
        <f aca="false">MIN(N('My Debts'!$E$12),H140)</f>
        <v>0</v>
      </c>
      <c r="S140" s="39" t="n">
        <f aca="false">MIN(N('My Debts'!$E$13),I140)</f>
        <v>0</v>
      </c>
      <c r="T140" s="39" t="n">
        <f aca="false">MIN(N('My Debts'!$E$14),J140)</f>
        <v>0</v>
      </c>
      <c r="U140" s="39" t="n">
        <f aca="false">MIN(N('My Debts'!$E$15),K140)</f>
        <v>0</v>
      </c>
      <c r="V140" s="39" t="n">
        <f aca="false">ROUND(B140-L140-MIN(B140-L140,MAX(0,$AF140-SUMPRODUCT(--($B$4:$K$4&lt;B$4),$B140:$K140-$L140:$U140))),2)</f>
        <v>0</v>
      </c>
      <c r="W140" s="39" t="n">
        <f aca="false">ROUND(C140-M140-MIN(C140-M140,MAX(0,$AF140-SUMPRODUCT(--($B$4:$K$4&lt;C$4),$B140:$K140-$L140:$U140))),2)</f>
        <v>0</v>
      </c>
      <c r="X140" s="39" t="n">
        <f aca="false">ROUND(D140-N140-MIN(D140-N140,MAX(0,$AF140-SUMPRODUCT(--($B$4:$K$4&lt;D$4),$B140:$K140-$L140:$U140))),2)</f>
        <v>0</v>
      </c>
      <c r="Y140" s="39" t="n">
        <f aca="false">ROUND(E140-O140-MIN(E140-O140,MAX(0,$AF140-SUMPRODUCT(--($B$4:$K$4&lt;E$4),$B140:$K140-$L140:$U140))),2)</f>
        <v>0</v>
      </c>
      <c r="Z140" s="39" t="n">
        <f aca="false">ROUND(F140-P140-MIN(F140-P140,MAX(0,$AF140-SUMPRODUCT(--($B$4:$K$4&lt;F$4),$B140:$K140-$L140:$U140))),2)</f>
        <v>0</v>
      </c>
      <c r="AA140" s="39" t="n">
        <f aca="false">ROUND(G140-Q140-MIN(G140-Q140,MAX(0,$AF140-SUMPRODUCT(--($B$4:$K$4&lt;G$4),$B140:$K140-$L140:$U140))),2)</f>
        <v>0</v>
      </c>
      <c r="AB140" s="39" t="n">
        <f aca="false">ROUND(H140-R140-MIN(H140-R140,MAX(0,$AF140-SUMPRODUCT(--($B$4:$K$4&lt;H$4),$B140:$K140-$L140:$U140))),2)</f>
        <v>0</v>
      </c>
      <c r="AC140" s="39" t="n">
        <f aca="false">ROUND(I140-S140-MIN(I140-S140,MAX(0,$AF140-SUMPRODUCT(--($B$4:$K$4&lt;I$4),$B140:$K140-$L140:$U140))),2)</f>
        <v>0</v>
      </c>
      <c r="AD140" s="39" t="n">
        <f aca="false">ROUND(J140-T140-MIN(J140-T140,MAX(0,$AF140-SUMPRODUCT(--($B$4:$K$4&lt;J$4),$B140:$K140-$L140:$U140))),2)</f>
        <v>0</v>
      </c>
      <c r="AE140" s="39" t="n">
        <f aca="false">ROUND(K140-U140-MIN(K140-U140,MAX(0,$AF140-SUMPRODUCT(--($B$4:$K$4&lt;K$4),$B140:$K140-$L140:$U140))),2)</f>
        <v>0</v>
      </c>
      <c r="AF140" s="39" t="n">
        <f aca="false">MAX(0,'Start Here'!$C$5-SUM($L140:$U140))</f>
        <v>1200</v>
      </c>
      <c r="AG140" s="39" t="n">
        <f aca="false">SUM(V140:AE140)</f>
        <v>0</v>
      </c>
      <c r="AH140" s="39" t="n">
        <f aca="false">SUM(B140:K140)-AG139</f>
        <v>0</v>
      </c>
    </row>
    <row r="141" customFormat="false" ht="15" hidden="false" customHeight="false" outlineLevel="0" collapsed="false">
      <c r="A141" s="40" t="n">
        <f aca="false">DATE(YEAR('Start Here'!$C$6),MONTH('Start Here'!$C$6)+134,1)</f>
        <v>50375</v>
      </c>
      <c r="B141" s="39" t="n">
        <f aca="false">ROUND(V140*(1+N('My Debts'!$D$6)/12),2)</f>
        <v>0</v>
      </c>
      <c r="C141" s="39" t="n">
        <f aca="false">ROUND(W140*(1+N('My Debts'!$D$7)/12),2)</f>
        <v>0</v>
      </c>
      <c r="D141" s="39" t="n">
        <f aca="false">ROUND(X140*(1+N('My Debts'!$D$8)/12),2)</f>
        <v>0</v>
      </c>
      <c r="E141" s="39" t="n">
        <f aca="false">ROUND(Y140*(1+N('My Debts'!$D$9)/12),2)</f>
        <v>0</v>
      </c>
      <c r="F141" s="39" t="n">
        <f aca="false">ROUND(Z140*(1+N('My Debts'!$D$10)/12),2)</f>
        <v>0</v>
      </c>
      <c r="G141" s="39" t="n">
        <f aca="false">ROUND(AA140*(1+N('My Debts'!$D$11)/12),2)</f>
        <v>0</v>
      </c>
      <c r="H141" s="39" t="n">
        <f aca="false">ROUND(AB140*(1+N('My Debts'!$D$12)/12),2)</f>
        <v>0</v>
      </c>
      <c r="I141" s="39" t="n">
        <f aca="false">ROUND(AC140*(1+N('My Debts'!$D$13)/12),2)</f>
        <v>0</v>
      </c>
      <c r="J141" s="39" t="n">
        <f aca="false">ROUND(AD140*(1+N('My Debts'!$D$14)/12),2)</f>
        <v>0</v>
      </c>
      <c r="K141" s="39" t="n">
        <f aca="false">ROUND(AE140*(1+N('My Debts'!$D$15)/12),2)</f>
        <v>0</v>
      </c>
      <c r="L141" s="39" t="n">
        <f aca="false">MIN(N('My Debts'!$E$6),B141)</f>
        <v>0</v>
      </c>
      <c r="M141" s="39" t="n">
        <f aca="false">MIN(N('My Debts'!$E$7),C141)</f>
        <v>0</v>
      </c>
      <c r="N141" s="39" t="n">
        <f aca="false">MIN(N('My Debts'!$E$8),D141)</f>
        <v>0</v>
      </c>
      <c r="O141" s="39" t="n">
        <f aca="false">MIN(N('My Debts'!$E$9),E141)</f>
        <v>0</v>
      </c>
      <c r="P141" s="39" t="n">
        <f aca="false">MIN(N('My Debts'!$E$10),F141)</f>
        <v>0</v>
      </c>
      <c r="Q141" s="39" t="n">
        <f aca="false">MIN(N('My Debts'!$E$11),G141)</f>
        <v>0</v>
      </c>
      <c r="R141" s="39" t="n">
        <f aca="false">MIN(N('My Debts'!$E$12),H141)</f>
        <v>0</v>
      </c>
      <c r="S141" s="39" t="n">
        <f aca="false">MIN(N('My Debts'!$E$13),I141)</f>
        <v>0</v>
      </c>
      <c r="T141" s="39" t="n">
        <f aca="false">MIN(N('My Debts'!$E$14),J141)</f>
        <v>0</v>
      </c>
      <c r="U141" s="39" t="n">
        <f aca="false">MIN(N('My Debts'!$E$15),K141)</f>
        <v>0</v>
      </c>
      <c r="V141" s="39" t="n">
        <f aca="false">ROUND(B141-L141-MIN(B141-L141,MAX(0,$AF141-SUMPRODUCT(--($B$4:$K$4&lt;B$4),$B141:$K141-$L141:$U141))),2)</f>
        <v>0</v>
      </c>
      <c r="W141" s="39" t="n">
        <f aca="false">ROUND(C141-M141-MIN(C141-M141,MAX(0,$AF141-SUMPRODUCT(--($B$4:$K$4&lt;C$4),$B141:$K141-$L141:$U141))),2)</f>
        <v>0</v>
      </c>
      <c r="X141" s="39" t="n">
        <f aca="false">ROUND(D141-N141-MIN(D141-N141,MAX(0,$AF141-SUMPRODUCT(--($B$4:$K$4&lt;D$4),$B141:$K141-$L141:$U141))),2)</f>
        <v>0</v>
      </c>
      <c r="Y141" s="39" t="n">
        <f aca="false">ROUND(E141-O141-MIN(E141-O141,MAX(0,$AF141-SUMPRODUCT(--($B$4:$K$4&lt;E$4),$B141:$K141-$L141:$U141))),2)</f>
        <v>0</v>
      </c>
      <c r="Z141" s="39" t="n">
        <f aca="false">ROUND(F141-P141-MIN(F141-P141,MAX(0,$AF141-SUMPRODUCT(--($B$4:$K$4&lt;F$4),$B141:$K141-$L141:$U141))),2)</f>
        <v>0</v>
      </c>
      <c r="AA141" s="39" t="n">
        <f aca="false">ROUND(G141-Q141-MIN(G141-Q141,MAX(0,$AF141-SUMPRODUCT(--($B$4:$K$4&lt;G$4),$B141:$K141-$L141:$U141))),2)</f>
        <v>0</v>
      </c>
      <c r="AB141" s="39" t="n">
        <f aca="false">ROUND(H141-R141-MIN(H141-R141,MAX(0,$AF141-SUMPRODUCT(--($B$4:$K$4&lt;H$4),$B141:$K141-$L141:$U141))),2)</f>
        <v>0</v>
      </c>
      <c r="AC141" s="39" t="n">
        <f aca="false">ROUND(I141-S141-MIN(I141-S141,MAX(0,$AF141-SUMPRODUCT(--($B$4:$K$4&lt;I$4),$B141:$K141-$L141:$U141))),2)</f>
        <v>0</v>
      </c>
      <c r="AD141" s="39" t="n">
        <f aca="false">ROUND(J141-T141-MIN(J141-T141,MAX(0,$AF141-SUMPRODUCT(--($B$4:$K$4&lt;J$4),$B141:$K141-$L141:$U141))),2)</f>
        <v>0</v>
      </c>
      <c r="AE141" s="39" t="n">
        <f aca="false">ROUND(K141-U141-MIN(K141-U141,MAX(0,$AF141-SUMPRODUCT(--($B$4:$K$4&lt;K$4),$B141:$K141-$L141:$U141))),2)</f>
        <v>0</v>
      </c>
      <c r="AF141" s="39" t="n">
        <f aca="false">MAX(0,'Start Here'!$C$5-SUM($L141:$U141))</f>
        <v>1200</v>
      </c>
      <c r="AG141" s="39" t="n">
        <f aca="false">SUM(V141:AE141)</f>
        <v>0</v>
      </c>
      <c r="AH141" s="39" t="n">
        <f aca="false">SUM(B141:K141)-AG140</f>
        <v>0</v>
      </c>
    </row>
    <row r="142" customFormat="false" ht="15" hidden="false" customHeight="false" outlineLevel="0" collapsed="false">
      <c r="A142" s="40" t="n">
        <f aca="false">DATE(YEAR('Start Here'!$C$6),MONTH('Start Here'!$C$6)+135,1)</f>
        <v>50406</v>
      </c>
      <c r="B142" s="39" t="n">
        <f aca="false">ROUND(V141*(1+N('My Debts'!$D$6)/12),2)</f>
        <v>0</v>
      </c>
      <c r="C142" s="39" t="n">
        <f aca="false">ROUND(W141*(1+N('My Debts'!$D$7)/12),2)</f>
        <v>0</v>
      </c>
      <c r="D142" s="39" t="n">
        <f aca="false">ROUND(X141*(1+N('My Debts'!$D$8)/12),2)</f>
        <v>0</v>
      </c>
      <c r="E142" s="39" t="n">
        <f aca="false">ROUND(Y141*(1+N('My Debts'!$D$9)/12),2)</f>
        <v>0</v>
      </c>
      <c r="F142" s="39" t="n">
        <f aca="false">ROUND(Z141*(1+N('My Debts'!$D$10)/12),2)</f>
        <v>0</v>
      </c>
      <c r="G142" s="39" t="n">
        <f aca="false">ROUND(AA141*(1+N('My Debts'!$D$11)/12),2)</f>
        <v>0</v>
      </c>
      <c r="H142" s="39" t="n">
        <f aca="false">ROUND(AB141*(1+N('My Debts'!$D$12)/12),2)</f>
        <v>0</v>
      </c>
      <c r="I142" s="39" t="n">
        <f aca="false">ROUND(AC141*(1+N('My Debts'!$D$13)/12),2)</f>
        <v>0</v>
      </c>
      <c r="J142" s="39" t="n">
        <f aca="false">ROUND(AD141*(1+N('My Debts'!$D$14)/12),2)</f>
        <v>0</v>
      </c>
      <c r="K142" s="39" t="n">
        <f aca="false">ROUND(AE141*(1+N('My Debts'!$D$15)/12),2)</f>
        <v>0</v>
      </c>
      <c r="L142" s="39" t="n">
        <f aca="false">MIN(N('My Debts'!$E$6),B142)</f>
        <v>0</v>
      </c>
      <c r="M142" s="39" t="n">
        <f aca="false">MIN(N('My Debts'!$E$7),C142)</f>
        <v>0</v>
      </c>
      <c r="N142" s="39" t="n">
        <f aca="false">MIN(N('My Debts'!$E$8),D142)</f>
        <v>0</v>
      </c>
      <c r="O142" s="39" t="n">
        <f aca="false">MIN(N('My Debts'!$E$9),E142)</f>
        <v>0</v>
      </c>
      <c r="P142" s="39" t="n">
        <f aca="false">MIN(N('My Debts'!$E$10),F142)</f>
        <v>0</v>
      </c>
      <c r="Q142" s="39" t="n">
        <f aca="false">MIN(N('My Debts'!$E$11),G142)</f>
        <v>0</v>
      </c>
      <c r="R142" s="39" t="n">
        <f aca="false">MIN(N('My Debts'!$E$12),H142)</f>
        <v>0</v>
      </c>
      <c r="S142" s="39" t="n">
        <f aca="false">MIN(N('My Debts'!$E$13),I142)</f>
        <v>0</v>
      </c>
      <c r="T142" s="39" t="n">
        <f aca="false">MIN(N('My Debts'!$E$14),J142)</f>
        <v>0</v>
      </c>
      <c r="U142" s="39" t="n">
        <f aca="false">MIN(N('My Debts'!$E$15),K142)</f>
        <v>0</v>
      </c>
      <c r="V142" s="39" t="n">
        <f aca="false">ROUND(B142-L142-MIN(B142-L142,MAX(0,$AF142-SUMPRODUCT(--($B$4:$K$4&lt;B$4),$B142:$K142-$L142:$U142))),2)</f>
        <v>0</v>
      </c>
      <c r="W142" s="39" t="n">
        <f aca="false">ROUND(C142-M142-MIN(C142-M142,MAX(0,$AF142-SUMPRODUCT(--($B$4:$K$4&lt;C$4),$B142:$K142-$L142:$U142))),2)</f>
        <v>0</v>
      </c>
      <c r="X142" s="39" t="n">
        <f aca="false">ROUND(D142-N142-MIN(D142-N142,MAX(0,$AF142-SUMPRODUCT(--($B$4:$K$4&lt;D$4),$B142:$K142-$L142:$U142))),2)</f>
        <v>0</v>
      </c>
      <c r="Y142" s="39" t="n">
        <f aca="false">ROUND(E142-O142-MIN(E142-O142,MAX(0,$AF142-SUMPRODUCT(--($B$4:$K$4&lt;E$4),$B142:$K142-$L142:$U142))),2)</f>
        <v>0</v>
      </c>
      <c r="Z142" s="39" t="n">
        <f aca="false">ROUND(F142-P142-MIN(F142-P142,MAX(0,$AF142-SUMPRODUCT(--($B$4:$K$4&lt;F$4),$B142:$K142-$L142:$U142))),2)</f>
        <v>0</v>
      </c>
      <c r="AA142" s="39" t="n">
        <f aca="false">ROUND(G142-Q142-MIN(G142-Q142,MAX(0,$AF142-SUMPRODUCT(--($B$4:$K$4&lt;G$4),$B142:$K142-$L142:$U142))),2)</f>
        <v>0</v>
      </c>
      <c r="AB142" s="39" t="n">
        <f aca="false">ROUND(H142-R142-MIN(H142-R142,MAX(0,$AF142-SUMPRODUCT(--($B$4:$K$4&lt;H$4),$B142:$K142-$L142:$U142))),2)</f>
        <v>0</v>
      </c>
      <c r="AC142" s="39" t="n">
        <f aca="false">ROUND(I142-S142-MIN(I142-S142,MAX(0,$AF142-SUMPRODUCT(--($B$4:$K$4&lt;I$4),$B142:$K142-$L142:$U142))),2)</f>
        <v>0</v>
      </c>
      <c r="AD142" s="39" t="n">
        <f aca="false">ROUND(J142-T142-MIN(J142-T142,MAX(0,$AF142-SUMPRODUCT(--($B$4:$K$4&lt;J$4),$B142:$K142-$L142:$U142))),2)</f>
        <v>0</v>
      </c>
      <c r="AE142" s="39" t="n">
        <f aca="false">ROUND(K142-U142-MIN(K142-U142,MAX(0,$AF142-SUMPRODUCT(--($B$4:$K$4&lt;K$4),$B142:$K142-$L142:$U142))),2)</f>
        <v>0</v>
      </c>
      <c r="AF142" s="39" t="n">
        <f aca="false">MAX(0,'Start Here'!$C$5-SUM($L142:$U142))</f>
        <v>1200</v>
      </c>
      <c r="AG142" s="39" t="n">
        <f aca="false">SUM(V142:AE142)</f>
        <v>0</v>
      </c>
      <c r="AH142" s="39" t="n">
        <f aca="false">SUM(B142:K142)-AG141</f>
        <v>0</v>
      </c>
    </row>
    <row r="143" customFormat="false" ht="15" hidden="false" customHeight="false" outlineLevel="0" collapsed="false">
      <c r="A143" s="40" t="n">
        <f aca="false">DATE(YEAR('Start Here'!$C$6),MONTH('Start Here'!$C$6)+136,1)</f>
        <v>50437</v>
      </c>
      <c r="B143" s="39" t="n">
        <f aca="false">ROUND(V142*(1+N('My Debts'!$D$6)/12),2)</f>
        <v>0</v>
      </c>
      <c r="C143" s="39" t="n">
        <f aca="false">ROUND(W142*(1+N('My Debts'!$D$7)/12),2)</f>
        <v>0</v>
      </c>
      <c r="D143" s="39" t="n">
        <f aca="false">ROUND(X142*(1+N('My Debts'!$D$8)/12),2)</f>
        <v>0</v>
      </c>
      <c r="E143" s="39" t="n">
        <f aca="false">ROUND(Y142*(1+N('My Debts'!$D$9)/12),2)</f>
        <v>0</v>
      </c>
      <c r="F143" s="39" t="n">
        <f aca="false">ROUND(Z142*(1+N('My Debts'!$D$10)/12),2)</f>
        <v>0</v>
      </c>
      <c r="G143" s="39" t="n">
        <f aca="false">ROUND(AA142*(1+N('My Debts'!$D$11)/12),2)</f>
        <v>0</v>
      </c>
      <c r="H143" s="39" t="n">
        <f aca="false">ROUND(AB142*(1+N('My Debts'!$D$12)/12),2)</f>
        <v>0</v>
      </c>
      <c r="I143" s="39" t="n">
        <f aca="false">ROUND(AC142*(1+N('My Debts'!$D$13)/12),2)</f>
        <v>0</v>
      </c>
      <c r="J143" s="39" t="n">
        <f aca="false">ROUND(AD142*(1+N('My Debts'!$D$14)/12),2)</f>
        <v>0</v>
      </c>
      <c r="K143" s="39" t="n">
        <f aca="false">ROUND(AE142*(1+N('My Debts'!$D$15)/12),2)</f>
        <v>0</v>
      </c>
      <c r="L143" s="39" t="n">
        <f aca="false">MIN(N('My Debts'!$E$6),B143)</f>
        <v>0</v>
      </c>
      <c r="M143" s="39" t="n">
        <f aca="false">MIN(N('My Debts'!$E$7),C143)</f>
        <v>0</v>
      </c>
      <c r="N143" s="39" t="n">
        <f aca="false">MIN(N('My Debts'!$E$8),D143)</f>
        <v>0</v>
      </c>
      <c r="O143" s="39" t="n">
        <f aca="false">MIN(N('My Debts'!$E$9),E143)</f>
        <v>0</v>
      </c>
      <c r="P143" s="39" t="n">
        <f aca="false">MIN(N('My Debts'!$E$10),F143)</f>
        <v>0</v>
      </c>
      <c r="Q143" s="39" t="n">
        <f aca="false">MIN(N('My Debts'!$E$11),G143)</f>
        <v>0</v>
      </c>
      <c r="R143" s="39" t="n">
        <f aca="false">MIN(N('My Debts'!$E$12),H143)</f>
        <v>0</v>
      </c>
      <c r="S143" s="39" t="n">
        <f aca="false">MIN(N('My Debts'!$E$13),I143)</f>
        <v>0</v>
      </c>
      <c r="T143" s="39" t="n">
        <f aca="false">MIN(N('My Debts'!$E$14),J143)</f>
        <v>0</v>
      </c>
      <c r="U143" s="39" t="n">
        <f aca="false">MIN(N('My Debts'!$E$15),K143)</f>
        <v>0</v>
      </c>
      <c r="V143" s="39" t="n">
        <f aca="false">ROUND(B143-L143-MIN(B143-L143,MAX(0,$AF143-SUMPRODUCT(--($B$4:$K$4&lt;B$4),$B143:$K143-$L143:$U143))),2)</f>
        <v>0</v>
      </c>
      <c r="W143" s="39" t="n">
        <f aca="false">ROUND(C143-M143-MIN(C143-M143,MAX(0,$AF143-SUMPRODUCT(--($B$4:$K$4&lt;C$4),$B143:$K143-$L143:$U143))),2)</f>
        <v>0</v>
      </c>
      <c r="X143" s="39" t="n">
        <f aca="false">ROUND(D143-N143-MIN(D143-N143,MAX(0,$AF143-SUMPRODUCT(--($B$4:$K$4&lt;D$4),$B143:$K143-$L143:$U143))),2)</f>
        <v>0</v>
      </c>
      <c r="Y143" s="39" t="n">
        <f aca="false">ROUND(E143-O143-MIN(E143-O143,MAX(0,$AF143-SUMPRODUCT(--($B$4:$K$4&lt;E$4),$B143:$K143-$L143:$U143))),2)</f>
        <v>0</v>
      </c>
      <c r="Z143" s="39" t="n">
        <f aca="false">ROUND(F143-P143-MIN(F143-P143,MAX(0,$AF143-SUMPRODUCT(--($B$4:$K$4&lt;F$4),$B143:$K143-$L143:$U143))),2)</f>
        <v>0</v>
      </c>
      <c r="AA143" s="39" t="n">
        <f aca="false">ROUND(G143-Q143-MIN(G143-Q143,MAX(0,$AF143-SUMPRODUCT(--($B$4:$K$4&lt;G$4),$B143:$K143-$L143:$U143))),2)</f>
        <v>0</v>
      </c>
      <c r="AB143" s="39" t="n">
        <f aca="false">ROUND(H143-R143-MIN(H143-R143,MAX(0,$AF143-SUMPRODUCT(--($B$4:$K$4&lt;H$4),$B143:$K143-$L143:$U143))),2)</f>
        <v>0</v>
      </c>
      <c r="AC143" s="39" t="n">
        <f aca="false">ROUND(I143-S143-MIN(I143-S143,MAX(0,$AF143-SUMPRODUCT(--($B$4:$K$4&lt;I$4),$B143:$K143-$L143:$U143))),2)</f>
        <v>0</v>
      </c>
      <c r="AD143" s="39" t="n">
        <f aca="false">ROUND(J143-T143-MIN(J143-T143,MAX(0,$AF143-SUMPRODUCT(--($B$4:$K$4&lt;J$4),$B143:$K143-$L143:$U143))),2)</f>
        <v>0</v>
      </c>
      <c r="AE143" s="39" t="n">
        <f aca="false">ROUND(K143-U143-MIN(K143-U143,MAX(0,$AF143-SUMPRODUCT(--($B$4:$K$4&lt;K$4),$B143:$K143-$L143:$U143))),2)</f>
        <v>0</v>
      </c>
      <c r="AF143" s="39" t="n">
        <f aca="false">MAX(0,'Start Here'!$C$5-SUM($L143:$U143))</f>
        <v>1200</v>
      </c>
      <c r="AG143" s="39" t="n">
        <f aca="false">SUM(V143:AE143)</f>
        <v>0</v>
      </c>
      <c r="AH143" s="39" t="n">
        <f aca="false">SUM(B143:K143)-AG142</f>
        <v>0</v>
      </c>
    </row>
    <row r="144" customFormat="false" ht="15" hidden="false" customHeight="false" outlineLevel="0" collapsed="false">
      <c r="A144" s="40" t="n">
        <f aca="false">DATE(YEAR('Start Here'!$C$6),MONTH('Start Here'!$C$6)+137,1)</f>
        <v>50465</v>
      </c>
      <c r="B144" s="39" t="n">
        <f aca="false">ROUND(V143*(1+N('My Debts'!$D$6)/12),2)</f>
        <v>0</v>
      </c>
      <c r="C144" s="39" t="n">
        <f aca="false">ROUND(W143*(1+N('My Debts'!$D$7)/12),2)</f>
        <v>0</v>
      </c>
      <c r="D144" s="39" t="n">
        <f aca="false">ROUND(X143*(1+N('My Debts'!$D$8)/12),2)</f>
        <v>0</v>
      </c>
      <c r="E144" s="39" t="n">
        <f aca="false">ROUND(Y143*(1+N('My Debts'!$D$9)/12),2)</f>
        <v>0</v>
      </c>
      <c r="F144" s="39" t="n">
        <f aca="false">ROUND(Z143*(1+N('My Debts'!$D$10)/12),2)</f>
        <v>0</v>
      </c>
      <c r="G144" s="39" t="n">
        <f aca="false">ROUND(AA143*(1+N('My Debts'!$D$11)/12),2)</f>
        <v>0</v>
      </c>
      <c r="H144" s="39" t="n">
        <f aca="false">ROUND(AB143*(1+N('My Debts'!$D$12)/12),2)</f>
        <v>0</v>
      </c>
      <c r="I144" s="39" t="n">
        <f aca="false">ROUND(AC143*(1+N('My Debts'!$D$13)/12),2)</f>
        <v>0</v>
      </c>
      <c r="J144" s="39" t="n">
        <f aca="false">ROUND(AD143*(1+N('My Debts'!$D$14)/12),2)</f>
        <v>0</v>
      </c>
      <c r="K144" s="39" t="n">
        <f aca="false">ROUND(AE143*(1+N('My Debts'!$D$15)/12),2)</f>
        <v>0</v>
      </c>
      <c r="L144" s="39" t="n">
        <f aca="false">MIN(N('My Debts'!$E$6),B144)</f>
        <v>0</v>
      </c>
      <c r="M144" s="39" t="n">
        <f aca="false">MIN(N('My Debts'!$E$7),C144)</f>
        <v>0</v>
      </c>
      <c r="N144" s="39" t="n">
        <f aca="false">MIN(N('My Debts'!$E$8),D144)</f>
        <v>0</v>
      </c>
      <c r="O144" s="39" t="n">
        <f aca="false">MIN(N('My Debts'!$E$9),E144)</f>
        <v>0</v>
      </c>
      <c r="P144" s="39" t="n">
        <f aca="false">MIN(N('My Debts'!$E$10),F144)</f>
        <v>0</v>
      </c>
      <c r="Q144" s="39" t="n">
        <f aca="false">MIN(N('My Debts'!$E$11),G144)</f>
        <v>0</v>
      </c>
      <c r="R144" s="39" t="n">
        <f aca="false">MIN(N('My Debts'!$E$12),H144)</f>
        <v>0</v>
      </c>
      <c r="S144" s="39" t="n">
        <f aca="false">MIN(N('My Debts'!$E$13),I144)</f>
        <v>0</v>
      </c>
      <c r="T144" s="39" t="n">
        <f aca="false">MIN(N('My Debts'!$E$14),J144)</f>
        <v>0</v>
      </c>
      <c r="U144" s="39" t="n">
        <f aca="false">MIN(N('My Debts'!$E$15),K144)</f>
        <v>0</v>
      </c>
      <c r="V144" s="39" t="n">
        <f aca="false">ROUND(B144-L144-MIN(B144-L144,MAX(0,$AF144-SUMPRODUCT(--($B$4:$K$4&lt;B$4),$B144:$K144-$L144:$U144))),2)</f>
        <v>0</v>
      </c>
      <c r="W144" s="39" t="n">
        <f aca="false">ROUND(C144-M144-MIN(C144-M144,MAX(0,$AF144-SUMPRODUCT(--($B$4:$K$4&lt;C$4),$B144:$K144-$L144:$U144))),2)</f>
        <v>0</v>
      </c>
      <c r="X144" s="39" t="n">
        <f aca="false">ROUND(D144-N144-MIN(D144-N144,MAX(0,$AF144-SUMPRODUCT(--($B$4:$K$4&lt;D$4),$B144:$K144-$L144:$U144))),2)</f>
        <v>0</v>
      </c>
      <c r="Y144" s="39" t="n">
        <f aca="false">ROUND(E144-O144-MIN(E144-O144,MAX(0,$AF144-SUMPRODUCT(--($B$4:$K$4&lt;E$4),$B144:$K144-$L144:$U144))),2)</f>
        <v>0</v>
      </c>
      <c r="Z144" s="39" t="n">
        <f aca="false">ROUND(F144-P144-MIN(F144-P144,MAX(0,$AF144-SUMPRODUCT(--($B$4:$K$4&lt;F$4),$B144:$K144-$L144:$U144))),2)</f>
        <v>0</v>
      </c>
      <c r="AA144" s="39" t="n">
        <f aca="false">ROUND(G144-Q144-MIN(G144-Q144,MAX(0,$AF144-SUMPRODUCT(--($B$4:$K$4&lt;G$4),$B144:$K144-$L144:$U144))),2)</f>
        <v>0</v>
      </c>
      <c r="AB144" s="39" t="n">
        <f aca="false">ROUND(H144-R144-MIN(H144-R144,MAX(0,$AF144-SUMPRODUCT(--($B$4:$K$4&lt;H$4),$B144:$K144-$L144:$U144))),2)</f>
        <v>0</v>
      </c>
      <c r="AC144" s="39" t="n">
        <f aca="false">ROUND(I144-S144-MIN(I144-S144,MAX(0,$AF144-SUMPRODUCT(--($B$4:$K$4&lt;I$4),$B144:$K144-$L144:$U144))),2)</f>
        <v>0</v>
      </c>
      <c r="AD144" s="39" t="n">
        <f aca="false">ROUND(J144-T144-MIN(J144-T144,MAX(0,$AF144-SUMPRODUCT(--($B$4:$K$4&lt;J$4),$B144:$K144-$L144:$U144))),2)</f>
        <v>0</v>
      </c>
      <c r="AE144" s="39" t="n">
        <f aca="false">ROUND(K144-U144-MIN(K144-U144,MAX(0,$AF144-SUMPRODUCT(--($B$4:$K$4&lt;K$4),$B144:$K144-$L144:$U144))),2)</f>
        <v>0</v>
      </c>
      <c r="AF144" s="39" t="n">
        <f aca="false">MAX(0,'Start Here'!$C$5-SUM($L144:$U144))</f>
        <v>1200</v>
      </c>
      <c r="AG144" s="39" t="n">
        <f aca="false">SUM(V144:AE144)</f>
        <v>0</v>
      </c>
      <c r="AH144" s="39" t="n">
        <f aca="false">SUM(B144:K144)-AG143</f>
        <v>0</v>
      </c>
    </row>
    <row r="145" customFormat="false" ht="15" hidden="false" customHeight="false" outlineLevel="0" collapsed="false">
      <c r="A145" s="40" t="n">
        <f aca="false">DATE(YEAR('Start Here'!$C$6),MONTH('Start Here'!$C$6)+138,1)</f>
        <v>50496</v>
      </c>
      <c r="B145" s="39" t="n">
        <f aca="false">ROUND(V144*(1+N('My Debts'!$D$6)/12),2)</f>
        <v>0</v>
      </c>
      <c r="C145" s="39" t="n">
        <f aca="false">ROUND(W144*(1+N('My Debts'!$D$7)/12),2)</f>
        <v>0</v>
      </c>
      <c r="D145" s="39" t="n">
        <f aca="false">ROUND(X144*(1+N('My Debts'!$D$8)/12),2)</f>
        <v>0</v>
      </c>
      <c r="E145" s="39" t="n">
        <f aca="false">ROUND(Y144*(1+N('My Debts'!$D$9)/12),2)</f>
        <v>0</v>
      </c>
      <c r="F145" s="39" t="n">
        <f aca="false">ROUND(Z144*(1+N('My Debts'!$D$10)/12),2)</f>
        <v>0</v>
      </c>
      <c r="G145" s="39" t="n">
        <f aca="false">ROUND(AA144*(1+N('My Debts'!$D$11)/12),2)</f>
        <v>0</v>
      </c>
      <c r="H145" s="39" t="n">
        <f aca="false">ROUND(AB144*(1+N('My Debts'!$D$12)/12),2)</f>
        <v>0</v>
      </c>
      <c r="I145" s="39" t="n">
        <f aca="false">ROUND(AC144*(1+N('My Debts'!$D$13)/12),2)</f>
        <v>0</v>
      </c>
      <c r="J145" s="39" t="n">
        <f aca="false">ROUND(AD144*(1+N('My Debts'!$D$14)/12),2)</f>
        <v>0</v>
      </c>
      <c r="K145" s="39" t="n">
        <f aca="false">ROUND(AE144*(1+N('My Debts'!$D$15)/12),2)</f>
        <v>0</v>
      </c>
      <c r="L145" s="39" t="n">
        <f aca="false">MIN(N('My Debts'!$E$6),B145)</f>
        <v>0</v>
      </c>
      <c r="M145" s="39" t="n">
        <f aca="false">MIN(N('My Debts'!$E$7),C145)</f>
        <v>0</v>
      </c>
      <c r="N145" s="39" t="n">
        <f aca="false">MIN(N('My Debts'!$E$8),D145)</f>
        <v>0</v>
      </c>
      <c r="O145" s="39" t="n">
        <f aca="false">MIN(N('My Debts'!$E$9),E145)</f>
        <v>0</v>
      </c>
      <c r="P145" s="39" t="n">
        <f aca="false">MIN(N('My Debts'!$E$10),F145)</f>
        <v>0</v>
      </c>
      <c r="Q145" s="39" t="n">
        <f aca="false">MIN(N('My Debts'!$E$11),G145)</f>
        <v>0</v>
      </c>
      <c r="R145" s="39" t="n">
        <f aca="false">MIN(N('My Debts'!$E$12),H145)</f>
        <v>0</v>
      </c>
      <c r="S145" s="39" t="n">
        <f aca="false">MIN(N('My Debts'!$E$13),I145)</f>
        <v>0</v>
      </c>
      <c r="T145" s="39" t="n">
        <f aca="false">MIN(N('My Debts'!$E$14),J145)</f>
        <v>0</v>
      </c>
      <c r="U145" s="39" t="n">
        <f aca="false">MIN(N('My Debts'!$E$15),K145)</f>
        <v>0</v>
      </c>
      <c r="V145" s="39" t="n">
        <f aca="false">ROUND(B145-L145-MIN(B145-L145,MAX(0,$AF145-SUMPRODUCT(--($B$4:$K$4&lt;B$4),$B145:$K145-$L145:$U145))),2)</f>
        <v>0</v>
      </c>
      <c r="W145" s="39" t="n">
        <f aca="false">ROUND(C145-M145-MIN(C145-M145,MAX(0,$AF145-SUMPRODUCT(--($B$4:$K$4&lt;C$4),$B145:$K145-$L145:$U145))),2)</f>
        <v>0</v>
      </c>
      <c r="X145" s="39" t="n">
        <f aca="false">ROUND(D145-N145-MIN(D145-N145,MAX(0,$AF145-SUMPRODUCT(--($B$4:$K$4&lt;D$4),$B145:$K145-$L145:$U145))),2)</f>
        <v>0</v>
      </c>
      <c r="Y145" s="39" t="n">
        <f aca="false">ROUND(E145-O145-MIN(E145-O145,MAX(0,$AF145-SUMPRODUCT(--($B$4:$K$4&lt;E$4),$B145:$K145-$L145:$U145))),2)</f>
        <v>0</v>
      </c>
      <c r="Z145" s="39" t="n">
        <f aca="false">ROUND(F145-P145-MIN(F145-P145,MAX(0,$AF145-SUMPRODUCT(--($B$4:$K$4&lt;F$4),$B145:$K145-$L145:$U145))),2)</f>
        <v>0</v>
      </c>
      <c r="AA145" s="39" t="n">
        <f aca="false">ROUND(G145-Q145-MIN(G145-Q145,MAX(0,$AF145-SUMPRODUCT(--($B$4:$K$4&lt;G$4),$B145:$K145-$L145:$U145))),2)</f>
        <v>0</v>
      </c>
      <c r="AB145" s="39" t="n">
        <f aca="false">ROUND(H145-R145-MIN(H145-R145,MAX(0,$AF145-SUMPRODUCT(--($B$4:$K$4&lt;H$4),$B145:$K145-$L145:$U145))),2)</f>
        <v>0</v>
      </c>
      <c r="AC145" s="39" t="n">
        <f aca="false">ROUND(I145-S145-MIN(I145-S145,MAX(0,$AF145-SUMPRODUCT(--($B$4:$K$4&lt;I$4),$B145:$K145-$L145:$U145))),2)</f>
        <v>0</v>
      </c>
      <c r="AD145" s="39" t="n">
        <f aca="false">ROUND(J145-T145-MIN(J145-T145,MAX(0,$AF145-SUMPRODUCT(--($B$4:$K$4&lt;J$4),$B145:$K145-$L145:$U145))),2)</f>
        <v>0</v>
      </c>
      <c r="AE145" s="39" t="n">
        <f aca="false">ROUND(K145-U145-MIN(K145-U145,MAX(0,$AF145-SUMPRODUCT(--($B$4:$K$4&lt;K$4),$B145:$K145-$L145:$U145))),2)</f>
        <v>0</v>
      </c>
      <c r="AF145" s="39" t="n">
        <f aca="false">MAX(0,'Start Here'!$C$5-SUM($L145:$U145))</f>
        <v>1200</v>
      </c>
      <c r="AG145" s="39" t="n">
        <f aca="false">SUM(V145:AE145)</f>
        <v>0</v>
      </c>
      <c r="AH145" s="39" t="n">
        <f aca="false">SUM(B145:K145)-AG144</f>
        <v>0</v>
      </c>
    </row>
    <row r="146" customFormat="false" ht="15" hidden="false" customHeight="false" outlineLevel="0" collapsed="false">
      <c r="A146" s="40" t="n">
        <f aca="false">DATE(YEAR('Start Here'!$C$6),MONTH('Start Here'!$C$6)+139,1)</f>
        <v>50526</v>
      </c>
      <c r="B146" s="39" t="n">
        <f aca="false">ROUND(V145*(1+N('My Debts'!$D$6)/12),2)</f>
        <v>0</v>
      </c>
      <c r="C146" s="39" t="n">
        <f aca="false">ROUND(W145*(1+N('My Debts'!$D$7)/12),2)</f>
        <v>0</v>
      </c>
      <c r="D146" s="39" t="n">
        <f aca="false">ROUND(X145*(1+N('My Debts'!$D$8)/12),2)</f>
        <v>0</v>
      </c>
      <c r="E146" s="39" t="n">
        <f aca="false">ROUND(Y145*(1+N('My Debts'!$D$9)/12),2)</f>
        <v>0</v>
      </c>
      <c r="F146" s="39" t="n">
        <f aca="false">ROUND(Z145*(1+N('My Debts'!$D$10)/12),2)</f>
        <v>0</v>
      </c>
      <c r="G146" s="39" t="n">
        <f aca="false">ROUND(AA145*(1+N('My Debts'!$D$11)/12),2)</f>
        <v>0</v>
      </c>
      <c r="H146" s="39" t="n">
        <f aca="false">ROUND(AB145*(1+N('My Debts'!$D$12)/12),2)</f>
        <v>0</v>
      </c>
      <c r="I146" s="39" t="n">
        <f aca="false">ROUND(AC145*(1+N('My Debts'!$D$13)/12),2)</f>
        <v>0</v>
      </c>
      <c r="J146" s="39" t="n">
        <f aca="false">ROUND(AD145*(1+N('My Debts'!$D$14)/12),2)</f>
        <v>0</v>
      </c>
      <c r="K146" s="39" t="n">
        <f aca="false">ROUND(AE145*(1+N('My Debts'!$D$15)/12),2)</f>
        <v>0</v>
      </c>
      <c r="L146" s="39" t="n">
        <f aca="false">MIN(N('My Debts'!$E$6),B146)</f>
        <v>0</v>
      </c>
      <c r="M146" s="39" t="n">
        <f aca="false">MIN(N('My Debts'!$E$7),C146)</f>
        <v>0</v>
      </c>
      <c r="N146" s="39" t="n">
        <f aca="false">MIN(N('My Debts'!$E$8),D146)</f>
        <v>0</v>
      </c>
      <c r="O146" s="39" t="n">
        <f aca="false">MIN(N('My Debts'!$E$9),E146)</f>
        <v>0</v>
      </c>
      <c r="P146" s="39" t="n">
        <f aca="false">MIN(N('My Debts'!$E$10),F146)</f>
        <v>0</v>
      </c>
      <c r="Q146" s="39" t="n">
        <f aca="false">MIN(N('My Debts'!$E$11),G146)</f>
        <v>0</v>
      </c>
      <c r="R146" s="39" t="n">
        <f aca="false">MIN(N('My Debts'!$E$12),H146)</f>
        <v>0</v>
      </c>
      <c r="S146" s="39" t="n">
        <f aca="false">MIN(N('My Debts'!$E$13),I146)</f>
        <v>0</v>
      </c>
      <c r="T146" s="39" t="n">
        <f aca="false">MIN(N('My Debts'!$E$14),J146)</f>
        <v>0</v>
      </c>
      <c r="U146" s="39" t="n">
        <f aca="false">MIN(N('My Debts'!$E$15),K146)</f>
        <v>0</v>
      </c>
      <c r="V146" s="39" t="n">
        <f aca="false">ROUND(B146-L146-MIN(B146-L146,MAX(0,$AF146-SUMPRODUCT(--($B$4:$K$4&lt;B$4),$B146:$K146-$L146:$U146))),2)</f>
        <v>0</v>
      </c>
      <c r="W146" s="39" t="n">
        <f aca="false">ROUND(C146-M146-MIN(C146-M146,MAX(0,$AF146-SUMPRODUCT(--($B$4:$K$4&lt;C$4),$B146:$K146-$L146:$U146))),2)</f>
        <v>0</v>
      </c>
      <c r="X146" s="39" t="n">
        <f aca="false">ROUND(D146-N146-MIN(D146-N146,MAX(0,$AF146-SUMPRODUCT(--($B$4:$K$4&lt;D$4),$B146:$K146-$L146:$U146))),2)</f>
        <v>0</v>
      </c>
      <c r="Y146" s="39" t="n">
        <f aca="false">ROUND(E146-O146-MIN(E146-O146,MAX(0,$AF146-SUMPRODUCT(--($B$4:$K$4&lt;E$4),$B146:$K146-$L146:$U146))),2)</f>
        <v>0</v>
      </c>
      <c r="Z146" s="39" t="n">
        <f aca="false">ROUND(F146-P146-MIN(F146-P146,MAX(0,$AF146-SUMPRODUCT(--($B$4:$K$4&lt;F$4),$B146:$K146-$L146:$U146))),2)</f>
        <v>0</v>
      </c>
      <c r="AA146" s="39" t="n">
        <f aca="false">ROUND(G146-Q146-MIN(G146-Q146,MAX(0,$AF146-SUMPRODUCT(--($B$4:$K$4&lt;G$4),$B146:$K146-$L146:$U146))),2)</f>
        <v>0</v>
      </c>
      <c r="AB146" s="39" t="n">
        <f aca="false">ROUND(H146-R146-MIN(H146-R146,MAX(0,$AF146-SUMPRODUCT(--($B$4:$K$4&lt;H$4),$B146:$K146-$L146:$U146))),2)</f>
        <v>0</v>
      </c>
      <c r="AC146" s="39" t="n">
        <f aca="false">ROUND(I146-S146-MIN(I146-S146,MAX(0,$AF146-SUMPRODUCT(--($B$4:$K$4&lt;I$4),$B146:$K146-$L146:$U146))),2)</f>
        <v>0</v>
      </c>
      <c r="AD146" s="39" t="n">
        <f aca="false">ROUND(J146-T146-MIN(J146-T146,MAX(0,$AF146-SUMPRODUCT(--($B$4:$K$4&lt;J$4),$B146:$K146-$L146:$U146))),2)</f>
        <v>0</v>
      </c>
      <c r="AE146" s="39" t="n">
        <f aca="false">ROUND(K146-U146-MIN(K146-U146,MAX(0,$AF146-SUMPRODUCT(--($B$4:$K$4&lt;K$4),$B146:$K146-$L146:$U146))),2)</f>
        <v>0</v>
      </c>
      <c r="AF146" s="39" t="n">
        <f aca="false">MAX(0,'Start Here'!$C$5-SUM($L146:$U146))</f>
        <v>1200</v>
      </c>
      <c r="AG146" s="39" t="n">
        <f aca="false">SUM(V146:AE146)</f>
        <v>0</v>
      </c>
      <c r="AH146" s="39" t="n">
        <f aca="false">SUM(B146:K146)-AG145</f>
        <v>0</v>
      </c>
    </row>
    <row r="147" customFormat="false" ht="15" hidden="false" customHeight="false" outlineLevel="0" collapsed="false">
      <c r="A147" s="40" t="n">
        <f aca="false">DATE(YEAR('Start Here'!$C$6),MONTH('Start Here'!$C$6)+140,1)</f>
        <v>50557</v>
      </c>
      <c r="B147" s="39" t="n">
        <f aca="false">ROUND(V146*(1+N('My Debts'!$D$6)/12),2)</f>
        <v>0</v>
      </c>
      <c r="C147" s="39" t="n">
        <f aca="false">ROUND(W146*(1+N('My Debts'!$D$7)/12),2)</f>
        <v>0</v>
      </c>
      <c r="D147" s="39" t="n">
        <f aca="false">ROUND(X146*(1+N('My Debts'!$D$8)/12),2)</f>
        <v>0</v>
      </c>
      <c r="E147" s="39" t="n">
        <f aca="false">ROUND(Y146*(1+N('My Debts'!$D$9)/12),2)</f>
        <v>0</v>
      </c>
      <c r="F147" s="39" t="n">
        <f aca="false">ROUND(Z146*(1+N('My Debts'!$D$10)/12),2)</f>
        <v>0</v>
      </c>
      <c r="G147" s="39" t="n">
        <f aca="false">ROUND(AA146*(1+N('My Debts'!$D$11)/12),2)</f>
        <v>0</v>
      </c>
      <c r="H147" s="39" t="n">
        <f aca="false">ROUND(AB146*(1+N('My Debts'!$D$12)/12),2)</f>
        <v>0</v>
      </c>
      <c r="I147" s="39" t="n">
        <f aca="false">ROUND(AC146*(1+N('My Debts'!$D$13)/12),2)</f>
        <v>0</v>
      </c>
      <c r="J147" s="39" t="n">
        <f aca="false">ROUND(AD146*(1+N('My Debts'!$D$14)/12),2)</f>
        <v>0</v>
      </c>
      <c r="K147" s="39" t="n">
        <f aca="false">ROUND(AE146*(1+N('My Debts'!$D$15)/12),2)</f>
        <v>0</v>
      </c>
      <c r="L147" s="39" t="n">
        <f aca="false">MIN(N('My Debts'!$E$6),B147)</f>
        <v>0</v>
      </c>
      <c r="M147" s="39" t="n">
        <f aca="false">MIN(N('My Debts'!$E$7),C147)</f>
        <v>0</v>
      </c>
      <c r="N147" s="39" t="n">
        <f aca="false">MIN(N('My Debts'!$E$8),D147)</f>
        <v>0</v>
      </c>
      <c r="O147" s="39" t="n">
        <f aca="false">MIN(N('My Debts'!$E$9),E147)</f>
        <v>0</v>
      </c>
      <c r="P147" s="39" t="n">
        <f aca="false">MIN(N('My Debts'!$E$10),F147)</f>
        <v>0</v>
      </c>
      <c r="Q147" s="39" t="n">
        <f aca="false">MIN(N('My Debts'!$E$11),G147)</f>
        <v>0</v>
      </c>
      <c r="R147" s="39" t="n">
        <f aca="false">MIN(N('My Debts'!$E$12),H147)</f>
        <v>0</v>
      </c>
      <c r="S147" s="39" t="n">
        <f aca="false">MIN(N('My Debts'!$E$13),I147)</f>
        <v>0</v>
      </c>
      <c r="T147" s="39" t="n">
        <f aca="false">MIN(N('My Debts'!$E$14),J147)</f>
        <v>0</v>
      </c>
      <c r="U147" s="39" t="n">
        <f aca="false">MIN(N('My Debts'!$E$15),K147)</f>
        <v>0</v>
      </c>
      <c r="V147" s="39" t="n">
        <f aca="false">ROUND(B147-L147-MIN(B147-L147,MAX(0,$AF147-SUMPRODUCT(--($B$4:$K$4&lt;B$4),$B147:$K147-$L147:$U147))),2)</f>
        <v>0</v>
      </c>
      <c r="W147" s="39" t="n">
        <f aca="false">ROUND(C147-M147-MIN(C147-M147,MAX(0,$AF147-SUMPRODUCT(--($B$4:$K$4&lt;C$4),$B147:$K147-$L147:$U147))),2)</f>
        <v>0</v>
      </c>
      <c r="X147" s="39" t="n">
        <f aca="false">ROUND(D147-N147-MIN(D147-N147,MAX(0,$AF147-SUMPRODUCT(--($B$4:$K$4&lt;D$4),$B147:$K147-$L147:$U147))),2)</f>
        <v>0</v>
      </c>
      <c r="Y147" s="39" t="n">
        <f aca="false">ROUND(E147-O147-MIN(E147-O147,MAX(0,$AF147-SUMPRODUCT(--($B$4:$K$4&lt;E$4),$B147:$K147-$L147:$U147))),2)</f>
        <v>0</v>
      </c>
      <c r="Z147" s="39" t="n">
        <f aca="false">ROUND(F147-P147-MIN(F147-P147,MAX(0,$AF147-SUMPRODUCT(--($B$4:$K$4&lt;F$4),$B147:$K147-$L147:$U147))),2)</f>
        <v>0</v>
      </c>
      <c r="AA147" s="39" t="n">
        <f aca="false">ROUND(G147-Q147-MIN(G147-Q147,MAX(0,$AF147-SUMPRODUCT(--($B$4:$K$4&lt;G$4),$B147:$K147-$L147:$U147))),2)</f>
        <v>0</v>
      </c>
      <c r="AB147" s="39" t="n">
        <f aca="false">ROUND(H147-R147-MIN(H147-R147,MAX(0,$AF147-SUMPRODUCT(--($B$4:$K$4&lt;H$4),$B147:$K147-$L147:$U147))),2)</f>
        <v>0</v>
      </c>
      <c r="AC147" s="39" t="n">
        <f aca="false">ROUND(I147-S147-MIN(I147-S147,MAX(0,$AF147-SUMPRODUCT(--($B$4:$K$4&lt;I$4),$B147:$K147-$L147:$U147))),2)</f>
        <v>0</v>
      </c>
      <c r="AD147" s="39" t="n">
        <f aca="false">ROUND(J147-T147-MIN(J147-T147,MAX(0,$AF147-SUMPRODUCT(--($B$4:$K$4&lt;J$4),$B147:$K147-$L147:$U147))),2)</f>
        <v>0</v>
      </c>
      <c r="AE147" s="39" t="n">
        <f aca="false">ROUND(K147-U147-MIN(K147-U147,MAX(0,$AF147-SUMPRODUCT(--($B$4:$K$4&lt;K$4),$B147:$K147-$L147:$U147))),2)</f>
        <v>0</v>
      </c>
      <c r="AF147" s="39" t="n">
        <f aca="false">MAX(0,'Start Here'!$C$5-SUM($L147:$U147))</f>
        <v>1200</v>
      </c>
      <c r="AG147" s="39" t="n">
        <f aca="false">SUM(V147:AE147)</f>
        <v>0</v>
      </c>
      <c r="AH147" s="39" t="n">
        <f aca="false">SUM(B147:K147)-AG146</f>
        <v>0</v>
      </c>
    </row>
    <row r="148" customFormat="false" ht="15" hidden="false" customHeight="false" outlineLevel="0" collapsed="false">
      <c r="A148" s="40" t="n">
        <f aca="false">DATE(YEAR('Start Here'!$C$6),MONTH('Start Here'!$C$6)+141,1)</f>
        <v>50587</v>
      </c>
      <c r="B148" s="39" t="n">
        <f aca="false">ROUND(V147*(1+N('My Debts'!$D$6)/12),2)</f>
        <v>0</v>
      </c>
      <c r="C148" s="39" t="n">
        <f aca="false">ROUND(W147*(1+N('My Debts'!$D$7)/12),2)</f>
        <v>0</v>
      </c>
      <c r="D148" s="39" t="n">
        <f aca="false">ROUND(X147*(1+N('My Debts'!$D$8)/12),2)</f>
        <v>0</v>
      </c>
      <c r="E148" s="39" t="n">
        <f aca="false">ROUND(Y147*(1+N('My Debts'!$D$9)/12),2)</f>
        <v>0</v>
      </c>
      <c r="F148" s="39" t="n">
        <f aca="false">ROUND(Z147*(1+N('My Debts'!$D$10)/12),2)</f>
        <v>0</v>
      </c>
      <c r="G148" s="39" t="n">
        <f aca="false">ROUND(AA147*(1+N('My Debts'!$D$11)/12),2)</f>
        <v>0</v>
      </c>
      <c r="H148" s="39" t="n">
        <f aca="false">ROUND(AB147*(1+N('My Debts'!$D$12)/12),2)</f>
        <v>0</v>
      </c>
      <c r="I148" s="39" t="n">
        <f aca="false">ROUND(AC147*(1+N('My Debts'!$D$13)/12),2)</f>
        <v>0</v>
      </c>
      <c r="J148" s="39" t="n">
        <f aca="false">ROUND(AD147*(1+N('My Debts'!$D$14)/12),2)</f>
        <v>0</v>
      </c>
      <c r="K148" s="39" t="n">
        <f aca="false">ROUND(AE147*(1+N('My Debts'!$D$15)/12),2)</f>
        <v>0</v>
      </c>
      <c r="L148" s="39" t="n">
        <f aca="false">MIN(N('My Debts'!$E$6),B148)</f>
        <v>0</v>
      </c>
      <c r="M148" s="39" t="n">
        <f aca="false">MIN(N('My Debts'!$E$7),C148)</f>
        <v>0</v>
      </c>
      <c r="N148" s="39" t="n">
        <f aca="false">MIN(N('My Debts'!$E$8),D148)</f>
        <v>0</v>
      </c>
      <c r="O148" s="39" t="n">
        <f aca="false">MIN(N('My Debts'!$E$9),E148)</f>
        <v>0</v>
      </c>
      <c r="P148" s="39" t="n">
        <f aca="false">MIN(N('My Debts'!$E$10),F148)</f>
        <v>0</v>
      </c>
      <c r="Q148" s="39" t="n">
        <f aca="false">MIN(N('My Debts'!$E$11),G148)</f>
        <v>0</v>
      </c>
      <c r="R148" s="39" t="n">
        <f aca="false">MIN(N('My Debts'!$E$12),H148)</f>
        <v>0</v>
      </c>
      <c r="S148" s="39" t="n">
        <f aca="false">MIN(N('My Debts'!$E$13),I148)</f>
        <v>0</v>
      </c>
      <c r="T148" s="39" t="n">
        <f aca="false">MIN(N('My Debts'!$E$14),J148)</f>
        <v>0</v>
      </c>
      <c r="U148" s="39" t="n">
        <f aca="false">MIN(N('My Debts'!$E$15),K148)</f>
        <v>0</v>
      </c>
      <c r="V148" s="39" t="n">
        <f aca="false">ROUND(B148-L148-MIN(B148-L148,MAX(0,$AF148-SUMPRODUCT(--($B$4:$K$4&lt;B$4),$B148:$K148-$L148:$U148))),2)</f>
        <v>0</v>
      </c>
      <c r="W148" s="39" t="n">
        <f aca="false">ROUND(C148-M148-MIN(C148-M148,MAX(0,$AF148-SUMPRODUCT(--($B$4:$K$4&lt;C$4),$B148:$K148-$L148:$U148))),2)</f>
        <v>0</v>
      </c>
      <c r="X148" s="39" t="n">
        <f aca="false">ROUND(D148-N148-MIN(D148-N148,MAX(0,$AF148-SUMPRODUCT(--($B$4:$K$4&lt;D$4),$B148:$K148-$L148:$U148))),2)</f>
        <v>0</v>
      </c>
      <c r="Y148" s="39" t="n">
        <f aca="false">ROUND(E148-O148-MIN(E148-O148,MAX(0,$AF148-SUMPRODUCT(--($B$4:$K$4&lt;E$4),$B148:$K148-$L148:$U148))),2)</f>
        <v>0</v>
      </c>
      <c r="Z148" s="39" t="n">
        <f aca="false">ROUND(F148-P148-MIN(F148-P148,MAX(0,$AF148-SUMPRODUCT(--($B$4:$K$4&lt;F$4),$B148:$K148-$L148:$U148))),2)</f>
        <v>0</v>
      </c>
      <c r="AA148" s="39" t="n">
        <f aca="false">ROUND(G148-Q148-MIN(G148-Q148,MAX(0,$AF148-SUMPRODUCT(--($B$4:$K$4&lt;G$4),$B148:$K148-$L148:$U148))),2)</f>
        <v>0</v>
      </c>
      <c r="AB148" s="39" t="n">
        <f aca="false">ROUND(H148-R148-MIN(H148-R148,MAX(0,$AF148-SUMPRODUCT(--($B$4:$K$4&lt;H$4),$B148:$K148-$L148:$U148))),2)</f>
        <v>0</v>
      </c>
      <c r="AC148" s="39" t="n">
        <f aca="false">ROUND(I148-S148-MIN(I148-S148,MAX(0,$AF148-SUMPRODUCT(--($B$4:$K$4&lt;I$4),$B148:$K148-$L148:$U148))),2)</f>
        <v>0</v>
      </c>
      <c r="AD148" s="39" t="n">
        <f aca="false">ROUND(J148-T148-MIN(J148-T148,MAX(0,$AF148-SUMPRODUCT(--($B$4:$K$4&lt;J$4),$B148:$K148-$L148:$U148))),2)</f>
        <v>0</v>
      </c>
      <c r="AE148" s="39" t="n">
        <f aca="false">ROUND(K148-U148-MIN(K148-U148,MAX(0,$AF148-SUMPRODUCT(--($B$4:$K$4&lt;K$4),$B148:$K148-$L148:$U148))),2)</f>
        <v>0</v>
      </c>
      <c r="AF148" s="39" t="n">
        <f aca="false">MAX(0,'Start Here'!$C$5-SUM($L148:$U148))</f>
        <v>1200</v>
      </c>
      <c r="AG148" s="39" t="n">
        <f aca="false">SUM(V148:AE148)</f>
        <v>0</v>
      </c>
      <c r="AH148" s="39" t="n">
        <f aca="false">SUM(B148:K148)-AG147</f>
        <v>0</v>
      </c>
    </row>
    <row r="149" customFormat="false" ht="15" hidden="false" customHeight="false" outlineLevel="0" collapsed="false">
      <c r="A149" s="40" t="n">
        <f aca="false">DATE(YEAR('Start Here'!$C$6),MONTH('Start Here'!$C$6)+142,1)</f>
        <v>50618</v>
      </c>
      <c r="B149" s="39" t="n">
        <f aca="false">ROUND(V148*(1+N('My Debts'!$D$6)/12),2)</f>
        <v>0</v>
      </c>
      <c r="C149" s="39" t="n">
        <f aca="false">ROUND(W148*(1+N('My Debts'!$D$7)/12),2)</f>
        <v>0</v>
      </c>
      <c r="D149" s="39" t="n">
        <f aca="false">ROUND(X148*(1+N('My Debts'!$D$8)/12),2)</f>
        <v>0</v>
      </c>
      <c r="E149" s="39" t="n">
        <f aca="false">ROUND(Y148*(1+N('My Debts'!$D$9)/12),2)</f>
        <v>0</v>
      </c>
      <c r="F149" s="39" t="n">
        <f aca="false">ROUND(Z148*(1+N('My Debts'!$D$10)/12),2)</f>
        <v>0</v>
      </c>
      <c r="G149" s="39" t="n">
        <f aca="false">ROUND(AA148*(1+N('My Debts'!$D$11)/12),2)</f>
        <v>0</v>
      </c>
      <c r="H149" s="39" t="n">
        <f aca="false">ROUND(AB148*(1+N('My Debts'!$D$12)/12),2)</f>
        <v>0</v>
      </c>
      <c r="I149" s="39" t="n">
        <f aca="false">ROUND(AC148*(1+N('My Debts'!$D$13)/12),2)</f>
        <v>0</v>
      </c>
      <c r="J149" s="39" t="n">
        <f aca="false">ROUND(AD148*(1+N('My Debts'!$D$14)/12),2)</f>
        <v>0</v>
      </c>
      <c r="K149" s="39" t="n">
        <f aca="false">ROUND(AE148*(1+N('My Debts'!$D$15)/12),2)</f>
        <v>0</v>
      </c>
      <c r="L149" s="39" t="n">
        <f aca="false">MIN(N('My Debts'!$E$6),B149)</f>
        <v>0</v>
      </c>
      <c r="M149" s="39" t="n">
        <f aca="false">MIN(N('My Debts'!$E$7),C149)</f>
        <v>0</v>
      </c>
      <c r="N149" s="39" t="n">
        <f aca="false">MIN(N('My Debts'!$E$8),D149)</f>
        <v>0</v>
      </c>
      <c r="O149" s="39" t="n">
        <f aca="false">MIN(N('My Debts'!$E$9),E149)</f>
        <v>0</v>
      </c>
      <c r="P149" s="39" t="n">
        <f aca="false">MIN(N('My Debts'!$E$10),F149)</f>
        <v>0</v>
      </c>
      <c r="Q149" s="39" t="n">
        <f aca="false">MIN(N('My Debts'!$E$11),G149)</f>
        <v>0</v>
      </c>
      <c r="R149" s="39" t="n">
        <f aca="false">MIN(N('My Debts'!$E$12),H149)</f>
        <v>0</v>
      </c>
      <c r="S149" s="39" t="n">
        <f aca="false">MIN(N('My Debts'!$E$13),I149)</f>
        <v>0</v>
      </c>
      <c r="T149" s="39" t="n">
        <f aca="false">MIN(N('My Debts'!$E$14),J149)</f>
        <v>0</v>
      </c>
      <c r="U149" s="39" t="n">
        <f aca="false">MIN(N('My Debts'!$E$15),K149)</f>
        <v>0</v>
      </c>
      <c r="V149" s="39" t="n">
        <f aca="false">ROUND(B149-L149-MIN(B149-L149,MAX(0,$AF149-SUMPRODUCT(--($B$4:$K$4&lt;B$4),$B149:$K149-$L149:$U149))),2)</f>
        <v>0</v>
      </c>
      <c r="W149" s="39" t="n">
        <f aca="false">ROUND(C149-M149-MIN(C149-M149,MAX(0,$AF149-SUMPRODUCT(--($B$4:$K$4&lt;C$4),$B149:$K149-$L149:$U149))),2)</f>
        <v>0</v>
      </c>
      <c r="X149" s="39" t="n">
        <f aca="false">ROUND(D149-N149-MIN(D149-N149,MAX(0,$AF149-SUMPRODUCT(--($B$4:$K$4&lt;D$4),$B149:$K149-$L149:$U149))),2)</f>
        <v>0</v>
      </c>
      <c r="Y149" s="39" t="n">
        <f aca="false">ROUND(E149-O149-MIN(E149-O149,MAX(0,$AF149-SUMPRODUCT(--($B$4:$K$4&lt;E$4),$B149:$K149-$L149:$U149))),2)</f>
        <v>0</v>
      </c>
      <c r="Z149" s="39" t="n">
        <f aca="false">ROUND(F149-P149-MIN(F149-P149,MAX(0,$AF149-SUMPRODUCT(--($B$4:$K$4&lt;F$4),$B149:$K149-$L149:$U149))),2)</f>
        <v>0</v>
      </c>
      <c r="AA149" s="39" t="n">
        <f aca="false">ROUND(G149-Q149-MIN(G149-Q149,MAX(0,$AF149-SUMPRODUCT(--($B$4:$K$4&lt;G$4),$B149:$K149-$L149:$U149))),2)</f>
        <v>0</v>
      </c>
      <c r="AB149" s="39" t="n">
        <f aca="false">ROUND(H149-R149-MIN(H149-R149,MAX(0,$AF149-SUMPRODUCT(--($B$4:$K$4&lt;H$4),$B149:$K149-$L149:$U149))),2)</f>
        <v>0</v>
      </c>
      <c r="AC149" s="39" t="n">
        <f aca="false">ROUND(I149-S149-MIN(I149-S149,MAX(0,$AF149-SUMPRODUCT(--($B$4:$K$4&lt;I$4),$B149:$K149-$L149:$U149))),2)</f>
        <v>0</v>
      </c>
      <c r="AD149" s="39" t="n">
        <f aca="false">ROUND(J149-T149-MIN(J149-T149,MAX(0,$AF149-SUMPRODUCT(--($B$4:$K$4&lt;J$4),$B149:$K149-$L149:$U149))),2)</f>
        <v>0</v>
      </c>
      <c r="AE149" s="39" t="n">
        <f aca="false">ROUND(K149-U149-MIN(K149-U149,MAX(0,$AF149-SUMPRODUCT(--($B$4:$K$4&lt;K$4),$B149:$K149-$L149:$U149))),2)</f>
        <v>0</v>
      </c>
      <c r="AF149" s="39" t="n">
        <f aca="false">MAX(0,'Start Here'!$C$5-SUM($L149:$U149))</f>
        <v>1200</v>
      </c>
      <c r="AG149" s="39" t="n">
        <f aca="false">SUM(V149:AE149)</f>
        <v>0</v>
      </c>
      <c r="AH149" s="39" t="n">
        <f aca="false">SUM(B149:K149)-AG148</f>
        <v>0</v>
      </c>
    </row>
    <row r="150" customFormat="false" ht="15" hidden="false" customHeight="false" outlineLevel="0" collapsed="false">
      <c r="A150" s="40" t="n">
        <f aca="false">DATE(YEAR('Start Here'!$C$6),MONTH('Start Here'!$C$6)+143,1)</f>
        <v>50649</v>
      </c>
      <c r="B150" s="39" t="n">
        <f aca="false">ROUND(V149*(1+N('My Debts'!$D$6)/12),2)</f>
        <v>0</v>
      </c>
      <c r="C150" s="39" t="n">
        <f aca="false">ROUND(W149*(1+N('My Debts'!$D$7)/12),2)</f>
        <v>0</v>
      </c>
      <c r="D150" s="39" t="n">
        <f aca="false">ROUND(X149*(1+N('My Debts'!$D$8)/12),2)</f>
        <v>0</v>
      </c>
      <c r="E150" s="39" t="n">
        <f aca="false">ROUND(Y149*(1+N('My Debts'!$D$9)/12),2)</f>
        <v>0</v>
      </c>
      <c r="F150" s="39" t="n">
        <f aca="false">ROUND(Z149*(1+N('My Debts'!$D$10)/12),2)</f>
        <v>0</v>
      </c>
      <c r="G150" s="39" t="n">
        <f aca="false">ROUND(AA149*(1+N('My Debts'!$D$11)/12),2)</f>
        <v>0</v>
      </c>
      <c r="H150" s="39" t="n">
        <f aca="false">ROUND(AB149*(1+N('My Debts'!$D$12)/12),2)</f>
        <v>0</v>
      </c>
      <c r="I150" s="39" t="n">
        <f aca="false">ROUND(AC149*(1+N('My Debts'!$D$13)/12),2)</f>
        <v>0</v>
      </c>
      <c r="J150" s="39" t="n">
        <f aca="false">ROUND(AD149*(1+N('My Debts'!$D$14)/12),2)</f>
        <v>0</v>
      </c>
      <c r="K150" s="39" t="n">
        <f aca="false">ROUND(AE149*(1+N('My Debts'!$D$15)/12),2)</f>
        <v>0</v>
      </c>
      <c r="L150" s="39" t="n">
        <f aca="false">MIN(N('My Debts'!$E$6),B150)</f>
        <v>0</v>
      </c>
      <c r="M150" s="39" t="n">
        <f aca="false">MIN(N('My Debts'!$E$7),C150)</f>
        <v>0</v>
      </c>
      <c r="N150" s="39" t="n">
        <f aca="false">MIN(N('My Debts'!$E$8),D150)</f>
        <v>0</v>
      </c>
      <c r="O150" s="39" t="n">
        <f aca="false">MIN(N('My Debts'!$E$9),E150)</f>
        <v>0</v>
      </c>
      <c r="P150" s="39" t="n">
        <f aca="false">MIN(N('My Debts'!$E$10),F150)</f>
        <v>0</v>
      </c>
      <c r="Q150" s="39" t="n">
        <f aca="false">MIN(N('My Debts'!$E$11),G150)</f>
        <v>0</v>
      </c>
      <c r="R150" s="39" t="n">
        <f aca="false">MIN(N('My Debts'!$E$12),H150)</f>
        <v>0</v>
      </c>
      <c r="S150" s="39" t="n">
        <f aca="false">MIN(N('My Debts'!$E$13),I150)</f>
        <v>0</v>
      </c>
      <c r="T150" s="39" t="n">
        <f aca="false">MIN(N('My Debts'!$E$14),J150)</f>
        <v>0</v>
      </c>
      <c r="U150" s="39" t="n">
        <f aca="false">MIN(N('My Debts'!$E$15),K150)</f>
        <v>0</v>
      </c>
      <c r="V150" s="39" t="n">
        <f aca="false">ROUND(B150-L150-MIN(B150-L150,MAX(0,$AF150-SUMPRODUCT(--($B$4:$K$4&lt;B$4),$B150:$K150-$L150:$U150))),2)</f>
        <v>0</v>
      </c>
      <c r="W150" s="39" t="n">
        <f aca="false">ROUND(C150-M150-MIN(C150-M150,MAX(0,$AF150-SUMPRODUCT(--($B$4:$K$4&lt;C$4),$B150:$K150-$L150:$U150))),2)</f>
        <v>0</v>
      </c>
      <c r="X150" s="39" t="n">
        <f aca="false">ROUND(D150-N150-MIN(D150-N150,MAX(0,$AF150-SUMPRODUCT(--($B$4:$K$4&lt;D$4),$B150:$K150-$L150:$U150))),2)</f>
        <v>0</v>
      </c>
      <c r="Y150" s="39" t="n">
        <f aca="false">ROUND(E150-O150-MIN(E150-O150,MAX(0,$AF150-SUMPRODUCT(--($B$4:$K$4&lt;E$4),$B150:$K150-$L150:$U150))),2)</f>
        <v>0</v>
      </c>
      <c r="Z150" s="39" t="n">
        <f aca="false">ROUND(F150-P150-MIN(F150-P150,MAX(0,$AF150-SUMPRODUCT(--($B$4:$K$4&lt;F$4),$B150:$K150-$L150:$U150))),2)</f>
        <v>0</v>
      </c>
      <c r="AA150" s="39" t="n">
        <f aca="false">ROUND(G150-Q150-MIN(G150-Q150,MAX(0,$AF150-SUMPRODUCT(--($B$4:$K$4&lt;G$4),$B150:$K150-$L150:$U150))),2)</f>
        <v>0</v>
      </c>
      <c r="AB150" s="39" t="n">
        <f aca="false">ROUND(H150-R150-MIN(H150-R150,MAX(0,$AF150-SUMPRODUCT(--($B$4:$K$4&lt;H$4),$B150:$K150-$L150:$U150))),2)</f>
        <v>0</v>
      </c>
      <c r="AC150" s="39" t="n">
        <f aca="false">ROUND(I150-S150-MIN(I150-S150,MAX(0,$AF150-SUMPRODUCT(--($B$4:$K$4&lt;I$4),$B150:$K150-$L150:$U150))),2)</f>
        <v>0</v>
      </c>
      <c r="AD150" s="39" t="n">
        <f aca="false">ROUND(J150-T150-MIN(J150-T150,MAX(0,$AF150-SUMPRODUCT(--($B$4:$K$4&lt;J$4),$B150:$K150-$L150:$U150))),2)</f>
        <v>0</v>
      </c>
      <c r="AE150" s="39" t="n">
        <f aca="false">ROUND(K150-U150-MIN(K150-U150,MAX(0,$AF150-SUMPRODUCT(--($B$4:$K$4&lt;K$4),$B150:$K150-$L150:$U150))),2)</f>
        <v>0</v>
      </c>
      <c r="AF150" s="39" t="n">
        <f aca="false">MAX(0,'Start Here'!$C$5-SUM($L150:$U150))</f>
        <v>1200</v>
      </c>
      <c r="AG150" s="39" t="n">
        <f aca="false">SUM(V150:AE150)</f>
        <v>0</v>
      </c>
      <c r="AH150" s="39" t="n">
        <f aca="false">SUM(B150:K150)-AG149</f>
        <v>0</v>
      </c>
    </row>
    <row r="151" customFormat="false" ht="15" hidden="false" customHeight="false" outlineLevel="0" collapsed="false">
      <c r="A151" s="40" t="n">
        <f aca="false">DATE(YEAR('Start Here'!$C$6),MONTH('Start Here'!$C$6)+144,1)</f>
        <v>50679</v>
      </c>
      <c r="B151" s="39" t="n">
        <f aca="false">ROUND(V150*(1+N('My Debts'!$D$6)/12),2)</f>
        <v>0</v>
      </c>
      <c r="C151" s="39" t="n">
        <f aca="false">ROUND(W150*(1+N('My Debts'!$D$7)/12),2)</f>
        <v>0</v>
      </c>
      <c r="D151" s="39" t="n">
        <f aca="false">ROUND(X150*(1+N('My Debts'!$D$8)/12),2)</f>
        <v>0</v>
      </c>
      <c r="E151" s="39" t="n">
        <f aca="false">ROUND(Y150*(1+N('My Debts'!$D$9)/12),2)</f>
        <v>0</v>
      </c>
      <c r="F151" s="39" t="n">
        <f aca="false">ROUND(Z150*(1+N('My Debts'!$D$10)/12),2)</f>
        <v>0</v>
      </c>
      <c r="G151" s="39" t="n">
        <f aca="false">ROUND(AA150*(1+N('My Debts'!$D$11)/12),2)</f>
        <v>0</v>
      </c>
      <c r="H151" s="39" t="n">
        <f aca="false">ROUND(AB150*(1+N('My Debts'!$D$12)/12),2)</f>
        <v>0</v>
      </c>
      <c r="I151" s="39" t="n">
        <f aca="false">ROUND(AC150*(1+N('My Debts'!$D$13)/12),2)</f>
        <v>0</v>
      </c>
      <c r="J151" s="39" t="n">
        <f aca="false">ROUND(AD150*(1+N('My Debts'!$D$14)/12),2)</f>
        <v>0</v>
      </c>
      <c r="K151" s="39" t="n">
        <f aca="false">ROUND(AE150*(1+N('My Debts'!$D$15)/12),2)</f>
        <v>0</v>
      </c>
      <c r="L151" s="39" t="n">
        <f aca="false">MIN(N('My Debts'!$E$6),B151)</f>
        <v>0</v>
      </c>
      <c r="M151" s="39" t="n">
        <f aca="false">MIN(N('My Debts'!$E$7),C151)</f>
        <v>0</v>
      </c>
      <c r="N151" s="39" t="n">
        <f aca="false">MIN(N('My Debts'!$E$8),D151)</f>
        <v>0</v>
      </c>
      <c r="O151" s="39" t="n">
        <f aca="false">MIN(N('My Debts'!$E$9),E151)</f>
        <v>0</v>
      </c>
      <c r="P151" s="39" t="n">
        <f aca="false">MIN(N('My Debts'!$E$10),F151)</f>
        <v>0</v>
      </c>
      <c r="Q151" s="39" t="n">
        <f aca="false">MIN(N('My Debts'!$E$11),G151)</f>
        <v>0</v>
      </c>
      <c r="R151" s="39" t="n">
        <f aca="false">MIN(N('My Debts'!$E$12),H151)</f>
        <v>0</v>
      </c>
      <c r="S151" s="39" t="n">
        <f aca="false">MIN(N('My Debts'!$E$13),I151)</f>
        <v>0</v>
      </c>
      <c r="T151" s="39" t="n">
        <f aca="false">MIN(N('My Debts'!$E$14),J151)</f>
        <v>0</v>
      </c>
      <c r="U151" s="39" t="n">
        <f aca="false">MIN(N('My Debts'!$E$15),K151)</f>
        <v>0</v>
      </c>
      <c r="V151" s="39" t="n">
        <f aca="false">ROUND(B151-L151-MIN(B151-L151,MAX(0,$AF151-SUMPRODUCT(--($B$4:$K$4&lt;B$4),$B151:$K151-$L151:$U151))),2)</f>
        <v>0</v>
      </c>
      <c r="W151" s="39" t="n">
        <f aca="false">ROUND(C151-M151-MIN(C151-M151,MAX(0,$AF151-SUMPRODUCT(--($B$4:$K$4&lt;C$4),$B151:$K151-$L151:$U151))),2)</f>
        <v>0</v>
      </c>
      <c r="X151" s="39" t="n">
        <f aca="false">ROUND(D151-N151-MIN(D151-N151,MAX(0,$AF151-SUMPRODUCT(--($B$4:$K$4&lt;D$4),$B151:$K151-$L151:$U151))),2)</f>
        <v>0</v>
      </c>
      <c r="Y151" s="39" t="n">
        <f aca="false">ROUND(E151-O151-MIN(E151-O151,MAX(0,$AF151-SUMPRODUCT(--($B$4:$K$4&lt;E$4),$B151:$K151-$L151:$U151))),2)</f>
        <v>0</v>
      </c>
      <c r="Z151" s="39" t="n">
        <f aca="false">ROUND(F151-P151-MIN(F151-P151,MAX(0,$AF151-SUMPRODUCT(--($B$4:$K$4&lt;F$4),$B151:$K151-$L151:$U151))),2)</f>
        <v>0</v>
      </c>
      <c r="AA151" s="39" t="n">
        <f aca="false">ROUND(G151-Q151-MIN(G151-Q151,MAX(0,$AF151-SUMPRODUCT(--($B$4:$K$4&lt;G$4),$B151:$K151-$L151:$U151))),2)</f>
        <v>0</v>
      </c>
      <c r="AB151" s="39" t="n">
        <f aca="false">ROUND(H151-R151-MIN(H151-R151,MAX(0,$AF151-SUMPRODUCT(--($B$4:$K$4&lt;H$4),$B151:$K151-$L151:$U151))),2)</f>
        <v>0</v>
      </c>
      <c r="AC151" s="39" t="n">
        <f aca="false">ROUND(I151-S151-MIN(I151-S151,MAX(0,$AF151-SUMPRODUCT(--($B$4:$K$4&lt;I$4),$B151:$K151-$L151:$U151))),2)</f>
        <v>0</v>
      </c>
      <c r="AD151" s="39" t="n">
        <f aca="false">ROUND(J151-T151-MIN(J151-T151,MAX(0,$AF151-SUMPRODUCT(--($B$4:$K$4&lt;J$4),$B151:$K151-$L151:$U151))),2)</f>
        <v>0</v>
      </c>
      <c r="AE151" s="39" t="n">
        <f aca="false">ROUND(K151-U151-MIN(K151-U151,MAX(0,$AF151-SUMPRODUCT(--($B$4:$K$4&lt;K$4),$B151:$K151-$L151:$U151))),2)</f>
        <v>0</v>
      </c>
      <c r="AF151" s="39" t="n">
        <f aca="false">MAX(0,'Start Here'!$C$5-SUM($L151:$U151))</f>
        <v>1200</v>
      </c>
      <c r="AG151" s="39" t="n">
        <f aca="false">SUM(V151:AE151)</f>
        <v>0</v>
      </c>
      <c r="AH151" s="39" t="n">
        <f aca="false">SUM(B151:K151)-AG150</f>
        <v>0</v>
      </c>
    </row>
    <row r="152" customFormat="false" ht="15" hidden="false" customHeight="false" outlineLevel="0" collapsed="false">
      <c r="A152" s="40" t="n">
        <f aca="false">DATE(YEAR('Start Here'!$C$6),MONTH('Start Here'!$C$6)+145,1)</f>
        <v>50710</v>
      </c>
      <c r="B152" s="39" t="n">
        <f aca="false">ROUND(V151*(1+N('My Debts'!$D$6)/12),2)</f>
        <v>0</v>
      </c>
      <c r="C152" s="39" t="n">
        <f aca="false">ROUND(W151*(1+N('My Debts'!$D$7)/12),2)</f>
        <v>0</v>
      </c>
      <c r="D152" s="39" t="n">
        <f aca="false">ROUND(X151*(1+N('My Debts'!$D$8)/12),2)</f>
        <v>0</v>
      </c>
      <c r="E152" s="39" t="n">
        <f aca="false">ROUND(Y151*(1+N('My Debts'!$D$9)/12),2)</f>
        <v>0</v>
      </c>
      <c r="F152" s="39" t="n">
        <f aca="false">ROUND(Z151*(1+N('My Debts'!$D$10)/12),2)</f>
        <v>0</v>
      </c>
      <c r="G152" s="39" t="n">
        <f aca="false">ROUND(AA151*(1+N('My Debts'!$D$11)/12),2)</f>
        <v>0</v>
      </c>
      <c r="H152" s="39" t="n">
        <f aca="false">ROUND(AB151*(1+N('My Debts'!$D$12)/12),2)</f>
        <v>0</v>
      </c>
      <c r="I152" s="39" t="n">
        <f aca="false">ROUND(AC151*(1+N('My Debts'!$D$13)/12),2)</f>
        <v>0</v>
      </c>
      <c r="J152" s="39" t="n">
        <f aca="false">ROUND(AD151*(1+N('My Debts'!$D$14)/12),2)</f>
        <v>0</v>
      </c>
      <c r="K152" s="39" t="n">
        <f aca="false">ROUND(AE151*(1+N('My Debts'!$D$15)/12),2)</f>
        <v>0</v>
      </c>
      <c r="L152" s="39" t="n">
        <f aca="false">MIN(N('My Debts'!$E$6),B152)</f>
        <v>0</v>
      </c>
      <c r="M152" s="39" t="n">
        <f aca="false">MIN(N('My Debts'!$E$7),C152)</f>
        <v>0</v>
      </c>
      <c r="N152" s="39" t="n">
        <f aca="false">MIN(N('My Debts'!$E$8),D152)</f>
        <v>0</v>
      </c>
      <c r="O152" s="39" t="n">
        <f aca="false">MIN(N('My Debts'!$E$9),E152)</f>
        <v>0</v>
      </c>
      <c r="P152" s="39" t="n">
        <f aca="false">MIN(N('My Debts'!$E$10),F152)</f>
        <v>0</v>
      </c>
      <c r="Q152" s="39" t="n">
        <f aca="false">MIN(N('My Debts'!$E$11),G152)</f>
        <v>0</v>
      </c>
      <c r="R152" s="39" t="n">
        <f aca="false">MIN(N('My Debts'!$E$12),H152)</f>
        <v>0</v>
      </c>
      <c r="S152" s="39" t="n">
        <f aca="false">MIN(N('My Debts'!$E$13),I152)</f>
        <v>0</v>
      </c>
      <c r="T152" s="39" t="n">
        <f aca="false">MIN(N('My Debts'!$E$14),J152)</f>
        <v>0</v>
      </c>
      <c r="U152" s="39" t="n">
        <f aca="false">MIN(N('My Debts'!$E$15),K152)</f>
        <v>0</v>
      </c>
      <c r="V152" s="39" t="n">
        <f aca="false">ROUND(B152-L152-MIN(B152-L152,MAX(0,$AF152-SUMPRODUCT(--($B$4:$K$4&lt;B$4),$B152:$K152-$L152:$U152))),2)</f>
        <v>0</v>
      </c>
      <c r="W152" s="39" t="n">
        <f aca="false">ROUND(C152-M152-MIN(C152-M152,MAX(0,$AF152-SUMPRODUCT(--($B$4:$K$4&lt;C$4),$B152:$K152-$L152:$U152))),2)</f>
        <v>0</v>
      </c>
      <c r="X152" s="39" t="n">
        <f aca="false">ROUND(D152-N152-MIN(D152-N152,MAX(0,$AF152-SUMPRODUCT(--($B$4:$K$4&lt;D$4),$B152:$K152-$L152:$U152))),2)</f>
        <v>0</v>
      </c>
      <c r="Y152" s="39" t="n">
        <f aca="false">ROUND(E152-O152-MIN(E152-O152,MAX(0,$AF152-SUMPRODUCT(--($B$4:$K$4&lt;E$4),$B152:$K152-$L152:$U152))),2)</f>
        <v>0</v>
      </c>
      <c r="Z152" s="39" t="n">
        <f aca="false">ROUND(F152-P152-MIN(F152-P152,MAX(0,$AF152-SUMPRODUCT(--($B$4:$K$4&lt;F$4),$B152:$K152-$L152:$U152))),2)</f>
        <v>0</v>
      </c>
      <c r="AA152" s="39" t="n">
        <f aca="false">ROUND(G152-Q152-MIN(G152-Q152,MAX(0,$AF152-SUMPRODUCT(--($B$4:$K$4&lt;G$4),$B152:$K152-$L152:$U152))),2)</f>
        <v>0</v>
      </c>
      <c r="AB152" s="39" t="n">
        <f aca="false">ROUND(H152-R152-MIN(H152-R152,MAX(0,$AF152-SUMPRODUCT(--($B$4:$K$4&lt;H$4),$B152:$K152-$L152:$U152))),2)</f>
        <v>0</v>
      </c>
      <c r="AC152" s="39" t="n">
        <f aca="false">ROUND(I152-S152-MIN(I152-S152,MAX(0,$AF152-SUMPRODUCT(--($B$4:$K$4&lt;I$4),$B152:$K152-$L152:$U152))),2)</f>
        <v>0</v>
      </c>
      <c r="AD152" s="39" t="n">
        <f aca="false">ROUND(J152-T152-MIN(J152-T152,MAX(0,$AF152-SUMPRODUCT(--($B$4:$K$4&lt;J$4),$B152:$K152-$L152:$U152))),2)</f>
        <v>0</v>
      </c>
      <c r="AE152" s="39" t="n">
        <f aca="false">ROUND(K152-U152-MIN(K152-U152,MAX(0,$AF152-SUMPRODUCT(--($B$4:$K$4&lt;K$4),$B152:$K152-$L152:$U152))),2)</f>
        <v>0</v>
      </c>
      <c r="AF152" s="39" t="n">
        <f aca="false">MAX(0,'Start Here'!$C$5-SUM($L152:$U152))</f>
        <v>1200</v>
      </c>
      <c r="AG152" s="39" t="n">
        <f aca="false">SUM(V152:AE152)</f>
        <v>0</v>
      </c>
      <c r="AH152" s="39" t="n">
        <f aca="false">SUM(B152:K152)-AG151</f>
        <v>0</v>
      </c>
    </row>
    <row r="153" customFormat="false" ht="15" hidden="false" customHeight="false" outlineLevel="0" collapsed="false">
      <c r="A153" s="40" t="n">
        <f aca="false">DATE(YEAR('Start Here'!$C$6),MONTH('Start Here'!$C$6)+146,1)</f>
        <v>50740</v>
      </c>
      <c r="B153" s="39" t="n">
        <f aca="false">ROUND(V152*(1+N('My Debts'!$D$6)/12),2)</f>
        <v>0</v>
      </c>
      <c r="C153" s="39" t="n">
        <f aca="false">ROUND(W152*(1+N('My Debts'!$D$7)/12),2)</f>
        <v>0</v>
      </c>
      <c r="D153" s="39" t="n">
        <f aca="false">ROUND(X152*(1+N('My Debts'!$D$8)/12),2)</f>
        <v>0</v>
      </c>
      <c r="E153" s="39" t="n">
        <f aca="false">ROUND(Y152*(1+N('My Debts'!$D$9)/12),2)</f>
        <v>0</v>
      </c>
      <c r="F153" s="39" t="n">
        <f aca="false">ROUND(Z152*(1+N('My Debts'!$D$10)/12),2)</f>
        <v>0</v>
      </c>
      <c r="G153" s="39" t="n">
        <f aca="false">ROUND(AA152*(1+N('My Debts'!$D$11)/12),2)</f>
        <v>0</v>
      </c>
      <c r="H153" s="39" t="n">
        <f aca="false">ROUND(AB152*(1+N('My Debts'!$D$12)/12),2)</f>
        <v>0</v>
      </c>
      <c r="I153" s="39" t="n">
        <f aca="false">ROUND(AC152*(1+N('My Debts'!$D$13)/12),2)</f>
        <v>0</v>
      </c>
      <c r="J153" s="39" t="n">
        <f aca="false">ROUND(AD152*(1+N('My Debts'!$D$14)/12),2)</f>
        <v>0</v>
      </c>
      <c r="K153" s="39" t="n">
        <f aca="false">ROUND(AE152*(1+N('My Debts'!$D$15)/12),2)</f>
        <v>0</v>
      </c>
      <c r="L153" s="39" t="n">
        <f aca="false">MIN(N('My Debts'!$E$6),B153)</f>
        <v>0</v>
      </c>
      <c r="M153" s="39" t="n">
        <f aca="false">MIN(N('My Debts'!$E$7),C153)</f>
        <v>0</v>
      </c>
      <c r="N153" s="39" t="n">
        <f aca="false">MIN(N('My Debts'!$E$8),D153)</f>
        <v>0</v>
      </c>
      <c r="O153" s="39" t="n">
        <f aca="false">MIN(N('My Debts'!$E$9),E153)</f>
        <v>0</v>
      </c>
      <c r="P153" s="39" t="n">
        <f aca="false">MIN(N('My Debts'!$E$10),F153)</f>
        <v>0</v>
      </c>
      <c r="Q153" s="39" t="n">
        <f aca="false">MIN(N('My Debts'!$E$11),G153)</f>
        <v>0</v>
      </c>
      <c r="R153" s="39" t="n">
        <f aca="false">MIN(N('My Debts'!$E$12),H153)</f>
        <v>0</v>
      </c>
      <c r="S153" s="39" t="n">
        <f aca="false">MIN(N('My Debts'!$E$13),I153)</f>
        <v>0</v>
      </c>
      <c r="T153" s="39" t="n">
        <f aca="false">MIN(N('My Debts'!$E$14),J153)</f>
        <v>0</v>
      </c>
      <c r="U153" s="39" t="n">
        <f aca="false">MIN(N('My Debts'!$E$15),K153)</f>
        <v>0</v>
      </c>
      <c r="V153" s="39" t="n">
        <f aca="false">ROUND(B153-L153-MIN(B153-L153,MAX(0,$AF153-SUMPRODUCT(--($B$4:$K$4&lt;B$4),$B153:$K153-$L153:$U153))),2)</f>
        <v>0</v>
      </c>
      <c r="W153" s="39" t="n">
        <f aca="false">ROUND(C153-M153-MIN(C153-M153,MAX(0,$AF153-SUMPRODUCT(--($B$4:$K$4&lt;C$4),$B153:$K153-$L153:$U153))),2)</f>
        <v>0</v>
      </c>
      <c r="X153" s="39" t="n">
        <f aca="false">ROUND(D153-N153-MIN(D153-N153,MAX(0,$AF153-SUMPRODUCT(--($B$4:$K$4&lt;D$4),$B153:$K153-$L153:$U153))),2)</f>
        <v>0</v>
      </c>
      <c r="Y153" s="39" t="n">
        <f aca="false">ROUND(E153-O153-MIN(E153-O153,MAX(0,$AF153-SUMPRODUCT(--($B$4:$K$4&lt;E$4),$B153:$K153-$L153:$U153))),2)</f>
        <v>0</v>
      </c>
      <c r="Z153" s="39" t="n">
        <f aca="false">ROUND(F153-P153-MIN(F153-P153,MAX(0,$AF153-SUMPRODUCT(--($B$4:$K$4&lt;F$4),$B153:$K153-$L153:$U153))),2)</f>
        <v>0</v>
      </c>
      <c r="AA153" s="39" t="n">
        <f aca="false">ROUND(G153-Q153-MIN(G153-Q153,MAX(0,$AF153-SUMPRODUCT(--($B$4:$K$4&lt;G$4),$B153:$K153-$L153:$U153))),2)</f>
        <v>0</v>
      </c>
      <c r="AB153" s="39" t="n">
        <f aca="false">ROUND(H153-R153-MIN(H153-R153,MAX(0,$AF153-SUMPRODUCT(--($B$4:$K$4&lt;H$4),$B153:$K153-$L153:$U153))),2)</f>
        <v>0</v>
      </c>
      <c r="AC153" s="39" t="n">
        <f aca="false">ROUND(I153-S153-MIN(I153-S153,MAX(0,$AF153-SUMPRODUCT(--($B$4:$K$4&lt;I$4),$B153:$K153-$L153:$U153))),2)</f>
        <v>0</v>
      </c>
      <c r="AD153" s="39" t="n">
        <f aca="false">ROUND(J153-T153-MIN(J153-T153,MAX(0,$AF153-SUMPRODUCT(--($B$4:$K$4&lt;J$4),$B153:$K153-$L153:$U153))),2)</f>
        <v>0</v>
      </c>
      <c r="AE153" s="39" t="n">
        <f aca="false">ROUND(K153-U153-MIN(K153-U153,MAX(0,$AF153-SUMPRODUCT(--($B$4:$K$4&lt;K$4),$B153:$K153-$L153:$U153))),2)</f>
        <v>0</v>
      </c>
      <c r="AF153" s="39" t="n">
        <f aca="false">MAX(0,'Start Here'!$C$5-SUM($L153:$U153))</f>
        <v>1200</v>
      </c>
      <c r="AG153" s="39" t="n">
        <f aca="false">SUM(V153:AE153)</f>
        <v>0</v>
      </c>
      <c r="AH153" s="39" t="n">
        <f aca="false">SUM(B153:K153)-AG152</f>
        <v>0</v>
      </c>
    </row>
    <row r="154" customFormat="false" ht="15" hidden="false" customHeight="false" outlineLevel="0" collapsed="false">
      <c r="A154" s="40" t="n">
        <f aca="false">DATE(YEAR('Start Here'!$C$6),MONTH('Start Here'!$C$6)+147,1)</f>
        <v>50771</v>
      </c>
      <c r="B154" s="39" t="n">
        <f aca="false">ROUND(V153*(1+N('My Debts'!$D$6)/12),2)</f>
        <v>0</v>
      </c>
      <c r="C154" s="39" t="n">
        <f aca="false">ROUND(W153*(1+N('My Debts'!$D$7)/12),2)</f>
        <v>0</v>
      </c>
      <c r="D154" s="39" t="n">
        <f aca="false">ROUND(X153*(1+N('My Debts'!$D$8)/12),2)</f>
        <v>0</v>
      </c>
      <c r="E154" s="39" t="n">
        <f aca="false">ROUND(Y153*(1+N('My Debts'!$D$9)/12),2)</f>
        <v>0</v>
      </c>
      <c r="F154" s="39" t="n">
        <f aca="false">ROUND(Z153*(1+N('My Debts'!$D$10)/12),2)</f>
        <v>0</v>
      </c>
      <c r="G154" s="39" t="n">
        <f aca="false">ROUND(AA153*(1+N('My Debts'!$D$11)/12),2)</f>
        <v>0</v>
      </c>
      <c r="H154" s="39" t="n">
        <f aca="false">ROUND(AB153*(1+N('My Debts'!$D$12)/12),2)</f>
        <v>0</v>
      </c>
      <c r="I154" s="39" t="n">
        <f aca="false">ROUND(AC153*(1+N('My Debts'!$D$13)/12),2)</f>
        <v>0</v>
      </c>
      <c r="J154" s="39" t="n">
        <f aca="false">ROUND(AD153*(1+N('My Debts'!$D$14)/12),2)</f>
        <v>0</v>
      </c>
      <c r="K154" s="39" t="n">
        <f aca="false">ROUND(AE153*(1+N('My Debts'!$D$15)/12),2)</f>
        <v>0</v>
      </c>
      <c r="L154" s="39" t="n">
        <f aca="false">MIN(N('My Debts'!$E$6),B154)</f>
        <v>0</v>
      </c>
      <c r="M154" s="39" t="n">
        <f aca="false">MIN(N('My Debts'!$E$7),C154)</f>
        <v>0</v>
      </c>
      <c r="N154" s="39" t="n">
        <f aca="false">MIN(N('My Debts'!$E$8),D154)</f>
        <v>0</v>
      </c>
      <c r="O154" s="39" t="n">
        <f aca="false">MIN(N('My Debts'!$E$9),E154)</f>
        <v>0</v>
      </c>
      <c r="P154" s="39" t="n">
        <f aca="false">MIN(N('My Debts'!$E$10),F154)</f>
        <v>0</v>
      </c>
      <c r="Q154" s="39" t="n">
        <f aca="false">MIN(N('My Debts'!$E$11),G154)</f>
        <v>0</v>
      </c>
      <c r="R154" s="39" t="n">
        <f aca="false">MIN(N('My Debts'!$E$12),H154)</f>
        <v>0</v>
      </c>
      <c r="S154" s="39" t="n">
        <f aca="false">MIN(N('My Debts'!$E$13),I154)</f>
        <v>0</v>
      </c>
      <c r="T154" s="39" t="n">
        <f aca="false">MIN(N('My Debts'!$E$14),J154)</f>
        <v>0</v>
      </c>
      <c r="U154" s="39" t="n">
        <f aca="false">MIN(N('My Debts'!$E$15),K154)</f>
        <v>0</v>
      </c>
      <c r="V154" s="39" t="n">
        <f aca="false">ROUND(B154-L154-MIN(B154-L154,MAX(0,$AF154-SUMPRODUCT(--($B$4:$K$4&lt;B$4),$B154:$K154-$L154:$U154))),2)</f>
        <v>0</v>
      </c>
      <c r="W154" s="39" t="n">
        <f aca="false">ROUND(C154-M154-MIN(C154-M154,MAX(0,$AF154-SUMPRODUCT(--($B$4:$K$4&lt;C$4),$B154:$K154-$L154:$U154))),2)</f>
        <v>0</v>
      </c>
      <c r="X154" s="39" t="n">
        <f aca="false">ROUND(D154-N154-MIN(D154-N154,MAX(0,$AF154-SUMPRODUCT(--($B$4:$K$4&lt;D$4),$B154:$K154-$L154:$U154))),2)</f>
        <v>0</v>
      </c>
      <c r="Y154" s="39" t="n">
        <f aca="false">ROUND(E154-O154-MIN(E154-O154,MAX(0,$AF154-SUMPRODUCT(--($B$4:$K$4&lt;E$4),$B154:$K154-$L154:$U154))),2)</f>
        <v>0</v>
      </c>
      <c r="Z154" s="39" t="n">
        <f aca="false">ROUND(F154-P154-MIN(F154-P154,MAX(0,$AF154-SUMPRODUCT(--($B$4:$K$4&lt;F$4),$B154:$K154-$L154:$U154))),2)</f>
        <v>0</v>
      </c>
      <c r="AA154" s="39" t="n">
        <f aca="false">ROUND(G154-Q154-MIN(G154-Q154,MAX(0,$AF154-SUMPRODUCT(--($B$4:$K$4&lt;G$4),$B154:$K154-$L154:$U154))),2)</f>
        <v>0</v>
      </c>
      <c r="AB154" s="39" t="n">
        <f aca="false">ROUND(H154-R154-MIN(H154-R154,MAX(0,$AF154-SUMPRODUCT(--($B$4:$K$4&lt;H$4),$B154:$K154-$L154:$U154))),2)</f>
        <v>0</v>
      </c>
      <c r="AC154" s="39" t="n">
        <f aca="false">ROUND(I154-S154-MIN(I154-S154,MAX(0,$AF154-SUMPRODUCT(--($B$4:$K$4&lt;I$4),$B154:$K154-$L154:$U154))),2)</f>
        <v>0</v>
      </c>
      <c r="AD154" s="39" t="n">
        <f aca="false">ROUND(J154-T154-MIN(J154-T154,MAX(0,$AF154-SUMPRODUCT(--($B$4:$K$4&lt;J$4),$B154:$K154-$L154:$U154))),2)</f>
        <v>0</v>
      </c>
      <c r="AE154" s="39" t="n">
        <f aca="false">ROUND(K154-U154-MIN(K154-U154,MAX(0,$AF154-SUMPRODUCT(--($B$4:$K$4&lt;K$4),$B154:$K154-$L154:$U154))),2)</f>
        <v>0</v>
      </c>
      <c r="AF154" s="39" t="n">
        <f aca="false">MAX(0,'Start Here'!$C$5-SUM($L154:$U154))</f>
        <v>1200</v>
      </c>
      <c r="AG154" s="39" t="n">
        <f aca="false">SUM(V154:AE154)</f>
        <v>0</v>
      </c>
      <c r="AH154" s="39" t="n">
        <f aca="false">SUM(B154:K154)-AG153</f>
        <v>0</v>
      </c>
    </row>
    <row r="155" customFormat="false" ht="15" hidden="false" customHeight="false" outlineLevel="0" collapsed="false">
      <c r="A155" s="40" t="n">
        <f aca="false">DATE(YEAR('Start Here'!$C$6),MONTH('Start Here'!$C$6)+148,1)</f>
        <v>50802</v>
      </c>
      <c r="B155" s="39" t="n">
        <f aca="false">ROUND(V154*(1+N('My Debts'!$D$6)/12),2)</f>
        <v>0</v>
      </c>
      <c r="C155" s="39" t="n">
        <f aca="false">ROUND(W154*(1+N('My Debts'!$D$7)/12),2)</f>
        <v>0</v>
      </c>
      <c r="D155" s="39" t="n">
        <f aca="false">ROUND(X154*(1+N('My Debts'!$D$8)/12),2)</f>
        <v>0</v>
      </c>
      <c r="E155" s="39" t="n">
        <f aca="false">ROUND(Y154*(1+N('My Debts'!$D$9)/12),2)</f>
        <v>0</v>
      </c>
      <c r="F155" s="39" t="n">
        <f aca="false">ROUND(Z154*(1+N('My Debts'!$D$10)/12),2)</f>
        <v>0</v>
      </c>
      <c r="G155" s="39" t="n">
        <f aca="false">ROUND(AA154*(1+N('My Debts'!$D$11)/12),2)</f>
        <v>0</v>
      </c>
      <c r="H155" s="39" t="n">
        <f aca="false">ROUND(AB154*(1+N('My Debts'!$D$12)/12),2)</f>
        <v>0</v>
      </c>
      <c r="I155" s="39" t="n">
        <f aca="false">ROUND(AC154*(1+N('My Debts'!$D$13)/12),2)</f>
        <v>0</v>
      </c>
      <c r="J155" s="39" t="n">
        <f aca="false">ROUND(AD154*(1+N('My Debts'!$D$14)/12),2)</f>
        <v>0</v>
      </c>
      <c r="K155" s="39" t="n">
        <f aca="false">ROUND(AE154*(1+N('My Debts'!$D$15)/12),2)</f>
        <v>0</v>
      </c>
      <c r="L155" s="39" t="n">
        <f aca="false">MIN(N('My Debts'!$E$6),B155)</f>
        <v>0</v>
      </c>
      <c r="M155" s="39" t="n">
        <f aca="false">MIN(N('My Debts'!$E$7),C155)</f>
        <v>0</v>
      </c>
      <c r="N155" s="39" t="n">
        <f aca="false">MIN(N('My Debts'!$E$8),D155)</f>
        <v>0</v>
      </c>
      <c r="O155" s="39" t="n">
        <f aca="false">MIN(N('My Debts'!$E$9),E155)</f>
        <v>0</v>
      </c>
      <c r="P155" s="39" t="n">
        <f aca="false">MIN(N('My Debts'!$E$10),F155)</f>
        <v>0</v>
      </c>
      <c r="Q155" s="39" t="n">
        <f aca="false">MIN(N('My Debts'!$E$11),G155)</f>
        <v>0</v>
      </c>
      <c r="R155" s="39" t="n">
        <f aca="false">MIN(N('My Debts'!$E$12),H155)</f>
        <v>0</v>
      </c>
      <c r="S155" s="39" t="n">
        <f aca="false">MIN(N('My Debts'!$E$13),I155)</f>
        <v>0</v>
      </c>
      <c r="T155" s="39" t="n">
        <f aca="false">MIN(N('My Debts'!$E$14),J155)</f>
        <v>0</v>
      </c>
      <c r="U155" s="39" t="n">
        <f aca="false">MIN(N('My Debts'!$E$15),K155)</f>
        <v>0</v>
      </c>
      <c r="V155" s="39" t="n">
        <f aca="false">ROUND(B155-L155-MIN(B155-L155,MAX(0,$AF155-SUMPRODUCT(--($B$4:$K$4&lt;B$4),$B155:$K155-$L155:$U155))),2)</f>
        <v>0</v>
      </c>
      <c r="W155" s="39" t="n">
        <f aca="false">ROUND(C155-M155-MIN(C155-M155,MAX(0,$AF155-SUMPRODUCT(--($B$4:$K$4&lt;C$4),$B155:$K155-$L155:$U155))),2)</f>
        <v>0</v>
      </c>
      <c r="X155" s="39" t="n">
        <f aca="false">ROUND(D155-N155-MIN(D155-N155,MAX(0,$AF155-SUMPRODUCT(--($B$4:$K$4&lt;D$4),$B155:$K155-$L155:$U155))),2)</f>
        <v>0</v>
      </c>
      <c r="Y155" s="39" t="n">
        <f aca="false">ROUND(E155-O155-MIN(E155-O155,MAX(0,$AF155-SUMPRODUCT(--($B$4:$K$4&lt;E$4),$B155:$K155-$L155:$U155))),2)</f>
        <v>0</v>
      </c>
      <c r="Z155" s="39" t="n">
        <f aca="false">ROUND(F155-P155-MIN(F155-P155,MAX(0,$AF155-SUMPRODUCT(--($B$4:$K$4&lt;F$4),$B155:$K155-$L155:$U155))),2)</f>
        <v>0</v>
      </c>
      <c r="AA155" s="39" t="n">
        <f aca="false">ROUND(G155-Q155-MIN(G155-Q155,MAX(0,$AF155-SUMPRODUCT(--($B$4:$K$4&lt;G$4),$B155:$K155-$L155:$U155))),2)</f>
        <v>0</v>
      </c>
      <c r="AB155" s="39" t="n">
        <f aca="false">ROUND(H155-R155-MIN(H155-R155,MAX(0,$AF155-SUMPRODUCT(--($B$4:$K$4&lt;H$4),$B155:$K155-$L155:$U155))),2)</f>
        <v>0</v>
      </c>
      <c r="AC155" s="39" t="n">
        <f aca="false">ROUND(I155-S155-MIN(I155-S155,MAX(0,$AF155-SUMPRODUCT(--($B$4:$K$4&lt;I$4),$B155:$K155-$L155:$U155))),2)</f>
        <v>0</v>
      </c>
      <c r="AD155" s="39" t="n">
        <f aca="false">ROUND(J155-T155-MIN(J155-T155,MAX(0,$AF155-SUMPRODUCT(--($B$4:$K$4&lt;J$4),$B155:$K155-$L155:$U155))),2)</f>
        <v>0</v>
      </c>
      <c r="AE155" s="39" t="n">
        <f aca="false">ROUND(K155-U155-MIN(K155-U155,MAX(0,$AF155-SUMPRODUCT(--($B$4:$K$4&lt;K$4),$B155:$K155-$L155:$U155))),2)</f>
        <v>0</v>
      </c>
      <c r="AF155" s="39" t="n">
        <f aca="false">MAX(0,'Start Here'!$C$5-SUM($L155:$U155))</f>
        <v>1200</v>
      </c>
      <c r="AG155" s="39" t="n">
        <f aca="false">SUM(V155:AE155)</f>
        <v>0</v>
      </c>
      <c r="AH155" s="39" t="n">
        <f aca="false">SUM(B155:K155)-AG154</f>
        <v>0</v>
      </c>
    </row>
    <row r="156" customFormat="false" ht="15" hidden="false" customHeight="false" outlineLevel="0" collapsed="false">
      <c r="A156" s="40" t="n">
        <f aca="false">DATE(YEAR('Start Here'!$C$6),MONTH('Start Here'!$C$6)+149,1)</f>
        <v>50830</v>
      </c>
      <c r="B156" s="39" t="n">
        <f aca="false">ROUND(V155*(1+N('My Debts'!$D$6)/12),2)</f>
        <v>0</v>
      </c>
      <c r="C156" s="39" t="n">
        <f aca="false">ROUND(W155*(1+N('My Debts'!$D$7)/12),2)</f>
        <v>0</v>
      </c>
      <c r="D156" s="39" t="n">
        <f aca="false">ROUND(X155*(1+N('My Debts'!$D$8)/12),2)</f>
        <v>0</v>
      </c>
      <c r="E156" s="39" t="n">
        <f aca="false">ROUND(Y155*(1+N('My Debts'!$D$9)/12),2)</f>
        <v>0</v>
      </c>
      <c r="F156" s="39" t="n">
        <f aca="false">ROUND(Z155*(1+N('My Debts'!$D$10)/12),2)</f>
        <v>0</v>
      </c>
      <c r="G156" s="39" t="n">
        <f aca="false">ROUND(AA155*(1+N('My Debts'!$D$11)/12),2)</f>
        <v>0</v>
      </c>
      <c r="H156" s="39" t="n">
        <f aca="false">ROUND(AB155*(1+N('My Debts'!$D$12)/12),2)</f>
        <v>0</v>
      </c>
      <c r="I156" s="39" t="n">
        <f aca="false">ROUND(AC155*(1+N('My Debts'!$D$13)/12),2)</f>
        <v>0</v>
      </c>
      <c r="J156" s="39" t="n">
        <f aca="false">ROUND(AD155*(1+N('My Debts'!$D$14)/12),2)</f>
        <v>0</v>
      </c>
      <c r="K156" s="39" t="n">
        <f aca="false">ROUND(AE155*(1+N('My Debts'!$D$15)/12),2)</f>
        <v>0</v>
      </c>
      <c r="L156" s="39" t="n">
        <f aca="false">MIN(N('My Debts'!$E$6),B156)</f>
        <v>0</v>
      </c>
      <c r="M156" s="39" t="n">
        <f aca="false">MIN(N('My Debts'!$E$7),C156)</f>
        <v>0</v>
      </c>
      <c r="N156" s="39" t="n">
        <f aca="false">MIN(N('My Debts'!$E$8),D156)</f>
        <v>0</v>
      </c>
      <c r="O156" s="39" t="n">
        <f aca="false">MIN(N('My Debts'!$E$9),E156)</f>
        <v>0</v>
      </c>
      <c r="P156" s="39" t="n">
        <f aca="false">MIN(N('My Debts'!$E$10),F156)</f>
        <v>0</v>
      </c>
      <c r="Q156" s="39" t="n">
        <f aca="false">MIN(N('My Debts'!$E$11),G156)</f>
        <v>0</v>
      </c>
      <c r="R156" s="39" t="n">
        <f aca="false">MIN(N('My Debts'!$E$12),H156)</f>
        <v>0</v>
      </c>
      <c r="S156" s="39" t="n">
        <f aca="false">MIN(N('My Debts'!$E$13),I156)</f>
        <v>0</v>
      </c>
      <c r="T156" s="39" t="n">
        <f aca="false">MIN(N('My Debts'!$E$14),J156)</f>
        <v>0</v>
      </c>
      <c r="U156" s="39" t="n">
        <f aca="false">MIN(N('My Debts'!$E$15),K156)</f>
        <v>0</v>
      </c>
      <c r="V156" s="39" t="n">
        <f aca="false">ROUND(B156-L156-MIN(B156-L156,MAX(0,$AF156-SUMPRODUCT(--($B$4:$K$4&lt;B$4),$B156:$K156-$L156:$U156))),2)</f>
        <v>0</v>
      </c>
      <c r="W156" s="39" t="n">
        <f aca="false">ROUND(C156-M156-MIN(C156-M156,MAX(0,$AF156-SUMPRODUCT(--($B$4:$K$4&lt;C$4),$B156:$K156-$L156:$U156))),2)</f>
        <v>0</v>
      </c>
      <c r="X156" s="39" t="n">
        <f aca="false">ROUND(D156-N156-MIN(D156-N156,MAX(0,$AF156-SUMPRODUCT(--($B$4:$K$4&lt;D$4),$B156:$K156-$L156:$U156))),2)</f>
        <v>0</v>
      </c>
      <c r="Y156" s="39" t="n">
        <f aca="false">ROUND(E156-O156-MIN(E156-O156,MAX(0,$AF156-SUMPRODUCT(--($B$4:$K$4&lt;E$4),$B156:$K156-$L156:$U156))),2)</f>
        <v>0</v>
      </c>
      <c r="Z156" s="39" t="n">
        <f aca="false">ROUND(F156-P156-MIN(F156-P156,MAX(0,$AF156-SUMPRODUCT(--($B$4:$K$4&lt;F$4),$B156:$K156-$L156:$U156))),2)</f>
        <v>0</v>
      </c>
      <c r="AA156" s="39" t="n">
        <f aca="false">ROUND(G156-Q156-MIN(G156-Q156,MAX(0,$AF156-SUMPRODUCT(--($B$4:$K$4&lt;G$4),$B156:$K156-$L156:$U156))),2)</f>
        <v>0</v>
      </c>
      <c r="AB156" s="39" t="n">
        <f aca="false">ROUND(H156-R156-MIN(H156-R156,MAX(0,$AF156-SUMPRODUCT(--($B$4:$K$4&lt;H$4),$B156:$K156-$L156:$U156))),2)</f>
        <v>0</v>
      </c>
      <c r="AC156" s="39" t="n">
        <f aca="false">ROUND(I156-S156-MIN(I156-S156,MAX(0,$AF156-SUMPRODUCT(--($B$4:$K$4&lt;I$4),$B156:$K156-$L156:$U156))),2)</f>
        <v>0</v>
      </c>
      <c r="AD156" s="39" t="n">
        <f aca="false">ROUND(J156-T156-MIN(J156-T156,MAX(0,$AF156-SUMPRODUCT(--($B$4:$K$4&lt;J$4),$B156:$K156-$L156:$U156))),2)</f>
        <v>0</v>
      </c>
      <c r="AE156" s="39" t="n">
        <f aca="false">ROUND(K156-U156-MIN(K156-U156,MAX(0,$AF156-SUMPRODUCT(--($B$4:$K$4&lt;K$4),$B156:$K156-$L156:$U156))),2)</f>
        <v>0</v>
      </c>
      <c r="AF156" s="39" t="n">
        <f aca="false">MAX(0,'Start Here'!$C$5-SUM($L156:$U156))</f>
        <v>1200</v>
      </c>
      <c r="AG156" s="39" t="n">
        <f aca="false">SUM(V156:AE156)</f>
        <v>0</v>
      </c>
      <c r="AH156" s="39" t="n">
        <f aca="false">SUM(B156:K156)-AG155</f>
        <v>0</v>
      </c>
    </row>
    <row r="157" customFormat="false" ht="15" hidden="false" customHeight="false" outlineLevel="0" collapsed="false">
      <c r="A157" s="40" t="n">
        <f aca="false">DATE(YEAR('Start Here'!$C$6),MONTH('Start Here'!$C$6)+150,1)</f>
        <v>50861</v>
      </c>
      <c r="B157" s="39" t="n">
        <f aca="false">ROUND(V156*(1+N('My Debts'!$D$6)/12),2)</f>
        <v>0</v>
      </c>
      <c r="C157" s="39" t="n">
        <f aca="false">ROUND(W156*(1+N('My Debts'!$D$7)/12),2)</f>
        <v>0</v>
      </c>
      <c r="D157" s="39" t="n">
        <f aca="false">ROUND(X156*(1+N('My Debts'!$D$8)/12),2)</f>
        <v>0</v>
      </c>
      <c r="E157" s="39" t="n">
        <f aca="false">ROUND(Y156*(1+N('My Debts'!$D$9)/12),2)</f>
        <v>0</v>
      </c>
      <c r="F157" s="39" t="n">
        <f aca="false">ROUND(Z156*(1+N('My Debts'!$D$10)/12),2)</f>
        <v>0</v>
      </c>
      <c r="G157" s="39" t="n">
        <f aca="false">ROUND(AA156*(1+N('My Debts'!$D$11)/12),2)</f>
        <v>0</v>
      </c>
      <c r="H157" s="39" t="n">
        <f aca="false">ROUND(AB156*(1+N('My Debts'!$D$12)/12),2)</f>
        <v>0</v>
      </c>
      <c r="I157" s="39" t="n">
        <f aca="false">ROUND(AC156*(1+N('My Debts'!$D$13)/12),2)</f>
        <v>0</v>
      </c>
      <c r="J157" s="39" t="n">
        <f aca="false">ROUND(AD156*(1+N('My Debts'!$D$14)/12),2)</f>
        <v>0</v>
      </c>
      <c r="K157" s="39" t="n">
        <f aca="false">ROUND(AE156*(1+N('My Debts'!$D$15)/12),2)</f>
        <v>0</v>
      </c>
      <c r="L157" s="39" t="n">
        <f aca="false">MIN(N('My Debts'!$E$6),B157)</f>
        <v>0</v>
      </c>
      <c r="M157" s="39" t="n">
        <f aca="false">MIN(N('My Debts'!$E$7),C157)</f>
        <v>0</v>
      </c>
      <c r="N157" s="39" t="n">
        <f aca="false">MIN(N('My Debts'!$E$8),D157)</f>
        <v>0</v>
      </c>
      <c r="O157" s="39" t="n">
        <f aca="false">MIN(N('My Debts'!$E$9),E157)</f>
        <v>0</v>
      </c>
      <c r="P157" s="39" t="n">
        <f aca="false">MIN(N('My Debts'!$E$10),F157)</f>
        <v>0</v>
      </c>
      <c r="Q157" s="39" t="n">
        <f aca="false">MIN(N('My Debts'!$E$11),G157)</f>
        <v>0</v>
      </c>
      <c r="R157" s="39" t="n">
        <f aca="false">MIN(N('My Debts'!$E$12),H157)</f>
        <v>0</v>
      </c>
      <c r="S157" s="39" t="n">
        <f aca="false">MIN(N('My Debts'!$E$13),I157)</f>
        <v>0</v>
      </c>
      <c r="T157" s="39" t="n">
        <f aca="false">MIN(N('My Debts'!$E$14),J157)</f>
        <v>0</v>
      </c>
      <c r="U157" s="39" t="n">
        <f aca="false">MIN(N('My Debts'!$E$15),K157)</f>
        <v>0</v>
      </c>
      <c r="V157" s="39" t="n">
        <f aca="false">ROUND(B157-L157-MIN(B157-L157,MAX(0,$AF157-SUMPRODUCT(--($B$4:$K$4&lt;B$4),$B157:$K157-$L157:$U157))),2)</f>
        <v>0</v>
      </c>
      <c r="W157" s="39" t="n">
        <f aca="false">ROUND(C157-M157-MIN(C157-M157,MAX(0,$AF157-SUMPRODUCT(--($B$4:$K$4&lt;C$4),$B157:$K157-$L157:$U157))),2)</f>
        <v>0</v>
      </c>
      <c r="X157" s="39" t="n">
        <f aca="false">ROUND(D157-N157-MIN(D157-N157,MAX(0,$AF157-SUMPRODUCT(--($B$4:$K$4&lt;D$4),$B157:$K157-$L157:$U157))),2)</f>
        <v>0</v>
      </c>
      <c r="Y157" s="39" t="n">
        <f aca="false">ROUND(E157-O157-MIN(E157-O157,MAX(0,$AF157-SUMPRODUCT(--($B$4:$K$4&lt;E$4),$B157:$K157-$L157:$U157))),2)</f>
        <v>0</v>
      </c>
      <c r="Z157" s="39" t="n">
        <f aca="false">ROUND(F157-P157-MIN(F157-P157,MAX(0,$AF157-SUMPRODUCT(--($B$4:$K$4&lt;F$4),$B157:$K157-$L157:$U157))),2)</f>
        <v>0</v>
      </c>
      <c r="AA157" s="39" t="n">
        <f aca="false">ROUND(G157-Q157-MIN(G157-Q157,MAX(0,$AF157-SUMPRODUCT(--($B$4:$K$4&lt;G$4),$B157:$K157-$L157:$U157))),2)</f>
        <v>0</v>
      </c>
      <c r="AB157" s="39" t="n">
        <f aca="false">ROUND(H157-R157-MIN(H157-R157,MAX(0,$AF157-SUMPRODUCT(--($B$4:$K$4&lt;H$4),$B157:$K157-$L157:$U157))),2)</f>
        <v>0</v>
      </c>
      <c r="AC157" s="39" t="n">
        <f aca="false">ROUND(I157-S157-MIN(I157-S157,MAX(0,$AF157-SUMPRODUCT(--($B$4:$K$4&lt;I$4),$B157:$K157-$L157:$U157))),2)</f>
        <v>0</v>
      </c>
      <c r="AD157" s="39" t="n">
        <f aca="false">ROUND(J157-T157-MIN(J157-T157,MAX(0,$AF157-SUMPRODUCT(--($B$4:$K$4&lt;J$4),$B157:$K157-$L157:$U157))),2)</f>
        <v>0</v>
      </c>
      <c r="AE157" s="39" t="n">
        <f aca="false">ROUND(K157-U157-MIN(K157-U157,MAX(0,$AF157-SUMPRODUCT(--($B$4:$K$4&lt;K$4),$B157:$K157-$L157:$U157))),2)</f>
        <v>0</v>
      </c>
      <c r="AF157" s="39" t="n">
        <f aca="false">MAX(0,'Start Here'!$C$5-SUM($L157:$U157))</f>
        <v>1200</v>
      </c>
      <c r="AG157" s="39" t="n">
        <f aca="false">SUM(V157:AE157)</f>
        <v>0</v>
      </c>
      <c r="AH157" s="39" t="n">
        <f aca="false">SUM(B157:K157)-AG156</f>
        <v>0</v>
      </c>
    </row>
    <row r="158" customFormat="false" ht="15" hidden="false" customHeight="false" outlineLevel="0" collapsed="false">
      <c r="A158" s="40" t="n">
        <f aca="false">DATE(YEAR('Start Here'!$C$6),MONTH('Start Here'!$C$6)+151,1)</f>
        <v>50891</v>
      </c>
      <c r="B158" s="39" t="n">
        <f aca="false">ROUND(V157*(1+N('My Debts'!$D$6)/12),2)</f>
        <v>0</v>
      </c>
      <c r="C158" s="39" t="n">
        <f aca="false">ROUND(W157*(1+N('My Debts'!$D$7)/12),2)</f>
        <v>0</v>
      </c>
      <c r="D158" s="39" t="n">
        <f aca="false">ROUND(X157*(1+N('My Debts'!$D$8)/12),2)</f>
        <v>0</v>
      </c>
      <c r="E158" s="39" t="n">
        <f aca="false">ROUND(Y157*(1+N('My Debts'!$D$9)/12),2)</f>
        <v>0</v>
      </c>
      <c r="F158" s="39" t="n">
        <f aca="false">ROUND(Z157*(1+N('My Debts'!$D$10)/12),2)</f>
        <v>0</v>
      </c>
      <c r="G158" s="39" t="n">
        <f aca="false">ROUND(AA157*(1+N('My Debts'!$D$11)/12),2)</f>
        <v>0</v>
      </c>
      <c r="H158" s="39" t="n">
        <f aca="false">ROUND(AB157*(1+N('My Debts'!$D$12)/12),2)</f>
        <v>0</v>
      </c>
      <c r="I158" s="39" t="n">
        <f aca="false">ROUND(AC157*(1+N('My Debts'!$D$13)/12),2)</f>
        <v>0</v>
      </c>
      <c r="J158" s="39" t="n">
        <f aca="false">ROUND(AD157*(1+N('My Debts'!$D$14)/12),2)</f>
        <v>0</v>
      </c>
      <c r="K158" s="39" t="n">
        <f aca="false">ROUND(AE157*(1+N('My Debts'!$D$15)/12),2)</f>
        <v>0</v>
      </c>
      <c r="L158" s="39" t="n">
        <f aca="false">MIN(N('My Debts'!$E$6),B158)</f>
        <v>0</v>
      </c>
      <c r="M158" s="39" t="n">
        <f aca="false">MIN(N('My Debts'!$E$7),C158)</f>
        <v>0</v>
      </c>
      <c r="N158" s="39" t="n">
        <f aca="false">MIN(N('My Debts'!$E$8),D158)</f>
        <v>0</v>
      </c>
      <c r="O158" s="39" t="n">
        <f aca="false">MIN(N('My Debts'!$E$9),E158)</f>
        <v>0</v>
      </c>
      <c r="P158" s="39" t="n">
        <f aca="false">MIN(N('My Debts'!$E$10),F158)</f>
        <v>0</v>
      </c>
      <c r="Q158" s="39" t="n">
        <f aca="false">MIN(N('My Debts'!$E$11),G158)</f>
        <v>0</v>
      </c>
      <c r="R158" s="39" t="n">
        <f aca="false">MIN(N('My Debts'!$E$12),H158)</f>
        <v>0</v>
      </c>
      <c r="S158" s="39" t="n">
        <f aca="false">MIN(N('My Debts'!$E$13),I158)</f>
        <v>0</v>
      </c>
      <c r="T158" s="39" t="n">
        <f aca="false">MIN(N('My Debts'!$E$14),J158)</f>
        <v>0</v>
      </c>
      <c r="U158" s="39" t="n">
        <f aca="false">MIN(N('My Debts'!$E$15),K158)</f>
        <v>0</v>
      </c>
      <c r="V158" s="39" t="n">
        <f aca="false">ROUND(B158-L158-MIN(B158-L158,MAX(0,$AF158-SUMPRODUCT(--($B$4:$K$4&lt;B$4),$B158:$K158-$L158:$U158))),2)</f>
        <v>0</v>
      </c>
      <c r="W158" s="39" t="n">
        <f aca="false">ROUND(C158-M158-MIN(C158-M158,MAX(0,$AF158-SUMPRODUCT(--($B$4:$K$4&lt;C$4),$B158:$K158-$L158:$U158))),2)</f>
        <v>0</v>
      </c>
      <c r="X158" s="39" t="n">
        <f aca="false">ROUND(D158-N158-MIN(D158-N158,MAX(0,$AF158-SUMPRODUCT(--($B$4:$K$4&lt;D$4),$B158:$K158-$L158:$U158))),2)</f>
        <v>0</v>
      </c>
      <c r="Y158" s="39" t="n">
        <f aca="false">ROUND(E158-O158-MIN(E158-O158,MAX(0,$AF158-SUMPRODUCT(--($B$4:$K$4&lt;E$4),$B158:$K158-$L158:$U158))),2)</f>
        <v>0</v>
      </c>
      <c r="Z158" s="39" t="n">
        <f aca="false">ROUND(F158-P158-MIN(F158-P158,MAX(0,$AF158-SUMPRODUCT(--($B$4:$K$4&lt;F$4),$B158:$K158-$L158:$U158))),2)</f>
        <v>0</v>
      </c>
      <c r="AA158" s="39" t="n">
        <f aca="false">ROUND(G158-Q158-MIN(G158-Q158,MAX(0,$AF158-SUMPRODUCT(--($B$4:$K$4&lt;G$4),$B158:$K158-$L158:$U158))),2)</f>
        <v>0</v>
      </c>
      <c r="AB158" s="39" t="n">
        <f aca="false">ROUND(H158-R158-MIN(H158-R158,MAX(0,$AF158-SUMPRODUCT(--($B$4:$K$4&lt;H$4),$B158:$K158-$L158:$U158))),2)</f>
        <v>0</v>
      </c>
      <c r="AC158" s="39" t="n">
        <f aca="false">ROUND(I158-S158-MIN(I158-S158,MAX(0,$AF158-SUMPRODUCT(--($B$4:$K$4&lt;I$4),$B158:$K158-$L158:$U158))),2)</f>
        <v>0</v>
      </c>
      <c r="AD158" s="39" t="n">
        <f aca="false">ROUND(J158-T158-MIN(J158-T158,MAX(0,$AF158-SUMPRODUCT(--($B$4:$K$4&lt;J$4),$B158:$K158-$L158:$U158))),2)</f>
        <v>0</v>
      </c>
      <c r="AE158" s="39" t="n">
        <f aca="false">ROUND(K158-U158-MIN(K158-U158,MAX(0,$AF158-SUMPRODUCT(--($B$4:$K$4&lt;K$4),$B158:$K158-$L158:$U158))),2)</f>
        <v>0</v>
      </c>
      <c r="AF158" s="39" t="n">
        <f aca="false">MAX(0,'Start Here'!$C$5-SUM($L158:$U158))</f>
        <v>1200</v>
      </c>
      <c r="AG158" s="39" t="n">
        <f aca="false">SUM(V158:AE158)</f>
        <v>0</v>
      </c>
      <c r="AH158" s="39" t="n">
        <f aca="false">SUM(B158:K158)-AG157</f>
        <v>0</v>
      </c>
    </row>
    <row r="159" customFormat="false" ht="15" hidden="false" customHeight="false" outlineLevel="0" collapsed="false">
      <c r="A159" s="40" t="n">
        <f aca="false">DATE(YEAR('Start Here'!$C$6),MONTH('Start Here'!$C$6)+152,1)</f>
        <v>50922</v>
      </c>
      <c r="B159" s="39" t="n">
        <f aca="false">ROUND(V158*(1+N('My Debts'!$D$6)/12),2)</f>
        <v>0</v>
      </c>
      <c r="C159" s="39" t="n">
        <f aca="false">ROUND(W158*(1+N('My Debts'!$D$7)/12),2)</f>
        <v>0</v>
      </c>
      <c r="D159" s="39" t="n">
        <f aca="false">ROUND(X158*(1+N('My Debts'!$D$8)/12),2)</f>
        <v>0</v>
      </c>
      <c r="E159" s="39" t="n">
        <f aca="false">ROUND(Y158*(1+N('My Debts'!$D$9)/12),2)</f>
        <v>0</v>
      </c>
      <c r="F159" s="39" t="n">
        <f aca="false">ROUND(Z158*(1+N('My Debts'!$D$10)/12),2)</f>
        <v>0</v>
      </c>
      <c r="G159" s="39" t="n">
        <f aca="false">ROUND(AA158*(1+N('My Debts'!$D$11)/12),2)</f>
        <v>0</v>
      </c>
      <c r="H159" s="39" t="n">
        <f aca="false">ROUND(AB158*(1+N('My Debts'!$D$12)/12),2)</f>
        <v>0</v>
      </c>
      <c r="I159" s="39" t="n">
        <f aca="false">ROUND(AC158*(1+N('My Debts'!$D$13)/12),2)</f>
        <v>0</v>
      </c>
      <c r="J159" s="39" t="n">
        <f aca="false">ROUND(AD158*(1+N('My Debts'!$D$14)/12),2)</f>
        <v>0</v>
      </c>
      <c r="K159" s="39" t="n">
        <f aca="false">ROUND(AE158*(1+N('My Debts'!$D$15)/12),2)</f>
        <v>0</v>
      </c>
      <c r="L159" s="39" t="n">
        <f aca="false">MIN(N('My Debts'!$E$6),B159)</f>
        <v>0</v>
      </c>
      <c r="M159" s="39" t="n">
        <f aca="false">MIN(N('My Debts'!$E$7),C159)</f>
        <v>0</v>
      </c>
      <c r="N159" s="39" t="n">
        <f aca="false">MIN(N('My Debts'!$E$8),D159)</f>
        <v>0</v>
      </c>
      <c r="O159" s="39" t="n">
        <f aca="false">MIN(N('My Debts'!$E$9),E159)</f>
        <v>0</v>
      </c>
      <c r="P159" s="39" t="n">
        <f aca="false">MIN(N('My Debts'!$E$10),F159)</f>
        <v>0</v>
      </c>
      <c r="Q159" s="39" t="n">
        <f aca="false">MIN(N('My Debts'!$E$11),G159)</f>
        <v>0</v>
      </c>
      <c r="R159" s="39" t="n">
        <f aca="false">MIN(N('My Debts'!$E$12),H159)</f>
        <v>0</v>
      </c>
      <c r="S159" s="39" t="n">
        <f aca="false">MIN(N('My Debts'!$E$13),I159)</f>
        <v>0</v>
      </c>
      <c r="T159" s="39" t="n">
        <f aca="false">MIN(N('My Debts'!$E$14),J159)</f>
        <v>0</v>
      </c>
      <c r="U159" s="39" t="n">
        <f aca="false">MIN(N('My Debts'!$E$15),K159)</f>
        <v>0</v>
      </c>
      <c r="V159" s="39" t="n">
        <f aca="false">ROUND(B159-L159-MIN(B159-L159,MAX(0,$AF159-SUMPRODUCT(--($B$4:$K$4&lt;B$4),$B159:$K159-$L159:$U159))),2)</f>
        <v>0</v>
      </c>
      <c r="W159" s="39" t="n">
        <f aca="false">ROUND(C159-M159-MIN(C159-M159,MAX(0,$AF159-SUMPRODUCT(--($B$4:$K$4&lt;C$4),$B159:$K159-$L159:$U159))),2)</f>
        <v>0</v>
      </c>
      <c r="X159" s="39" t="n">
        <f aca="false">ROUND(D159-N159-MIN(D159-N159,MAX(0,$AF159-SUMPRODUCT(--($B$4:$K$4&lt;D$4),$B159:$K159-$L159:$U159))),2)</f>
        <v>0</v>
      </c>
      <c r="Y159" s="39" t="n">
        <f aca="false">ROUND(E159-O159-MIN(E159-O159,MAX(0,$AF159-SUMPRODUCT(--($B$4:$K$4&lt;E$4),$B159:$K159-$L159:$U159))),2)</f>
        <v>0</v>
      </c>
      <c r="Z159" s="39" t="n">
        <f aca="false">ROUND(F159-P159-MIN(F159-P159,MAX(0,$AF159-SUMPRODUCT(--($B$4:$K$4&lt;F$4),$B159:$K159-$L159:$U159))),2)</f>
        <v>0</v>
      </c>
      <c r="AA159" s="39" t="n">
        <f aca="false">ROUND(G159-Q159-MIN(G159-Q159,MAX(0,$AF159-SUMPRODUCT(--($B$4:$K$4&lt;G$4),$B159:$K159-$L159:$U159))),2)</f>
        <v>0</v>
      </c>
      <c r="AB159" s="39" t="n">
        <f aca="false">ROUND(H159-R159-MIN(H159-R159,MAX(0,$AF159-SUMPRODUCT(--($B$4:$K$4&lt;H$4),$B159:$K159-$L159:$U159))),2)</f>
        <v>0</v>
      </c>
      <c r="AC159" s="39" t="n">
        <f aca="false">ROUND(I159-S159-MIN(I159-S159,MAX(0,$AF159-SUMPRODUCT(--($B$4:$K$4&lt;I$4),$B159:$K159-$L159:$U159))),2)</f>
        <v>0</v>
      </c>
      <c r="AD159" s="39" t="n">
        <f aca="false">ROUND(J159-T159-MIN(J159-T159,MAX(0,$AF159-SUMPRODUCT(--($B$4:$K$4&lt;J$4),$B159:$K159-$L159:$U159))),2)</f>
        <v>0</v>
      </c>
      <c r="AE159" s="39" t="n">
        <f aca="false">ROUND(K159-U159-MIN(K159-U159,MAX(0,$AF159-SUMPRODUCT(--($B$4:$K$4&lt;K$4),$B159:$K159-$L159:$U159))),2)</f>
        <v>0</v>
      </c>
      <c r="AF159" s="39" t="n">
        <f aca="false">MAX(0,'Start Here'!$C$5-SUM($L159:$U159))</f>
        <v>1200</v>
      </c>
      <c r="AG159" s="39" t="n">
        <f aca="false">SUM(V159:AE159)</f>
        <v>0</v>
      </c>
      <c r="AH159" s="39" t="n">
        <f aca="false">SUM(B159:K159)-AG158</f>
        <v>0</v>
      </c>
    </row>
    <row r="160" customFormat="false" ht="15" hidden="false" customHeight="false" outlineLevel="0" collapsed="false">
      <c r="A160" s="40" t="n">
        <f aca="false">DATE(YEAR('Start Here'!$C$6),MONTH('Start Here'!$C$6)+153,1)</f>
        <v>50952</v>
      </c>
      <c r="B160" s="39" t="n">
        <f aca="false">ROUND(V159*(1+N('My Debts'!$D$6)/12),2)</f>
        <v>0</v>
      </c>
      <c r="C160" s="39" t="n">
        <f aca="false">ROUND(W159*(1+N('My Debts'!$D$7)/12),2)</f>
        <v>0</v>
      </c>
      <c r="D160" s="39" t="n">
        <f aca="false">ROUND(X159*(1+N('My Debts'!$D$8)/12),2)</f>
        <v>0</v>
      </c>
      <c r="E160" s="39" t="n">
        <f aca="false">ROUND(Y159*(1+N('My Debts'!$D$9)/12),2)</f>
        <v>0</v>
      </c>
      <c r="F160" s="39" t="n">
        <f aca="false">ROUND(Z159*(1+N('My Debts'!$D$10)/12),2)</f>
        <v>0</v>
      </c>
      <c r="G160" s="39" t="n">
        <f aca="false">ROUND(AA159*(1+N('My Debts'!$D$11)/12),2)</f>
        <v>0</v>
      </c>
      <c r="H160" s="39" t="n">
        <f aca="false">ROUND(AB159*(1+N('My Debts'!$D$12)/12),2)</f>
        <v>0</v>
      </c>
      <c r="I160" s="39" t="n">
        <f aca="false">ROUND(AC159*(1+N('My Debts'!$D$13)/12),2)</f>
        <v>0</v>
      </c>
      <c r="J160" s="39" t="n">
        <f aca="false">ROUND(AD159*(1+N('My Debts'!$D$14)/12),2)</f>
        <v>0</v>
      </c>
      <c r="K160" s="39" t="n">
        <f aca="false">ROUND(AE159*(1+N('My Debts'!$D$15)/12),2)</f>
        <v>0</v>
      </c>
      <c r="L160" s="39" t="n">
        <f aca="false">MIN(N('My Debts'!$E$6),B160)</f>
        <v>0</v>
      </c>
      <c r="M160" s="39" t="n">
        <f aca="false">MIN(N('My Debts'!$E$7),C160)</f>
        <v>0</v>
      </c>
      <c r="N160" s="39" t="n">
        <f aca="false">MIN(N('My Debts'!$E$8),D160)</f>
        <v>0</v>
      </c>
      <c r="O160" s="39" t="n">
        <f aca="false">MIN(N('My Debts'!$E$9),E160)</f>
        <v>0</v>
      </c>
      <c r="P160" s="39" t="n">
        <f aca="false">MIN(N('My Debts'!$E$10),F160)</f>
        <v>0</v>
      </c>
      <c r="Q160" s="39" t="n">
        <f aca="false">MIN(N('My Debts'!$E$11),G160)</f>
        <v>0</v>
      </c>
      <c r="R160" s="39" t="n">
        <f aca="false">MIN(N('My Debts'!$E$12),H160)</f>
        <v>0</v>
      </c>
      <c r="S160" s="39" t="n">
        <f aca="false">MIN(N('My Debts'!$E$13),I160)</f>
        <v>0</v>
      </c>
      <c r="T160" s="39" t="n">
        <f aca="false">MIN(N('My Debts'!$E$14),J160)</f>
        <v>0</v>
      </c>
      <c r="U160" s="39" t="n">
        <f aca="false">MIN(N('My Debts'!$E$15),K160)</f>
        <v>0</v>
      </c>
      <c r="V160" s="39" t="n">
        <f aca="false">ROUND(B160-L160-MIN(B160-L160,MAX(0,$AF160-SUMPRODUCT(--($B$4:$K$4&lt;B$4),$B160:$K160-$L160:$U160))),2)</f>
        <v>0</v>
      </c>
      <c r="W160" s="39" t="n">
        <f aca="false">ROUND(C160-M160-MIN(C160-M160,MAX(0,$AF160-SUMPRODUCT(--($B$4:$K$4&lt;C$4),$B160:$K160-$L160:$U160))),2)</f>
        <v>0</v>
      </c>
      <c r="X160" s="39" t="n">
        <f aca="false">ROUND(D160-N160-MIN(D160-N160,MAX(0,$AF160-SUMPRODUCT(--($B$4:$K$4&lt;D$4),$B160:$K160-$L160:$U160))),2)</f>
        <v>0</v>
      </c>
      <c r="Y160" s="39" t="n">
        <f aca="false">ROUND(E160-O160-MIN(E160-O160,MAX(0,$AF160-SUMPRODUCT(--($B$4:$K$4&lt;E$4),$B160:$K160-$L160:$U160))),2)</f>
        <v>0</v>
      </c>
      <c r="Z160" s="39" t="n">
        <f aca="false">ROUND(F160-P160-MIN(F160-P160,MAX(0,$AF160-SUMPRODUCT(--($B$4:$K$4&lt;F$4),$B160:$K160-$L160:$U160))),2)</f>
        <v>0</v>
      </c>
      <c r="AA160" s="39" t="n">
        <f aca="false">ROUND(G160-Q160-MIN(G160-Q160,MAX(0,$AF160-SUMPRODUCT(--($B$4:$K$4&lt;G$4),$B160:$K160-$L160:$U160))),2)</f>
        <v>0</v>
      </c>
      <c r="AB160" s="39" t="n">
        <f aca="false">ROUND(H160-R160-MIN(H160-R160,MAX(0,$AF160-SUMPRODUCT(--($B$4:$K$4&lt;H$4),$B160:$K160-$L160:$U160))),2)</f>
        <v>0</v>
      </c>
      <c r="AC160" s="39" t="n">
        <f aca="false">ROUND(I160-S160-MIN(I160-S160,MAX(0,$AF160-SUMPRODUCT(--($B$4:$K$4&lt;I$4),$B160:$K160-$L160:$U160))),2)</f>
        <v>0</v>
      </c>
      <c r="AD160" s="39" t="n">
        <f aca="false">ROUND(J160-T160-MIN(J160-T160,MAX(0,$AF160-SUMPRODUCT(--($B$4:$K$4&lt;J$4),$B160:$K160-$L160:$U160))),2)</f>
        <v>0</v>
      </c>
      <c r="AE160" s="39" t="n">
        <f aca="false">ROUND(K160-U160-MIN(K160-U160,MAX(0,$AF160-SUMPRODUCT(--($B$4:$K$4&lt;K$4),$B160:$K160-$L160:$U160))),2)</f>
        <v>0</v>
      </c>
      <c r="AF160" s="39" t="n">
        <f aca="false">MAX(0,'Start Here'!$C$5-SUM($L160:$U160))</f>
        <v>1200</v>
      </c>
      <c r="AG160" s="39" t="n">
        <f aca="false">SUM(V160:AE160)</f>
        <v>0</v>
      </c>
      <c r="AH160" s="39" t="n">
        <f aca="false">SUM(B160:K160)-AG159</f>
        <v>0</v>
      </c>
    </row>
    <row r="161" customFormat="false" ht="15" hidden="false" customHeight="false" outlineLevel="0" collapsed="false">
      <c r="A161" s="40" t="n">
        <f aca="false">DATE(YEAR('Start Here'!$C$6),MONTH('Start Here'!$C$6)+154,1)</f>
        <v>50983</v>
      </c>
      <c r="B161" s="39" t="n">
        <f aca="false">ROUND(V160*(1+N('My Debts'!$D$6)/12),2)</f>
        <v>0</v>
      </c>
      <c r="C161" s="39" t="n">
        <f aca="false">ROUND(W160*(1+N('My Debts'!$D$7)/12),2)</f>
        <v>0</v>
      </c>
      <c r="D161" s="39" t="n">
        <f aca="false">ROUND(X160*(1+N('My Debts'!$D$8)/12),2)</f>
        <v>0</v>
      </c>
      <c r="E161" s="39" t="n">
        <f aca="false">ROUND(Y160*(1+N('My Debts'!$D$9)/12),2)</f>
        <v>0</v>
      </c>
      <c r="F161" s="39" t="n">
        <f aca="false">ROUND(Z160*(1+N('My Debts'!$D$10)/12),2)</f>
        <v>0</v>
      </c>
      <c r="G161" s="39" t="n">
        <f aca="false">ROUND(AA160*(1+N('My Debts'!$D$11)/12),2)</f>
        <v>0</v>
      </c>
      <c r="H161" s="39" t="n">
        <f aca="false">ROUND(AB160*(1+N('My Debts'!$D$12)/12),2)</f>
        <v>0</v>
      </c>
      <c r="I161" s="39" t="n">
        <f aca="false">ROUND(AC160*(1+N('My Debts'!$D$13)/12),2)</f>
        <v>0</v>
      </c>
      <c r="J161" s="39" t="n">
        <f aca="false">ROUND(AD160*(1+N('My Debts'!$D$14)/12),2)</f>
        <v>0</v>
      </c>
      <c r="K161" s="39" t="n">
        <f aca="false">ROUND(AE160*(1+N('My Debts'!$D$15)/12),2)</f>
        <v>0</v>
      </c>
      <c r="L161" s="39" t="n">
        <f aca="false">MIN(N('My Debts'!$E$6),B161)</f>
        <v>0</v>
      </c>
      <c r="M161" s="39" t="n">
        <f aca="false">MIN(N('My Debts'!$E$7),C161)</f>
        <v>0</v>
      </c>
      <c r="N161" s="39" t="n">
        <f aca="false">MIN(N('My Debts'!$E$8),D161)</f>
        <v>0</v>
      </c>
      <c r="O161" s="39" t="n">
        <f aca="false">MIN(N('My Debts'!$E$9),E161)</f>
        <v>0</v>
      </c>
      <c r="P161" s="39" t="n">
        <f aca="false">MIN(N('My Debts'!$E$10),F161)</f>
        <v>0</v>
      </c>
      <c r="Q161" s="39" t="n">
        <f aca="false">MIN(N('My Debts'!$E$11),G161)</f>
        <v>0</v>
      </c>
      <c r="R161" s="39" t="n">
        <f aca="false">MIN(N('My Debts'!$E$12),H161)</f>
        <v>0</v>
      </c>
      <c r="S161" s="39" t="n">
        <f aca="false">MIN(N('My Debts'!$E$13),I161)</f>
        <v>0</v>
      </c>
      <c r="T161" s="39" t="n">
        <f aca="false">MIN(N('My Debts'!$E$14),J161)</f>
        <v>0</v>
      </c>
      <c r="U161" s="39" t="n">
        <f aca="false">MIN(N('My Debts'!$E$15),K161)</f>
        <v>0</v>
      </c>
      <c r="V161" s="39" t="n">
        <f aca="false">ROUND(B161-L161-MIN(B161-L161,MAX(0,$AF161-SUMPRODUCT(--($B$4:$K$4&lt;B$4),$B161:$K161-$L161:$U161))),2)</f>
        <v>0</v>
      </c>
      <c r="W161" s="39" t="n">
        <f aca="false">ROUND(C161-M161-MIN(C161-M161,MAX(0,$AF161-SUMPRODUCT(--($B$4:$K$4&lt;C$4),$B161:$K161-$L161:$U161))),2)</f>
        <v>0</v>
      </c>
      <c r="X161" s="39" t="n">
        <f aca="false">ROUND(D161-N161-MIN(D161-N161,MAX(0,$AF161-SUMPRODUCT(--($B$4:$K$4&lt;D$4),$B161:$K161-$L161:$U161))),2)</f>
        <v>0</v>
      </c>
      <c r="Y161" s="39" t="n">
        <f aca="false">ROUND(E161-O161-MIN(E161-O161,MAX(0,$AF161-SUMPRODUCT(--($B$4:$K$4&lt;E$4),$B161:$K161-$L161:$U161))),2)</f>
        <v>0</v>
      </c>
      <c r="Z161" s="39" t="n">
        <f aca="false">ROUND(F161-P161-MIN(F161-P161,MAX(0,$AF161-SUMPRODUCT(--($B$4:$K$4&lt;F$4),$B161:$K161-$L161:$U161))),2)</f>
        <v>0</v>
      </c>
      <c r="AA161" s="39" t="n">
        <f aca="false">ROUND(G161-Q161-MIN(G161-Q161,MAX(0,$AF161-SUMPRODUCT(--($B$4:$K$4&lt;G$4),$B161:$K161-$L161:$U161))),2)</f>
        <v>0</v>
      </c>
      <c r="AB161" s="39" t="n">
        <f aca="false">ROUND(H161-R161-MIN(H161-R161,MAX(0,$AF161-SUMPRODUCT(--($B$4:$K$4&lt;H$4),$B161:$K161-$L161:$U161))),2)</f>
        <v>0</v>
      </c>
      <c r="AC161" s="39" t="n">
        <f aca="false">ROUND(I161-S161-MIN(I161-S161,MAX(0,$AF161-SUMPRODUCT(--($B$4:$K$4&lt;I$4),$B161:$K161-$L161:$U161))),2)</f>
        <v>0</v>
      </c>
      <c r="AD161" s="39" t="n">
        <f aca="false">ROUND(J161-T161-MIN(J161-T161,MAX(0,$AF161-SUMPRODUCT(--($B$4:$K$4&lt;J$4),$B161:$K161-$L161:$U161))),2)</f>
        <v>0</v>
      </c>
      <c r="AE161" s="39" t="n">
        <f aca="false">ROUND(K161-U161-MIN(K161-U161,MAX(0,$AF161-SUMPRODUCT(--($B$4:$K$4&lt;K$4),$B161:$K161-$L161:$U161))),2)</f>
        <v>0</v>
      </c>
      <c r="AF161" s="39" t="n">
        <f aca="false">MAX(0,'Start Here'!$C$5-SUM($L161:$U161))</f>
        <v>1200</v>
      </c>
      <c r="AG161" s="39" t="n">
        <f aca="false">SUM(V161:AE161)</f>
        <v>0</v>
      </c>
      <c r="AH161" s="39" t="n">
        <f aca="false">SUM(B161:K161)-AG160</f>
        <v>0</v>
      </c>
    </row>
    <row r="162" customFormat="false" ht="15" hidden="false" customHeight="false" outlineLevel="0" collapsed="false">
      <c r="A162" s="40" t="n">
        <f aca="false">DATE(YEAR('Start Here'!$C$6),MONTH('Start Here'!$C$6)+155,1)</f>
        <v>51014</v>
      </c>
      <c r="B162" s="39" t="n">
        <f aca="false">ROUND(V161*(1+N('My Debts'!$D$6)/12),2)</f>
        <v>0</v>
      </c>
      <c r="C162" s="39" t="n">
        <f aca="false">ROUND(W161*(1+N('My Debts'!$D$7)/12),2)</f>
        <v>0</v>
      </c>
      <c r="D162" s="39" t="n">
        <f aca="false">ROUND(X161*(1+N('My Debts'!$D$8)/12),2)</f>
        <v>0</v>
      </c>
      <c r="E162" s="39" t="n">
        <f aca="false">ROUND(Y161*(1+N('My Debts'!$D$9)/12),2)</f>
        <v>0</v>
      </c>
      <c r="F162" s="39" t="n">
        <f aca="false">ROUND(Z161*(1+N('My Debts'!$D$10)/12),2)</f>
        <v>0</v>
      </c>
      <c r="G162" s="39" t="n">
        <f aca="false">ROUND(AA161*(1+N('My Debts'!$D$11)/12),2)</f>
        <v>0</v>
      </c>
      <c r="H162" s="39" t="n">
        <f aca="false">ROUND(AB161*(1+N('My Debts'!$D$12)/12),2)</f>
        <v>0</v>
      </c>
      <c r="I162" s="39" t="n">
        <f aca="false">ROUND(AC161*(1+N('My Debts'!$D$13)/12),2)</f>
        <v>0</v>
      </c>
      <c r="J162" s="39" t="n">
        <f aca="false">ROUND(AD161*(1+N('My Debts'!$D$14)/12),2)</f>
        <v>0</v>
      </c>
      <c r="K162" s="39" t="n">
        <f aca="false">ROUND(AE161*(1+N('My Debts'!$D$15)/12),2)</f>
        <v>0</v>
      </c>
      <c r="L162" s="39" t="n">
        <f aca="false">MIN(N('My Debts'!$E$6),B162)</f>
        <v>0</v>
      </c>
      <c r="M162" s="39" t="n">
        <f aca="false">MIN(N('My Debts'!$E$7),C162)</f>
        <v>0</v>
      </c>
      <c r="N162" s="39" t="n">
        <f aca="false">MIN(N('My Debts'!$E$8),D162)</f>
        <v>0</v>
      </c>
      <c r="O162" s="39" t="n">
        <f aca="false">MIN(N('My Debts'!$E$9),E162)</f>
        <v>0</v>
      </c>
      <c r="P162" s="39" t="n">
        <f aca="false">MIN(N('My Debts'!$E$10),F162)</f>
        <v>0</v>
      </c>
      <c r="Q162" s="39" t="n">
        <f aca="false">MIN(N('My Debts'!$E$11),G162)</f>
        <v>0</v>
      </c>
      <c r="R162" s="39" t="n">
        <f aca="false">MIN(N('My Debts'!$E$12),H162)</f>
        <v>0</v>
      </c>
      <c r="S162" s="39" t="n">
        <f aca="false">MIN(N('My Debts'!$E$13),I162)</f>
        <v>0</v>
      </c>
      <c r="T162" s="39" t="n">
        <f aca="false">MIN(N('My Debts'!$E$14),J162)</f>
        <v>0</v>
      </c>
      <c r="U162" s="39" t="n">
        <f aca="false">MIN(N('My Debts'!$E$15),K162)</f>
        <v>0</v>
      </c>
      <c r="V162" s="39" t="n">
        <f aca="false">ROUND(B162-L162-MIN(B162-L162,MAX(0,$AF162-SUMPRODUCT(--($B$4:$K$4&lt;B$4),$B162:$K162-$L162:$U162))),2)</f>
        <v>0</v>
      </c>
      <c r="W162" s="39" t="n">
        <f aca="false">ROUND(C162-M162-MIN(C162-M162,MAX(0,$AF162-SUMPRODUCT(--($B$4:$K$4&lt;C$4),$B162:$K162-$L162:$U162))),2)</f>
        <v>0</v>
      </c>
      <c r="X162" s="39" t="n">
        <f aca="false">ROUND(D162-N162-MIN(D162-N162,MAX(0,$AF162-SUMPRODUCT(--($B$4:$K$4&lt;D$4),$B162:$K162-$L162:$U162))),2)</f>
        <v>0</v>
      </c>
      <c r="Y162" s="39" t="n">
        <f aca="false">ROUND(E162-O162-MIN(E162-O162,MAX(0,$AF162-SUMPRODUCT(--($B$4:$K$4&lt;E$4),$B162:$K162-$L162:$U162))),2)</f>
        <v>0</v>
      </c>
      <c r="Z162" s="39" t="n">
        <f aca="false">ROUND(F162-P162-MIN(F162-P162,MAX(0,$AF162-SUMPRODUCT(--($B$4:$K$4&lt;F$4),$B162:$K162-$L162:$U162))),2)</f>
        <v>0</v>
      </c>
      <c r="AA162" s="39" t="n">
        <f aca="false">ROUND(G162-Q162-MIN(G162-Q162,MAX(0,$AF162-SUMPRODUCT(--($B$4:$K$4&lt;G$4),$B162:$K162-$L162:$U162))),2)</f>
        <v>0</v>
      </c>
      <c r="AB162" s="39" t="n">
        <f aca="false">ROUND(H162-R162-MIN(H162-R162,MAX(0,$AF162-SUMPRODUCT(--($B$4:$K$4&lt;H$4),$B162:$K162-$L162:$U162))),2)</f>
        <v>0</v>
      </c>
      <c r="AC162" s="39" t="n">
        <f aca="false">ROUND(I162-S162-MIN(I162-S162,MAX(0,$AF162-SUMPRODUCT(--($B$4:$K$4&lt;I$4),$B162:$K162-$L162:$U162))),2)</f>
        <v>0</v>
      </c>
      <c r="AD162" s="39" t="n">
        <f aca="false">ROUND(J162-T162-MIN(J162-T162,MAX(0,$AF162-SUMPRODUCT(--($B$4:$K$4&lt;J$4),$B162:$K162-$L162:$U162))),2)</f>
        <v>0</v>
      </c>
      <c r="AE162" s="39" t="n">
        <f aca="false">ROUND(K162-U162-MIN(K162-U162,MAX(0,$AF162-SUMPRODUCT(--($B$4:$K$4&lt;K$4),$B162:$K162-$L162:$U162))),2)</f>
        <v>0</v>
      </c>
      <c r="AF162" s="39" t="n">
        <f aca="false">MAX(0,'Start Here'!$C$5-SUM($L162:$U162))</f>
        <v>1200</v>
      </c>
      <c r="AG162" s="39" t="n">
        <f aca="false">SUM(V162:AE162)</f>
        <v>0</v>
      </c>
      <c r="AH162" s="39" t="n">
        <f aca="false">SUM(B162:K162)-AG161</f>
        <v>0</v>
      </c>
    </row>
    <row r="163" customFormat="false" ht="15" hidden="false" customHeight="false" outlineLevel="0" collapsed="false">
      <c r="A163" s="40" t="n">
        <f aca="false">DATE(YEAR('Start Here'!$C$6),MONTH('Start Here'!$C$6)+156,1)</f>
        <v>51044</v>
      </c>
      <c r="B163" s="39" t="n">
        <f aca="false">ROUND(V162*(1+N('My Debts'!$D$6)/12),2)</f>
        <v>0</v>
      </c>
      <c r="C163" s="39" t="n">
        <f aca="false">ROUND(W162*(1+N('My Debts'!$D$7)/12),2)</f>
        <v>0</v>
      </c>
      <c r="D163" s="39" t="n">
        <f aca="false">ROUND(X162*(1+N('My Debts'!$D$8)/12),2)</f>
        <v>0</v>
      </c>
      <c r="E163" s="39" t="n">
        <f aca="false">ROUND(Y162*(1+N('My Debts'!$D$9)/12),2)</f>
        <v>0</v>
      </c>
      <c r="F163" s="39" t="n">
        <f aca="false">ROUND(Z162*(1+N('My Debts'!$D$10)/12),2)</f>
        <v>0</v>
      </c>
      <c r="G163" s="39" t="n">
        <f aca="false">ROUND(AA162*(1+N('My Debts'!$D$11)/12),2)</f>
        <v>0</v>
      </c>
      <c r="H163" s="39" t="n">
        <f aca="false">ROUND(AB162*(1+N('My Debts'!$D$12)/12),2)</f>
        <v>0</v>
      </c>
      <c r="I163" s="39" t="n">
        <f aca="false">ROUND(AC162*(1+N('My Debts'!$D$13)/12),2)</f>
        <v>0</v>
      </c>
      <c r="J163" s="39" t="n">
        <f aca="false">ROUND(AD162*(1+N('My Debts'!$D$14)/12),2)</f>
        <v>0</v>
      </c>
      <c r="K163" s="39" t="n">
        <f aca="false">ROUND(AE162*(1+N('My Debts'!$D$15)/12),2)</f>
        <v>0</v>
      </c>
      <c r="L163" s="39" t="n">
        <f aca="false">MIN(N('My Debts'!$E$6),B163)</f>
        <v>0</v>
      </c>
      <c r="M163" s="39" t="n">
        <f aca="false">MIN(N('My Debts'!$E$7),C163)</f>
        <v>0</v>
      </c>
      <c r="N163" s="39" t="n">
        <f aca="false">MIN(N('My Debts'!$E$8),D163)</f>
        <v>0</v>
      </c>
      <c r="O163" s="39" t="n">
        <f aca="false">MIN(N('My Debts'!$E$9),E163)</f>
        <v>0</v>
      </c>
      <c r="P163" s="39" t="n">
        <f aca="false">MIN(N('My Debts'!$E$10),F163)</f>
        <v>0</v>
      </c>
      <c r="Q163" s="39" t="n">
        <f aca="false">MIN(N('My Debts'!$E$11),G163)</f>
        <v>0</v>
      </c>
      <c r="R163" s="39" t="n">
        <f aca="false">MIN(N('My Debts'!$E$12),H163)</f>
        <v>0</v>
      </c>
      <c r="S163" s="39" t="n">
        <f aca="false">MIN(N('My Debts'!$E$13),I163)</f>
        <v>0</v>
      </c>
      <c r="T163" s="39" t="n">
        <f aca="false">MIN(N('My Debts'!$E$14),J163)</f>
        <v>0</v>
      </c>
      <c r="U163" s="39" t="n">
        <f aca="false">MIN(N('My Debts'!$E$15),K163)</f>
        <v>0</v>
      </c>
      <c r="V163" s="39" t="n">
        <f aca="false">ROUND(B163-L163-MIN(B163-L163,MAX(0,$AF163-SUMPRODUCT(--($B$4:$K$4&lt;B$4),$B163:$K163-$L163:$U163))),2)</f>
        <v>0</v>
      </c>
      <c r="W163" s="39" t="n">
        <f aca="false">ROUND(C163-M163-MIN(C163-M163,MAX(0,$AF163-SUMPRODUCT(--($B$4:$K$4&lt;C$4),$B163:$K163-$L163:$U163))),2)</f>
        <v>0</v>
      </c>
      <c r="X163" s="39" t="n">
        <f aca="false">ROUND(D163-N163-MIN(D163-N163,MAX(0,$AF163-SUMPRODUCT(--($B$4:$K$4&lt;D$4),$B163:$K163-$L163:$U163))),2)</f>
        <v>0</v>
      </c>
      <c r="Y163" s="39" t="n">
        <f aca="false">ROUND(E163-O163-MIN(E163-O163,MAX(0,$AF163-SUMPRODUCT(--($B$4:$K$4&lt;E$4),$B163:$K163-$L163:$U163))),2)</f>
        <v>0</v>
      </c>
      <c r="Z163" s="39" t="n">
        <f aca="false">ROUND(F163-P163-MIN(F163-P163,MAX(0,$AF163-SUMPRODUCT(--($B$4:$K$4&lt;F$4),$B163:$K163-$L163:$U163))),2)</f>
        <v>0</v>
      </c>
      <c r="AA163" s="39" t="n">
        <f aca="false">ROUND(G163-Q163-MIN(G163-Q163,MAX(0,$AF163-SUMPRODUCT(--($B$4:$K$4&lt;G$4),$B163:$K163-$L163:$U163))),2)</f>
        <v>0</v>
      </c>
      <c r="AB163" s="39" t="n">
        <f aca="false">ROUND(H163-R163-MIN(H163-R163,MAX(0,$AF163-SUMPRODUCT(--($B$4:$K$4&lt;H$4),$B163:$K163-$L163:$U163))),2)</f>
        <v>0</v>
      </c>
      <c r="AC163" s="39" t="n">
        <f aca="false">ROUND(I163-S163-MIN(I163-S163,MAX(0,$AF163-SUMPRODUCT(--($B$4:$K$4&lt;I$4),$B163:$K163-$L163:$U163))),2)</f>
        <v>0</v>
      </c>
      <c r="AD163" s="39" t="n">
        <f aca="false">ROUND(J163-T163-MIN(J163-T163,MAX(0,$AF163-SUMPRODUCT(--($B$4:$K$4&lt;J$4),$B163:$K163-$L163:$U163))),2)</f>
        <v>0</v>
      </c>
      <c r="AE163" s="39" t="n">
        <f aca="false">ROUND(K163-U163-MIN(K163-U163,MAX(0,$AF163-SUMPRODUCT(--($B$4:$K$4&lt;K$4),$B163:$K163-$L163:$U163))),2)</f>
        <v>0</v>
      </c>
      <c r="AF163" s="39" t="n">
        <f aca="false">MAX(0,'Start Here'!$C$5-SUM($L163:$U163))</f>
        <v>1200</v>
      </c>
      <c r="AG163" s="39" t="n">
        <f aca="false">SUM(V163:AE163)</f>
        <v>0</v>
      </c>
      <c r="AH163" s="39" t="n">
        <f aca="false">SUM(B163:K163)-AG162</f>
        <v>0</v>
      </c>
    </row>
    <row r="164" customFormat="false" ht="15" hidden="false" customHeight="false" outlineLevel="0" collapsed="false">
      <c r="A164" s="40" t="n">
        <f aca="false">DATE(YEAR('Start Here'!$C$6),MONTH('Start Here'!$C$6)+157,1)</f>
        <v>51075</v>
      </c>
      <c r="B164" s="39" t="n">
        <f aca="false">ROUND(V163*(1+N('My Debts'!$D$6)/12),2)</f>
        <v>0</v>
      </c>
      <c r="C164" s="39" t="n">
        <f aca="false">ROUND(W163*(1+N('My Debts'!$D$7)/12),2)</f>
        <v>0</v>
      </c>
      <c r="D164" s="39" t="n">
        <f aca="false">ROUND(X163*(1+N('My Debts'!$D$8)/12),2)</f>
        <v>0</v>
      </c>
      <c r="E164" s="39" t="n">
        <f aca="false">ROUND(Y163*(1+N('My Debts'!$D$9)/12),2)</f>
        <v>0</v>
      </c>
      <c r="F164" s="39" t="n">
        <f aca="false">ROUND(Z163*(1+N('My Debts'!$D$10)/12),2)</f>
        <v>0</v>
      </c>
      <c r="G164" s="39" t="n">
        <f aca="false">ROUND(AA163*(1+N('My Debts'!$D$11)/12),2)</f>
        <v>0</v>
      </c>
      <c r="H164" s="39" t="n">
        <f aca="false">ROUND(AB163*(1+N('My Debts'!$D$12)/12),2)</f>
        <v>0</v>
      </c>
      <c r="I164" s="39" t="n">
        <f aca="false">ROUND(AC163*(1+N('My Debts'!$D$13)/12),2)</f>
        <v>0</v>
      </c>
      <c r="J164" s="39" t="n">
        <f aca="false">ROUND(AD163*(1+N('My Debts'!$D$14)/12),2)</f>
        <v>0</v>
      </c>
      <c r="K164" s="39" t="n">
        <f aca="false">ROUND(AE163*(1+N('My Debts'!$D$15)/12),2)</f>
        <v>0</v>
      </c>
      <c r="L164" s="39" t="n">
        <f aca="false">MIN(N('My Debts'!$E$6),B164)</f>
        <v>0</v>
      </c>
      <c r="M164" s="39" t="n">
        <f aca="false">MIN(N('My Debts'!$E$7),C164)</f>
        <v>0</v>
      </c>
      <c r="N164" s="39" t="n">
        <f aca="false">MIN(N('My Debts'!$E$8),D164)</f>
        <v>0</v>
      </c>
      <c r="O164" s="39" t="n">
        <f aca="false">MIN(N('My Debts'!$E$9),E164)</f>
        <v>0</v>
      </c>
      <c r="P164" s="39" t="n">
        <f aca="false">MIN(N('My Debts'!$E$10),F164)</f>
        <v>0</v>
      </c>
      <c r="Q164" s="39" t="n">
        <f aca="false">MIN(N('My Debts'!$E$11),G164)</f>
        <v>0</v>
      </c>
      <c r="R164" s="39" t="n">
        <f aca="false">MIN(N('My Debts'!$E$12),H164)</f>
        <v>0</v>
      </c>
      <c r="S164" s="39" t="n">
        <f aca="false">MIN(N('My Debts'!$E$13),I164)</f>
        <v>0</v>
      </c>
      <c r="T164" s="39" t="n">
        <f aca="false">MIN(N('My Debts'!$E$14),J164)</f>
        <v>0</v>
      </c>
      <c r="U164" s="39" t="n">
        <f aca="false">MIN(N('My Debts'!$E$15),K164)</f>
        <v>0</v>
      </c>
      <c r="V164" s="39" t="n">
        <f aca="false">ROUND(B164-L164-MIN(B164-L164,MAX(0,$AF164-SUMPRODUCT(--($B$4:$K$4&lt;B$4),$B164:$K164-$L164:$U164))),2)</f>
        <v>0</v>
      </c>
      <c r="W164" s="39" t="n">
        <f aca="false">ROUND(C164-M164-MIN(C164-M164,MAX(0,$AF164-SUMPRODUCT(--($B$4:$K$4&lt;C$4),$B164:$K164-$L164:$U164))),2)</f>
        <v>0</v>
      </c>
      <c r="X164" s="39" t="n">
        <f aca="false">ROUND(D164-N164-MIN(D164-N164,MAX(0,$AF164-SUMPRODUCT(--($B$4:$K$4&lt;D$4),$B164:$K164-$L164:$U164))),2)</f>
        <v>0</v>
      </c>
      <c r="Y164" s="39" t="n">
        <f aca="false">ROUND(E164-O164-MIN(E164-O164,MAX(0,$AF164-SUMPRODUCT(--($B$4:$K$4&lt;E$4),$B164:$K164-$L164:$U164))),2)</f>
        <v>0</v>
      </c>
      <c r="Z164" s="39" t="n">
        <f aca="false">ROUND(F164-P164-MIN(F164-P164,MAX(0,$AF164-SUMPRODUCT(--($B$4:$K$4&lt;F$4),$B164:$K164-$L164:$U164))),2)</f>
        <v>0</v>
      </c>
      <c r="AA164" s="39" t="n">
        <f aca="false">ROUND(G164-Q164-MIN(G164-Q164,MAX(0,$AF164-SUMPRODUCT(--($B$4:$K$4&lt;G$4),$B164:$K164-$L164:$U164))),2)</f>
        <v>0</v>
      </c>
      <c r="AB164" s="39" t="n">
        <f aca="false">ROUND(H164-R164-MIN(H164-R164,MAX(0,$AF164-SUMPRODUCT(--($B$4:$K$4&lt;H$4),$B164:$K164-$L164:$U164))),2)</f>
        <v>0</v>
      </c>
      <c r="AC164" s="39" t="n">
        <f aca="false">ROUND(I164-S164-MIN(I164-S164,MAX(0,$AF164-SUMPRODUCT(--($B$4:$K$4&lt;I$4),$B164:$K164-$L164:$U164))),2)</f>
        <v>0</v>
      </c>
      <c r="AD164" s="39" t="n">
        <f aca="false">ROUND(J164-T164-MIN(J164-T164,MAX(0,$AF164-SUMPRODUCT(--($B$4:$K$4&lt;J$4),$B164:$K164-$L164:$U164))),2)</f>
        <v>0</v>
      </c>
      <c r="AE164" s="39" t="n">
        <f aca="false">ROUND(K164-U164-MIN(K164-U164,MAX(0,$AF164-SUMPRODUCT(--($B$4:$K$4&lt;K$4),$B164:$K164-$L164:$U164))),2)</f>
        <v>0</v>
      </c>
      <c r="AF164" s="39" t="n">
        <f aca="false">MAX(0,'Start Here'!$C$5-SUM($L164:$U164))</f>
        <v>1200</v>
      </c>
      <c r="AG164" s="39" t="n">
        <f aca="false">SUM(V164:AE164)</f>
        <v>0</v>
      </c>
      <c r="AH164" s="39" t="n">
        <f aca="false">SUM(B164:K164)-AG163</f>
        <v>0</v>
      </c>
    </row>
    <row r="165" customFormat="false" ht="15" hidden="false" customHeight="false" outlineLevel="0" collapsed="false">
      <c r="A165" s="40" t="n">
        <f aca="false">DATE(YEAR('Start Here'!$C$6),MONTH('Start Here'!$C$6)+158,1)</f>
        <v>51105</v>
      </c>
      <c r="B165" s="39" t="n">
        <f aca="false">ROUND(V164*(1+N('My Debts'!$D$6)/12),2)</f>
        <v>0</v>
      </c>
      <c r="C165" s="39" t="n">
        <f aca="false">ROUND(W164*(1+N('My Debts'!$D$7)/12),2)</f>
        <v>0</v>
      </c>
      <c r="D165" s="39" t="n">
        <f aca="false">ROUND(X164*(1+N('My Debts'!$D$8)/12),2)</f>
        <v>0</v>
      </c>
      <c r="E165" s="39" t="n">
        <f aca="false">ROUND(Y164*(1+N('My Debts'!$D$9)/12),2)</f>
        <v>0</v>
      </c>
      <c r="F165" s="39" t="n">
        <f aca="false">ROUND(Z164*(1+N('My Debts'!$D$10)/12),2)</f>
        <v>0</v>
      </c>
      <c r="G165" s="39" t="n">
        <f aca="false">ROUND(AA164*(1+N('My Debts'!$D$11)/12),2)</f>
        <v>0</v>
      </c>
      <c r="H165" s="39" t="n">
        <f aca="false">ROUND(AB164*(1+N('My Debts'!$D$12)/12),2)</f>
        <v>0</v>
      </c>
      <c r="I165" s="39" t="n">
        <f aca="false">ROUND(AC164*(1+N('My Debts'!$D$13)/12),2)</f>
        <v>0</v>
      </c>
      <c r="J165" s="39" t="n">
        <f aca="false">ROUND(AD164*(1+N('My Debts'!$D$14)/12),2)</f>
        <v>0</v>
      </c>
      <c r="K165" s="39" t="n">
        <f aca="false">ROUND(AE164*(1+N('My Debts'!$D$15)/12),2)</f>
        <v>0</v>
      </c>
      <c r="L165" s="39" t="n">
        <f aca="false">MIN(N('My Debts'!$E$6),B165)</f>
        <v>0</v>
      </c>
      <c r="M165" s="39" t="n">
        <f aca="false">MIN(N('My Debts'!$E$7),C165)</f>
        <v>0</v>
      </c>
      <c r="N165" s="39" t="n">
        <f aca="false">MIN(N('My Debts'!$E$8),D165)</f>
        <v>0</v>
      </c>
      <c r="O165" s="39" t="n">
        <f aca="false">MIN(N('My Debts'!$E$9),E165)</f>
        <v>0</v>
      </c>
      <c r="P165" s="39" t="n">
        <f aca="false">MIN(N('My Debts'!$E$10),F165)</f>
        <v>0</v>
      </c>
      <c r="Q165" s="39" t="n">
        <f aca="false">MIN(N('My Debts'!$E$11),G165)</f>
        <v>0</v>
      </c>
      <c r="R165" s="39" t="n">
        <f aca="false">MIN(N('My Debts'!$E$12),H165)</f>
        <v>0</v>
      </c>
      <c r="S165" s="39" t="n">
        <f aca="false">MIN(N('My Debts'!$E$13),I165)</f>
        <v>0</v>
      </c>
      <c r="T165" s="39" t="n">
        <f aca="false">MIN(N('My Debts'!$E$14),J165)</f>
        <v>0</v>
      </c>
      <c r="U165" s="39" t="n">
        <f aca="false">MIN(N('My Debts'!$E$15),K165)</f>
        <v>0</v>
      </c>
      <c r="V165" s="39" t="n">
        <f aca="false">ROUND(B165-L165-MIN(B165-L165,MAX(0,$AF165-SUMPRODUCT(--($B$4:$K$4&lt;B$4),$B165:$K165-$L165:$U165))),2)</f>
        <v>0</v>
      </c>
      <c r="W165" s="39" t="n">
        <f aca="false">ROUND(C165-M165-MIN(C165-M165,MAX(0,$AF165-SUMPRODUCT(--($B$4:$K$4&lt;C$4),$B165:$K165-$L165:$U165))),2)</f>
        <v>0</v>
      </c>
      <c r="X165" s="39" t="n">
        <f aca="false">ROUND(D165-N165-MIN(D165-N165,MAX(0,$AF165-SUMPRODUCT(--($B$4:$K$4&lt;D$4),$B165:$K165-$L165:$U165))),2)</f>
        <v>0</v>
      </c>
      <c r="Y165" s="39" t="n">
        <f aca="false">ROUND(E165-O165-MIN(E165-O165,MAX(0,$AF165-SUMPRODUCT(--($B$4:$K$4&lt;E$4),$B165:$K165-$L165:$U165))),2)</f>
        <v>0</v>
      </c>
      <c r="Z165" s="39" t="n">
        <f aca="false">ROUND(F165-P165-MIN(F165-P165,MAX(0,$AF165-SUMPRODUCT(--($B$4:$K$4&lt;F$4),$B165:$K165-$L165:$U165))),2)</f>
        <v>0</v>
      </c>
      <c r="AA165" s="39" t="n">
        <f aca="false">ROUND(G165-Q165-MIN(G165-Q165,MAX(0,$AF165-SUMPRODUCT(--($B$4:$K$4&lt;G$4),$B165:$K165-$L165:$U165))),2)</f>
        <v>0</v>
      </c>
      <c r="AB165" s="39" t="n">
        <f aca="false">ROUND(H165-R165-MIN(H165-R165,MAX(0,$AF165-SUMPRODUCT(--($B$4:$K$4&lt;H$4),$B165:$K165-$L165:$U165))),2)</f>
        <v>0</v>
      </c>
      <c r="AC165" s="39" t="n">
        <f aca="false">ROUND(I165-S165-MIN(I165-S165,MAX(0,$AF165-SUMPRODUCT(--($B$4:$K$4&lt;I$4),$B165:$K165-$L165:$U165))),2)</f>
        <v>0</v>
      </c>
      <c r="AD165" s="39" t="n">
        <f aca="false">ROUND(J165-T165-MIN(J165-T165,MAX(0,$AF165-SUMPRODUCT(--($B$4:$K$4&lt;J$4),$B165:$K165-$L165:$U165))),2)</f>
        <v>0</v>
      </c>
      <c r="AE165" s="39" t="n">
        <f aca="false">ROUND(K165-U165-MIN(K165-U165,MAX(0,$AF165-SUMPRODUCT(--($B$4:$K$4&lt;K$4),$B165:$K165-$L165:$U165))),2)</f>
        <v>0</v>
      </c>
      <c r="AF165" s="39" t="n">
        <f aca="false">MAX(0,'Start Here'!$C$5-SUM($L165:$U165))</f>
        <v>1200</v>
      </c>
      <c r="AG165" s="39" t="n">
        <f aca="false">SUM(V165:AE165)</f>
        <v>0</v>
      </c>
      <c r="AH165" s="39" t="n">
        <f aca="false">SUM(B165:K165)-AG164</f>
        <v>0</v>
      </c>
    </row>
    <row r="166" customFormat="false" ht="15" hidden="false" customHeight="false" outlineLevel="0" collapsed="false">
      <c r="A166" s="40" t="n">
        <f aca="false">DATE(YEAR('Start Here'!$C$6),MONTH('Start Here'!$C$6)+159,1)</f>
        <v>51136</v>
      </c>
      <c r="B166" s="39" t="n">
        <f aca="false">ROUND(V165*(1+N('My Debts'!$D$6)/12),2)</f>
        <v>0</v>
      </c>
      <c r="C166" s="39" t="n">
        <f aca="false">ROUND(W165*(1+N('My Debts'!$D$7)/12),2)</f>
        <v>0</v>
      </c>
      <c r="D166" s="39" t="n">
        <f aca="false">ROUND(X165*(1+N('My Debts'!$D$8)/12),2)</f>
        <v>0</v>
      </c>
      <c r="E166" s="39" t="n">
        <f aca="false">ROUND(Y165*(1+N('My Debts'!$D$9)/12),2)</f>
        <v>0</v>
      </c>
      <c r="F166" s="39" t="n">
        <f aca="false">ROUND(Z165*(1+N('My Debts'!$D$10)/12),2)</f>
        <v>0</v>
      </c>
      <c r="G166" s="39" t="n">
        <f aca="false">ROUND(AA165*(1+N('My Debts'!$D$11)/12),2)</f>
        <v>0</v>
      </c>
      <c r="H166" s="39" t="n">
        <f aca="false">ROUND(AB165*(1+N('My Debts'!$D$12)/12),2)</f>
        <v>0</v>
      </c>
      <c r="I166" s="39" t="n">
        <f aca="false">ROUND(AC165*(1+N('My Debts'!$D$13)/12),2)</f>
        <v>0</v>
      </c>
      <c r="J166" s="39" t="n">
        <f aca="false">ROUND(AD165*(1+N('My Debts'!$D$14)/12),2)</f>
        <v>0</v>
      </c>
      <c r="K166" s="39" t="n">
        <f aca="false">ROUND(AE165*(1+N('My Debts'!$D$15)/12),2)</f>
        <v>0</v>
      </c>
      <c r="L166" s="39" t="n">
        <f aca="false">MIN(N('My Debts'!$E$6),B166)</f>
        <v>0</v>
      </c>
      <c r="M166" s="39" t="n">
        <f aca="false">MIN(N('My Debts'!$E$7),C166)</f>
        <v>0</v>
      </c>
      <c r="N166" s="39" t="n">
        <f aca="false">MIN(N('My Debts'!$E$8),D166)</f>
        <v>0</v>
      </c>
      <c r="O166" s="39" t="n">
        <f aca="false">MIN(N('My Debts'!$E$9),E166)</f>
        <v>0</v>
      </c>
      <c r="P166" s="39" t="n">
        <f aca="false">MIN(N('My Debts'!$E$10),F166)</f>
        <v>0</v>
      </c>
      <c r="Q166" s="39" t="n">
        <f aca="false">MIN(N('My Debts'!$E$11),G166)</f>
        <v>0</v>
      </c>
      <c r="R166" s="39" t="n">
        <f aca="false">MIN(N('My Debts'!$E$12),H166)</f>
        <v>0</v>
      </c>
      <c r="S166" s="39" t="n">
        <f aca="false">MIN(N('My Debts'!$E$13),I166)</f>
        <v>0</v>
      </c>
      <c r="T166" s="39" t="n">
        <f aca="false">MIN(N('My Debts'!$E$14),J166)</f>
        <v>0</v>
      </c>
      <c r="U166" s="39" t="n">
        <f aca="false">MIN(N('My Debts'!$E$15),K166)</f>
        <v>0</v>
      </c>
      <c r="V166" s="39" t="n">
        <f aca="false">ROUND(B166-L166-MIN(B166-L166,MAX(0,$AF166-SUMPRODUCT(--($B$4:$K$4&lt;B$4),$B166:$K166-$L166:$U166))),2)</f>
        <v>0</v>
      </c>
      <c r="W166" s="39" t="n">
        <f aca="false">ROUND(C166-M166-MIN(C166-M166,MAX(0,$AF166-SUMPRODUCT(--($B$4:$K$4&lt;C$4),$B166:$K166-$L166:$U166))),2)</f>
        <v>0</v>
      </c>
      <c r="X166" s="39" t="n">
        <f aca="false">ROUND(D166-N166-MIN(D166-N166,MAX(0,$AF166-SUMPRODUCT(--($B$4:$K$4&lt;D$4),$B166:$K166-$L166:$U166))),2)</f>
        <v>0</v>
      </c>
      <c r="Y166" s="39" t="n">
        <f aca="false">ROUND(E166-O166-MIN(E166-O166,MAX(0,$AF166-SUMPRODUCT(--($B$4:$K$4&lt;E$4),$B166:$K166-$L166:$U166))),2)</f>
        <v>0</v>
      </c>
      <c r="Z166" s="39" t="n">
        <f aca="false">ROUND(F166-P166-MIN(F166-P166,MAX(0,$AF166-SUMPRODUCT(--($B$4:$K$4&lt;F$4),$B166:$K166-$L166:$U166))),2)</f>
        <v>0</v>
      </c>
      <c r="AA166" s="39" t="n">
        <f aca="false">ROUND(G166-Q166-MIN(G166-Q166,MAX(0,$AF166-SUMPRODUCT(--($B$4:$K$4&lt;G$4),$B166:$K166-$L166:$U166))),2)</f>
        <v>0</v>
      </c>
      <c r="AB166" s="39" t="n">
        <f aca="false">ROUND(H166-R166-MIN(H166-R166,MAX(0,$AF166-SUMPRODUCT(--($B$4:$K$4&lt;H$4),$B166:$K166-$L166:$U166))),2)</f>
        <v>0</v>
      </c>
      <c r="AC166" s="39" t="n">
        <f aca="false">ROUND(I166-S166-MIN(I166-S166,MAX(0,$AF166-SUMPRODUCT(--($B$4:$K$4&lt;I$4),$B166:$K166-$L166:$U166))),2)</f>
        <v>0</v>
      </c>
      <c r="AD166" s="39" t="n">
        <f aca="false">ROUND(J166-T166-MIN(J166-T166,MAX(0,$AF166-SUMPRODUCT(--($B$4:$K$4&lt;J$4),$B166:$K166-$L166:$U166))),2)</f>
        <v>0</v>
      </c>
      <c r="AE166" s="39" t="n">
        <f aca="false">ROUND(K166-U166-MIN(K166-U166,MAX(0,$AF166-SUMPRODUCT(--($B$4:$K$4&lt;K$4),$B166:$K166-$L166:$U166))),2)</f>
        <v>0</v>
      </c>
      <c r="AF166" s="39" t="n">
        <f aca="false">MAX(0,'Start Here'!$C$5-SUM($L166:$U166))</f>
        <v>1200</v>
      </c>
      <c r="AG166" s="39" t="n">
        <f aca="false">SUM(V166:AE166)</f>
        <v>0</v>
      </c>
      <c r="AH166" s="39" t="n">
        <f aca="false">SUM(B166:K166)-AG165</f>
        <v>0</v>
      </c>
    </row>
    <row r="167" customFormat="false" ht="15" hidden="false" customHeight="false" outlineLevel="0" collapsed="false">
      <c r="A167" s="40" t="n">
        <f aca="false">DATE(YEAR('Start Here'!$C$6),MONTH('Start Here'!$C$6)+160,1)</f>
        <v>51167</v>
      </c>
      <c r="B167" s="39" t="n">
        <f aca="false">ROUND(V166*(1+N('My Debts'!$D$6)/12),2)</f>
        <v>0</v>
      </c>
      <c r="C167" s="39" t="n">
        <f aca="false">ROUND(W166*(1+N('My Debts'!$D$7)/12),2)</f>
        <v>0</v>
      </c>
      <c r="D167" s="39" t="n">
        <f aca="false">ROUND(X166*(1+N('My Debts'!$D$8)/12),2)</f>
        <v>0</v>
      </c>
      <c r="E167" s="39" t="n">
        <f aca="false">ROUND(Y166*(1+N('My Debts'!$D$9)/12),2)</f>
        <v>0</v>
      </c>
      <c r="F167" s="39" t="n">
        <f aca="false">ROUND(Z166*(1+N('My Debts'!$D$10)/12),2)</f>
        <v>0</v>
      </c>
      <c r="G167" s="39" t="n">
        <f aca="false">ROUND(AA166*(1+N('My Debts'!$D$11)/12),2)</f>
        <v>0</v>
      </c>
      <c r="H167" s="39" t="n">
        <f aca="false">ROUND(AB166*(1+N('My Debts'!$D$12)/12),2)</f>
        <v>0</v>
      </c>
      <c r="I167" s="39" t="n">
        <f aca="false">ROUND(AC166*(1+N('My Debts'!$D$13)/12),2)</f>
        <v>0</v>
      </c>
      <c r="J167" s="39" t="n">
        <f aca="false">ROUND(AD166*(1+N('My Debts'!$D$14)/12),2)</f>
        <v>0</v>
      </c>
      <c r="K167" s="39" t="n">
        <f aca="false">ROUND(AE166*(1+N('My Debts'!$D$15)/12),2)</f>
        <v>0</v>
      </c>
      <c r="L167" s="39" t="n">
        <f aca="false">MIN(N('My Debts'!$E$6),B167)</f>
        <v>0</v>
      </c>
      <c r="M167" s="39" t="n">
        <f aca="false">MIN(N('My Debts'!$E$7),C167)</f>
        <v>0</v>
      </c>
      <c r="N167" s="39" t="n">
        <f aca="false">MIN(N('My Debts'!$E$8),D167)</f>
        <v>0</v>
      </c>
      <c r="O167" s="39" t="n">
        <f aca="false">MIN(N('My Debts'!$E$9),E167)</f>
        <v>0</v>
      </c>
      <c r="P167" s="39" t="n">
        <f aca="false">MIN(N('My Debts'!$E$10),F167)</f>
        <v>0</v>
      </c>
      <c r="Q167" s="39" t="n">
        <f aca="false">MIN(N('My Debts'!$E$11),G167)</f>
        <v>0</v>
      </c>
      <c r="R167" s="39" t="n">
        <f aca="false">MIN(N('My Debts'!$E$12),H167)</f>
        <v>0</v>
      </c>
      <c r="S167" s="39" t="n">
        <f aca="false">MIN(N('My Debts'!$E$13),I167)</f>
        <v>0</v>
      </c>
      <c r="T167" s="39" t="n">
        <f aca="false">MIN(N('My Debts'!$E$14),J167)</f>
        <v>0</v>
      </c>
      <c r="U167" s="39" t="n">
        <f aca="false">MIN(N('My Debts'!$E$15),K167)</f>
        <v>0</v>
      </c>
      <c r="V167" s="39" t="n">
        <f aca="false">ROUND(B167-L167-MIN(B167-L167,MAX(0,$AF167-SUMPRODUCT(--($B$4:$K$4&lt;B$4),$B167:$K167-$L167:$U167))),2)</f>
        <v>0</v>
      </c>
      <c r="W167" s="39" t="n">
        <f aca="false">ROUND(C167-M167-MIN(C167-M167,MAX(0,$AF167-SUMPRODUCT(--($B$4:$K$4&lt;C$4),$B167:$K167-$L167:$U167))),2)</f>
        <v>0</v>
      </c>
      <c r="X167" s="39" t="n">
        <f aca="false">ROUND(D167-N167-MIN(D167-N167,MAX(0,$AF167-SUMPRODUCT(--($B$4:$K$4&lt;D$4),$B167:$K167-$L167:$U167))),2)</f>
        <v>0</v>
      </c>
      <c r="Y167" s="39" t="n">
        <f aca="false">ROUND(E167-O167-MIN(E167-O167,MAX(0,$AF167-SUMPRODUCT(--($B$4:$K$4&lt;E$4),$B167:$K167-$L167:$U167))),2)</f>
        <v>0</v>
      </c>
      <c r="Z167" s="39" t="n">
        <f aca="false">ROUND(F167-P167-MIN(F167-P167,MAX(0,$AF167-SUMPRODUCT(--($B$4:$K$4&lt;F$4),$B167:$K167-$L167:$U167))),2)</f>
        <v>0</v>
      </c>
      <c r="AA167" s="39" t="n">
        <f aca="false">ROUND(G167-Q167-MIN(G167-Q167,MAX(0,$AF167-SUMPRODUCT(--($B$4:$K$4&lt;G$4),$B167:$K167-$L167:$U167))),2)</f>
        <v>0</v>
      </c>
      <c r="AB167" s="39" t="n">
        <f aca="false">ROUND(H167-R167-MIN(H167-R167,MAX(0,$AF167-SUMPRODUCT(--($B$4:$K$4&lt;H$4),$B167:$K167-$L167:$U167))),2)</f>
        <v>0</v>
      </c>
      <c r="AC167" s="39" t="n">
        <f aca="false">ROUND(I167-S167-MIN(I167-S167,MAX(0,$AF167-SUMPRODUCT(--($B$4:$K$4&lt;I$4),$B167:$K167-$L167:$U167))),2)</f>
        <v>0</v>
      </c>
      <c r="AD167" s="39" t="n">
        <f aca="false">ROUND(J167-T167-MIN(J167-T167,MAX(0,$AF167-SUMPRODUCT(--($B$4:$K$4&lt;J$4),$B167:$K167-$L167:$U167))),2)</f>
        <v>0</v>
      </c>
      <c r="AE167" s="39" t="n">
        <f aca="false">ROUND(K167-U167-MIN(K167-U167,MAX(0,$AF167-SUMPRODUCT(--($B$4:$K$4&lt;K$4),$B167:$K167-$L167:$U167))),2)</f>
        <v>0</v>
      </c>
      <c r="AF167" s="39" t="n">
        <f aca="false">MAX(0,'Start Here'!$C$5-SUM($L167:$U167))</f>
        <v>1200</v>
      </c>
      <c r="AG167" s="39" t="n">
        <f aca="false">SUM(V167:AE167)</f>
        <v>0</v>
      </c>
      <c r="AH167" s="39" t="n">
        <f aca="false">SUM(B167:K167)-AG166</f>
        <v>0</v>
      </c>
    </row>
    <row r="168" customFormat="false" ht="15" hidden="false" customHeight="false" outlineLevel="0" collapsed="false">
      <c r="A168" s="40" t="n">
        <f aca="false">DATE(YEAR('Start Here'!$C$6),MONTH('Start Here'!$C$6)+161,1)</f>
        <v>51196</v>
      </c>
      <c r="B168" s="39" t="n">
        <f aca="false">ROUND(V167*(1+N('My Debts'!$D$6)/12),2)</f>
        <v>0</v>
      </c>
      <c r="C168" s="39" t="n">
        <f aca="false">ROUND(W167*(1+N('My Debts'!$D$7)/12),2)</f>
        <v>0</v>
      </c>
      <c r="D168" s="39" t="n">
        <f aca="false">ROUND(X167*(1+N('My Debts'!$D$8)/12),2)</f>
        <v>0</v>
      </c>
      <c r="E168" s="39" t="n">
        <f aca="false">ROUND(Y167*(1+N('My Debts'!$D$9)/12),2)</f>
        <v>0</v>
      </c>
      <c r="F168" s="39" t="n">
        <f aca="false">ROUND(Z167*(1+N('My Debts'!$D$10)/12),2)</f>
        <v>0</v>
      </c>
      <c r="G168" s="39" t="n">
        <f aca="false">ROUND(AA167*(1+N('My Debts'!$D$11)/12),2)</f>
        <v>0</v>
      </c>
      <c r="H168" s="39" t="n">
        <f aca="false">ROUND(AB167*(1+N('My Debts'!$D$12)/12),2)</f>
        <v>0</v>
      </c>
      <c r="I168" s="39" t="n">
        <f aca="false">ROUND(AC167*(1+N('My Debts'!$D$13)/12),2)</f>
        <v>0</v>
      </c>
      <c r="J168" s="39" t="n">
        <f aca="false">ROUND(AD167*(1+N('My Debts'!$D$14)/12),2)</f>
        <v>0</v>
      </c>
      <c r="K168" s="39" t="n">
        <f aca="false">ROUND(AE167*(1+N('My Debts'!$D$15)/12),2)</f>
        <v>0</v>
      </c>
      <c r="L168" s="39" t="n">
        <f aca="false">MIN(N('My Debts'!$E$6),B168)</f>
        <v>0</v>
      </c>
      <c r="M168" s="39" t="n">
        <f aca="false">MIN(N('My Debts'!$E$7),C168)</f>
        <v>0</v>
      </c>
      <c r="N168" s="39" t="n">
        <f aca="false">MIN(N('My Debts'!$E$8),D168)</f>
        <v>0</v>
      </c>
      <c r="O168" s="39" t="n">
        <f aca="false">MIN(N('My Debts'!$E$9),E168)</f>
        <v>0</v>
      </c>
      <c r="P168" s="39" t="n">
        <f aca="false">MIN(N('My Debts'!$E$10),F168)</f>
        <v>0</v>
      </c>
      <c r="Q168" s="39" t="n">
        <f aca="false">MIN(N('My Debts'!$E$11),G168)</f>
        <v>0</v>
      </c>
      <c r="R168" s="39" t="n">
        <f aca="false">MIN(N('My Debts'!$E$12),H168)</f>
        <v>0</v>
      </c>
      <c r="S168" s="39" t="n">
        <f aca="false">MIN(N('My Debts'!$E$13),I168)</f>
        <v>0</v>
      </c>
      <c r="T168" s="39" t="n">
        <f aca="false">MIN(N('My Debts'!$E$14),J168)</f>
        <v>0</v>
      </c>
      <c r="U168" s="39" t="n">
        <f aca="false">MIN(N('My Debts'!$E$15),K168)</f>
        <v>0</v>
      </c>
      <c r="V168" s="39" t="n">
        <f aca="false">ROUND(B168-L168-MIN(B168-L168,MAX(0,$AF168-SUMPRODUCT(--($B$4:$K$4&lt;B$4),$B168:$K168-$L168:$U168))),2)</f>
        <v>0</v>
      </c>
      <c r="W168" s="39" t="n">
        <f aca="false">ROUND(C168-M168-MIN(C168-M168,MAX(0,$AF168-SUMPRODUCT(--($B$4:$K$4&lt;C$4),$B168:$K168-$L168:$U168))),2)</f>
        <v>0</v>
      </c>
      <c r="X168" s="39" t="n">
        <f aca="false">ROUND(D168-N168-MIN(D168-N168,MAX(0,$AF168-SUMPRODUCT(--($B$4:$K$4&lt;D$4),$B168:$K168-$L168:$U168))),2)</f>
        <v>0</v>
      </c>
      <c r="Y168" s="39" t="n">
        <f aca="false">ROUND(E168-O168-MIN(E168-O168,MAX(0,$AF168-SUMPRODUCT(--($B$4:$K$4&lt;E$4),$B168:$K168-$L168:$U168))),2)</f>
        <v>0</v>
      </c>
      <c r="Z168" s="39" t="n">
        <f aca="false">ROUND(F168-P168-MIN(F168-P168,MAX(0,$AF168-SUMPRODUCT(--($B$4:$K$4&lt;F$4),$B168:$K168-$L168:$U168))),2)</f>
        <v>0</v>
      </c>
      <c r="AA168" s="39" t="n">
        <f aca="false">ROUND(G168-Q168-MIN(G168-Q168,MAX(0,$AF168-SUMPRODUCT(--($B$4:$K$4&lt;G$4),$B168:$K168-$L168:$U168))),2)</f>
        <v>0</v>
      </c>
      <c r="AB168" s="39" t="n">
        <f aca="false">ROUND(H168-R168-MIN(H168-R168,MAX(0,$AF168-SUMPRODUCT(--($B$4:$K$4&lt;H$4),$B168:$K168-$L168:$U168))),2)</f>
        <v>0</v>
      </c>
      <c r="AC168" s="39" t="n">
        <f aca="false">ROUND(I168-S168-MIN(I168-S168,MAX(0,$AF168-SUMPRODUCT(--($B$4:$K$4&lt;I$4),$B168:$K168-$L168:$U168))),2)</f>
        <v>0</v>
      </c>
      <c r="AD168" s="39" t="n">
        <f aca="false">ROUND(J168-T168-MIN(J168-T168,MAX(0,$AF168-SUMPRODUCT(--($B$4:$K$4&lt;J$4),$B168:$K168-$L168:$U168))),2)</f>
        <v>0</v>
      </c>
      <c r="AE168" s="39" t="n">
        <f aca="false">ROUND(K168-U168-MIN(K168-U168,MAX(0,$AF168-SUMPRODUCT(--($B$4:$K$4&lt;K$4),$B168:$K168-$L168:$U168))),2)</f>
        <v>0</v>
      </c>
      <c r="AF168" s="39" t="n">
        <f aca="false">MAX(0,'Start Here'!$C$5-SUM($L168:$U168))</f>
        <v>1200</v>
      </c>
      <c r="AG168" s="39" t="n">
        <f aca="false">SUM(V168:AE168)</f>
        <v>0</v>
      </c>
      <c r="AH168" s="39" t="n">
        <f aca="false">SUM(B168:K168)-AG167</f>
        <v>0</v>
      </c>
    </row>
    <row r="169" customFormat="false" ht="15" hidden="false" customHeight="false" outlineLevel="0" collapsed="false">
      <c r="A169" s="40" t="n">
        <f aca="false">DATE(YEAR('Start Here'!$C$6),MONTH('Start Here'!$C$6)+162,1)</f>
        <v>51227</v>
      </c>
      <c r="B169" s="39" t="n">
        <f aca="false">ROUND(V168*(1+N('My Debts'!$D$6)/12),2)</f>
        <v>0</v>
      </c>
      <c r="C169" s="39" t="n">
        <f aca="false">ROUND(W168*(1+N('My Debts'!$D$7)/12),2)</f>
        <v>0</v>
      </c>
      <c r="D169" s="39" t="n">
        <f aca="false">ROUND(X168*(1+N('My Debts'!$D$8)/12),2)</f>
        <v>0</v>
      </c>
      <c r="E169" s="39" t="n">
        <f aca="false">ROUND(Y168*(1+N('My Debts'!$D$9)/12),2)</f>
        <v>0</v>
      </c>
      <c r="F169" s="39" t="n">
        <f aca="false">ROUND(Z168*(1+N('My Debts'!$D$10)/12),2)</f>
        <v>0</v>
      </c>
      <c r="G169" s="39" t="n">
        <f aca="false">ROUND(AA168*(1+N('My Debts'!$D$11)/12),2)</f>
        <v>0</v>
      </c>
      <c r="H169" s="39" t="n">
        <f aca="false">ROUND(AB168*(1+N('My Debts'!$D$12)/12),2)</f>
        <v>0</v>
      </c>
      <c r="I169" s="39" t="n">
        <f aca="false">ROUND(AC168*(1+N('My Debts'!$D$13)/12),2)</f>
        <v>0</v>
      </c>
      <c r="J169" s="39" t="n">
        <f aca="false">ROUND(AD168*(1+N('My Debts'!$D$14)/12),2)</f>
        <v>0</v>
      </c>
      <c r="K169" s="39" t="n">
        <f aca="false">ROUND(AE168*(1+N('My Debts'!$D$15)/12),2)</f>
        <v>0</v>
      </c>
      <c r="L169" s="39" t="n">
        <f aca="false">MIN(N('My Debts'!$E$6),B169)</f>
        <v>0</v>
      </c>
      <c r="M169" s="39" t="n">
        <f aca="false">MIN(N('My Debts'!$E$7),C169)</f>
        <v>0</v>
      </c>
      <c r="N169" s="39" t="n">
        <f aca="false">MIN(N('My Debts'!$E$8),D169)</f>
        <v>0</v>
      </c>
      <c r="O169" s="39" t="n">
        <f aca="false">MIN(N('My Debts'!$E$9),E169)</f>
        <v>0</v>
      </c>
      <c r="P169" s="39" t="n">
        <f aca="false">MIN(N('My Debts'!$E$10),F169)</f>
        <v>0</v>
      </c>
      <c r="Q169" s="39" t="n">
        <f aca="false">MIN(N('My Debts'!$E$11),G169)</f>
        <v>0</v>
      </c>
      <c r="R169" s="39" t="n">
        <f aca="false">MIN(N('My Debts'!$E$12),H169)</f>
        <v>0</v>
      </c>
      <c r="S169" s="39" t="n">
        <f aca="false">MIN(N('My Debts'!$E$13),I169)</f>
        <v>0</v>
      </c>
      <c r="T169" s="39" t="n">
        <f aca="false">MIN(N('My Debts'!$E$14),J169)</f>
        <v>0</v>
      </c>
      <c r="U169" s="39" t="n">
        <f aca="false">MIN(N('My Debts'!$E$15),K169)</f>
        <v>0</v>
      </c>
      <c r="V169" s="39" t="n">
        <f aca="false">ROUND(B169-L169-MIN(B169-L169,MAX(0,$AF169-SUMPRODUCT(--($B$4:$K$4&lt;B$4),$B169:$K169-$L169:$U169))),2)</f>
        <v>0</v>
      </c>
      <c r="W169" s="39" t="n">
        <f aca="false">ROUND(C169-M169-MIN(C169-M169,MAX(0,$AF169-SUMPRODUCT(--($B$4:$K$4&lt;C$4),$B169:$K169-$L169:$U169))),2)</f>
        <v>0</v>
      </c>
      <c r="X169" s="39" t="n">
        <f aca="false">ROUND(D169-N169-MIN(D169-N169,MAX(0,$AF169-SUMPRODUCT(--($B$4:$K$4&lt;D$4),$B169:$K169-$L169:$U169))),2)</f>
        <v>0</v>
      </c>
      <c r="Y169" s="39" t="n">
        <f aca="false">ROUND(E169-O169-MIN(E169-O169,MAX(0,$AF169-SUMPRODUCT(--($B$4:$K$4&lt;E$4),$B169:$K169-$L169:$U169))),2)</f>
        <v>0</v>
      </c>
      <c r="Z169" s="39" t="n">
        <f aca="false">ROUND(F169-P169-MIN(F169-P169,MAX(0,$AF169-SUMPRODUCT(--($B$4:$K$4&lt;F$4),$B169:$K169-$L169:$U169))),2)</f>
        <v>0</v>
      </c>
      <c r="AA169" s="39" t="n">
        <f aca="false">ROUND(G169-Q169-MIN(G169-Q169,MAX(0,$AF169-SUMPRODUCT(--($B$4:$K$4&lt;G$4),$B169:$K169-$L169:$U169))),2)</f>
        <v>0</v>
      </c>
      <c r="AB169" s="39" t="n">
        <f aca="false">ROUND(H169-R169-MIN(H169-R169,MAX(0,$AF169-SUMPRODUCT(--($B$4:$K$4&lt;H$4),$B169:$K169-$L169:$U169))),2)</f>
        <v>0</v>
      </c>
      <c r="AC169" s="39" t="n">
        <f aca="false">ROUND(I169-S169-MIN(I169-S169,MAX(0,$AF169-SUMPRODUCT(--($B$4:$K$4&lt;I$4),$B169:$K169-$L169:$U169))),2)</f>
        <v>0</v>
      </c>
      <c r="AD169" s="39" t="n">
        <f aca="false">ROUND(J169-T169-MIN(J169-T169,MAX(0,$AF169-SUMPRODUCT(--($B$4:$K$4&lt;J$4),$B169:$K169-$L169:$U169))),2)</f>
        <v>0</v>
      </c>
      <c r="AE169" s="39" t="n">
        <f aca="false">ROUND(K169-U169-MIN(K169-U169,MAX(0,$AF169-SUMPRODUCT(--($B$4:$K$4&lt;K$4),$B169:$K169-$L169:$U169))),2)</f>
        <v>0</v>
      </c>
      <c r="AF169" s="39" t="n">
        <f aca="false">MAX(0,'Start Here'!$C$5-SUM($L169:$U169))</f>
        <v>1200</v>
      </c>
      <c r="AG169" s="39" t="n">
        <f aca="false">SUM(V169:AE169)</f>
        <v>0</v>
      </c>
      <c r="AH169" s="39" t="n">
        <f aca="false">SUM(B169:K169)-AG168</f>
        <v>0</v>
      </c>
    </row>
    <row r="170" customFormat="false" ht="15" hidden="false" customHeight="false" outlineLevel="0" collapsed="false">
      <c r="A170" s="40" t="n">
        <f aca="false">DATE(YEAR('Start Here'!$C$6),MONTH('Start Here'!$C$6)+163,1)</f>
        <v>51257</v>
      </c>
      <c r="B170" s="39" t="n">
        <f aca="false">ROUND(V169*(1+N('My Debts'!$D$6)/12),2)</f>
        <v>0</v>
      </c>
      <c r="C170" s="39" t="n">
        <f aca="false">ROUND(W169*(1+N('My Debts'!$D$7)/12),2)</f>
        <v>0</v>
      </c>
      <c r="D170" s="39" t="n">
        <f aca="false">ROUND(X169*(1+N('My Debts'!$D$8)/12),2)</f>
        <v>0</v>
      </c>
      <c r="E170" s="39" t="n">
        <f aca="false">ROUND(Y169*(1+N('My Debts'!$D$9)/12),2)</f>
        <v>0</v>
      </c>
      <c r="F170" s="39" t="n">
        <f aca="false">ROUND(Z169*(1+N('My Debts'!$D$10)/12),2)</f>
        <v>0</v>
      </c>
      <c r="G170" s="39" t="n">
        <f aca="false">ROUND(AA169*(1+N('My Debts'!$D$11)/12),2)</f>
        <v>0</v>
      </c>
      <c r="H170" s="39" t="n">
        <f aca="false">ROUND(AB169*(1+N('My Debts'!$D$12)/12),2)</f>
        <v>0</v>
      </c>
      <c r="I170" s="39" t="n">
        <f aca="false">ROUND(AC169*(1+N('My Debts'!$D$13)/12),2)</f>
        <v>0</v>
      </c>
      <c r="J170" s="39" t="n">
        <f aca="false">ROUND(AD169*(1+N('My Debts'!$D$14)/12),2)</f>
        <v>0</v>
      </c>
      <c r="K170" s="39" t="n">
        <f aca="false">ROUND(AE169*(1+N('My Debts'!$D$15)/12),2)</f>
        <v>0</v>
      </c>
      <c r="L170" s="39" t="n">
        <f aca="false">MIN(N('My Debts'!$E$6),B170)</f>
        <v>0</v>
      </c>
      <c r="M170" s="39" t="n">
        <f aca="false">MIN(N('My Debts'!$E$7),C170)</f>
        <v>0</v>
      </c>
      <c r="N170" s="39" t="n">
        <f aca="false">MIN(N('My Debts'!$E$8),D170)</f>
        <v>0</v>
      </c>
      <c r="O170" s="39" t="n">
        <f aca="false">MIN(N('My Debts'!$E$9),E170)</f>
        <v>0</v>
      </c>
      <c r="P170" s="39" t="n">
        <f aca="false">MIN(N('My Debts'!$E$10),F170)</f>
        <v>0</v>
      </c>
      <c r="Q170" s="39" t="n">
        <f aca="false">MIN(N('My Debts'!$E$11),G170)</f>
        <v>0</v>
      </c>
      <c r="R170" s="39" t="n">
        <f aca="false">MIN(N('My Debts'!$E$12),H170)</f>
        <v>0</v>
      </c>
      <c r="S170" s="39" t="n">
        <f aca="false">MIN(N('My Debts'!$E$13),I170)</f>
        <v>0</v>
      </c>
      <c r="T170" s="39" t="n">
        <f aca="false">MIN(N('My Debts'!$E$14),J170)</f>
        <v>0</v>
      </c>
      <c r="U170" s="39" t="n">
        <f aca="false">MIN(N('My Debts'!$E$15),K170)</f>
        <v>0</v>
      </c>
      <c r="V170" s="39" t="n">
        <f aca="false">ROUND(B170-L170-MIN(B170-L170,MAX(0,$AF170-SUMPRODUCT(--($B$4:$K$4&lt;B$4),$B170:$K170-$L170:$U170))),2)</f>
        <v>0</v>
      </c>
      <c r="W170" s="39" t="n">
        <f aca="false">ROUND(C170-M170-MIN(C170-M170,MAX(0,$AF170-SUMPRODUCT(--($B$4:$K$4&lt;C$4),$B170:$K170-$L170:$U170))),2)</f>
        <v>0</v>
      </c>
      <c r="X170" s="39" t="n">
        <f aca="false">ROUND(D170-N170-MIN(D170-N170,MAX(0,$AF170-SUMPRODUCT(--($B$4:$K$4&lt;D$4),$B170:$K170-$L170:$U170))),2)</f>
        <v>0</v>
      </c>
      <c r="Y170" s="39" t="n">
        <f aca="false">ROUND(E170-O170-MIN(E170-O170,MAX(0,$AF170-SUMPRODUCT(--($B$4:$K$4&lt;E$4),$B170:$K170-$L170:$U170))),2)</f>
        <v>0</v>
      </c>
      <c r="Z170" s="39" t="n">
        <f aca="false">ROUND(F170-P170-MIN(F170-P170,MAX(0,$AF170-SUMPRODUCT(--($B$4:$K$4&lt;F$4),$B170:$K170-$L170:$U170))),2)</f>
        <v>0</v>
      </c>
      <c r="AA170" s="39" t="n">
        <f aca="false">ROUND(G170-Q170-MIN(G170-Q170,MAX(0,$AF170-SUMPRODUCT(--($B$4:$K$4&lt;G$4),$B170:$K170-$L170:$U170))),2)</f>
        <v>0</v>
      </c>
      <c r="AB170" s="39" t="n">
        <f aca="false">ROUND(H170-R170-MIN(H170-R170,MAX(0,$AF170-SUMPRODUCT(--($B$4:$K$4&lt;H$4),$B170:$K170-$L170:$U170))),2)</f>
        <v>0</v>
      </c>
      <c r="AC170" s="39" t="n">
        <f aca="false">ROUND(I170-S170-MIN(I170-S170,MAX(0,$AF170-SUMPRODUCT(--($B$4:$K$4&lt;I$4),$B170:$K170-$L170:$U170))),2)</f>
        <v>0</v>
      </c>
      <c r="AD170" s="39" t="n">
        <f aca="false">ROUND(J170-T170-MIN(J170-T170,MAX(0,$AF170-SUMPRODUCT(--($B$4:$K$4&lt;J$4),$B170:$K170-$L170:$U170))),2)</f>
        <v>0</v>
      </c>
      <c r="AE170" s="39" t="n">
        <f aca="false">ROUND(K170-U170-MIN(K170-U170,MAX(0,$AF170-SUMPRODUCT(--($B$4:$K$4&lt;K$4),$B170:$K170-$L170:$U170))),2)</f>
        <v>0</v>
      </c>
      <c r="AF170" s="39" t="n">
        <f aca="false">MAX(0,'Start Here'!$C$5-SUM($L170:$U170))</f>
        <v>1200</v>
      </c>
      <c r="AG170" s="39" t="n">
        <f aca="false">SUM(V170:AE170)</f>
        <v>0</v>
      </c>
      <c r="AH170" s="39" t="n">
        <f aca="false">SUM(B170:K170)-AG169</f>
        <v>0</v>
      </c>
    </row>
    <row r="171" customFormat="false" ht="15" hidden="false" customHeight="false" outlineLevel="0" collapsed="false">
      <c r="A171" s="40" t="n">
        <f aca="false">DATE(YEAR('Start Here'!$C$6),MONTH('Start Here'!$C$6)+164,1)</f>
        <v>51288</v>
      </c>
      <c r="B171" s="39" t="n">
        <f aca="false">ROUND(V170*(1+N('My Debts'!$D$6)/12),2)</f>
        <v>0</v>
      </c>
      <c r="C171" s="39" t="n">
        <f aca="false">ROUND(W170*(1+N('My Debts'!$D$7)/12),2)</f>
        <v>0</v>
      </c>
      <c r="D171" s="39" t="n">
        <f aca="false">ROUND(X170*(1+N('My Debts'!$D$8)/12),2)</f>
        <v>0</v>
      </c>
      <c r="E171" s="39" t="n">
        <f aca="false">ROUND(Y170*(1+N('My Debts'!$D$9)/12),2)</f>
        <v>0</v>
      </c>
      <c r="F171" s="39" t="n">
        <f aca="false">ROUND(Z170*(1+N('My Debts'!$D$10)/12),2)</f>
        <v>0</v>
      </c>
      <c r="G171" s="39" t="n">
        <f aca="false">ROUND(AA170*(1+N('My Debts'!$D$11)/12),2)</f>
        <v>0</v>
      </c>
      <c r="H171" s="39" t="n">
        <f aca="false">ROUND(AB170*(1+N('My Debts'!$D$12)/12),2)</f>
        <v>0</v>
      </c>
      <c r="I171" s="39" t="n">
        <f aca="false">ROUND(AC170*(1+N('My Debts'!$D$13)/12),2)</f>
        <v>0</v>
      </c>
      <c r="J171" s="39" t="n">
        <f aca="false">ROUND(AD170*(1+N('My Debts'!$D$14)/12),2)</f>
        <v>0</v>
      </c>
      <c r="K171" s="39" t="n">
        <f aca="false">ROUND(AE170*(1+N('My Debts'!$D$15)/12),2)</f>
        <v>0</v>
      </c>
      <c r="L171" s="39" t="n">
        <f aca="false">MIN(N('My Debts'!$E$6),B171)</f>
        <v>0</v>
      </c>
      <c r="M171" s="39" t="n">
        <f aca="false">MIN(N('My Debts'!$E$7),C171)</f>
        <v>0</v>
      </c>
      <c r="N171" s="39" t="n">
        <f aca="false">MIN(N('My Debts'!$E$8),D171)</f>
        <v>0</v>
      </c>
      <c r="O171" s="39" t="n">
        <f aca="false">MIN(N('My Debts'!$E$9),E171)</f>
        <v>0</v>
      </c>
      <c r="P171" s="39" t="n">
        <f aca="false">MIN(N('My Debts'!$E$10),F171)</f>
        <v>0</v>
      </c>
      <c r="Q171" s="39" t="n">
        <f aca="false">MIN(N('My Debts'!$E$11),G171)</f>
        <v>0</v>
      </c>
      <c r="R171" s="39" t="n">
        <f aca="false">MIN(N('My Debts'!$E$12),H171)</f>
        <v>0</v>
      </c>
      <c r="S171" s="39" t="n">
        <f aca="false">MIN(N('My Debts'!$E$13),I171)</f>
        <v>0</v>
      </c>
      <c r="T171" s="39" t="n">
        <f aca="false">MIN(N('My Debts'!$E$14),J171)</f>
        <v>0</v>
      </c>
      <c r="U171" s="39" t="n">
        <f aca="false">MIN(N('My Debts'!$E$15),K171)</f>
        <v>0</v>
      </c>
      <c r="V171" s="39" t="n">
        <f aca="false">ROUND(B171-L171-MIN(B171-L171,MAX(0,$AF171-SUMPRODUCT(--($B$4:$K$4&lt;B$4),$B171:$K171-$L171:$U171))),2)</f>
        <v>0</v>
      </c>
      <c r="W171" s="39" t="n">
        <f aca="false">ROUND(C171-M171-MIN(C171-M171,MAX(0,$AF171-SUMPRODUCT(--($B$4:$K$4&lt;C$4),$B171:$K171-$L171:$U171))),2)</f>
        <v>0</v>
      </c>
      <c r="X171" s="39" t="n">
        <f aca="false">ROUND(D171-N171-MIN(D171-N171,MAX(0,$AF171-SUMPRODUCT(--($B$4:$K$4&lt;D$4),$B171:$K171-$L171:$U171))),2)</f>
        <v>0</v>
      </c>
      <c r="Y171" s="39" t="n">
        <f aca="false">ROUND(E171-O171-MIN(E171-O171,MAX(0,$AF171-SUMPRODUCT(--($B$4:$K$4&lt;E$4),$B171:$K171-$L171:$U171))),2)</f>
        <v>0</v>
      </c>
      <c r="Z171" s="39" t="n">
        <f aca="false">ROUND(F171-P171-MIN(F171-P171,MAX(0,$AF171-SUMPRODUCT(--($B$4:$K$4&lt;F$4),$B171:$K171-$L171:$U171))),2)</f>
        <v>0</v>
      </c>
      <c r="AA171" s="39" t="n">
        <f aca="false">ROUND(G171-Q171-MIN(G171-Q171,MAX(0,$AF171-SUMPRODUCT(--($B$4:$K$4&lt;G$4),$B171:$K171-$L171:$U171))),2)</f>
        <v>0</v>
      </c>
      <c r="AB171" s="39" t="n">
        <f aca="false">ROUND(H171-R171-MIN(H171-R171,MAX(0,$AF171-SUMPRODUCT(--($B$4:$K$4&lt;H$4),$B171:$K171-$L171:$U171))),2)</f>
        <v>0</v>
      </c>
      <c r="AC171" s="39" t="n">
        <f aca="false">ROUND(I171-S171-MIN(I171-S171,MAX(0,$AF171-SUMPRODUCT(--($B$4:$K$4&lt;I$4),$B171:$K171-$L171:$U171))),2)</f>
        <v>0</v>
      </c>
      <c r="AD171" s="39" t="n">
        <f aca="false">ROUND(J171-T171-MIN(J171-T171,MAX(0,$AF171-SUMPRODUCT(--($B$4:$K$4&lt;J$4),$B171:$K171-$L171:$U171))),2)</f>
        <v>0</v>
      </c>
      <c r="AE171" s="39" t="n">
        <f aca="false">ROUND(K171-U171-MIN(K171-U171,MAX(0,$AF171-SUMPRODUCT(--($B$4:$K$4&lt;K$4),$B171:$K171-$L171:$U171))),2)</f>
        <v>0</v>
      </c>
      <c r="AF171" s="39" t="n">
        <f aca="false">MAX(0,'Start Here'!$C$5-SUM($L171:$U171))</f>
        <v>1200</v>
      </c>
      <c r="AG171" s="39" t="n">
        <f aca="false">SUM(V171:AE171)</f>
        <v>0</v>
      </c>
      <c r="AH171" s="39" t="n">
        <f aca="false">SUM(B171:K171)-AG170</f>
        <v>0</v>
      </c>
    </row>
    <row r="172" customFormat="false" ht="15" hidden="false" customHeight="false" outlineLevel="0" collapsed="false">
      <c r="A172" s="40" t="n">
        <f aca="false">DATE(YEAR('Start Here'!$C$6),MONTH('Start Here'!$C$6)+165,1)</f>
        <v>51318</v>
      </c>
      <c r="B172" s="39" t="n">
        <f aca="false">ROUND(V171*(1+N('My Debts'!$D$6)/12),2)</f>
        <v>0</v>
      </c>
      <c r="C172" s="39" t="n">
        <f aca="false">ROUND(W171*(1+N('My Debts'!$D$7)/12),2)</f>
        <v>0</v>
      </c>
      <c r="D172" s="39" t="n">
        <f aca="false">ROUND(X171*(1+N('My Debts'!$D$8)/12),2)</f>
        <v>0</v>
      </c>
      <c r="E172" s="39" t="n">
        <f aca="false">ROUND(Y171*(1+N('My Debts'!$D$9)/12),2)</f>
        <v>0</v>
      </c>
      <c r="F172" s="39" t="n">
        <f aca="false">ROUND(Z171*(1+N('My Debts'!$D$10)/12),2)</f>
        <v>0</v>
      </c>
      <c r="G172" s="39" t="n">
        <f aca="false">ROUND(AA171*(1+N('My Debts'!$D$11)/12),2)</f>
        <v>0</v>
      </c>
      <c r="H172" s="39" t="n">
        <f aca="false">ROUND(AB171*(1+N('My Debts'!$D$12)/12),2)</f>
        <v>0</v>
      </c>
      <c r="I172" s="39" t="n">
        <f aca="false">ROUND(AC171*(1+N('My Debts'!$D$13)/12),2)</f>
        <v>0</v>
      </c>
      <c r="J172" s="39" t="n">
        <f aca="false">ROUND(AD171*(1+N('My Debts'!$D$14)/12),2)</f>
        <v>0</v>
      </c>
      <c r="K172" s="39" t="n">
        <f aca="false">ROUND(AE171*(1+N('My Debts'!$D$15)/12),2)</f>
        <v>0</v>
      </c>
      <c r="L172" s="39" t="n">
        <f aca="false">MIN(N('My Debts'!$E$6),B172)</f>
        <v>0</v>
      </c>
      <c r="M172" s="39" t="n">
        <f aca="false">MIN(N('My Debts'!$E$7),C172)</f>
        <v>0</v>
      </c>
      <c r="N172" s="39" t="n">
        <f aca="false">MIN(N('My Debts'!$E$8),D172)</f>
        <v>0</v>
      </c>
      <c r="O172" s="39" t="n">
        <f aca="false">MIN(N('My Debts'!$E$9),E172)</f>
        <v>0</v>
      </c>
      <c r="P172" s="39" t="n">
        <f aca="false">MIN(N('My Debts'!$E$10),F172)</f>
        <v>0</v>
      </c>
      <c r="Q172" s="39" t="n">
        <f aca="false">MIN(N('My Debts'!$E$11),G172)</f>
        <v>0</v>
      </c>
      <c r="R172" s="39" t="n">
        <f aca="false">MIN(N('My Debts'!$E$12),H172)</f>
        <v>0</v>
      </c>
      <c r="S172" s="39" t="n">
        <f aca="false">MIN(N('My Debts'!$E$13),I172)</f>
        <v>0</v>
      </c>
      <c r="T172" s="39" t="n">
        <f aca="false">MIN(N('My Debts'!$E$14),J172)</f>
        <v>0</v>
      </c>
      <c r="U172" s="39" t="n">
        <f aca="false">MIN(N('My Debts'!$E$15),K172)</f>
        <v>0</v>
      </c>
      <c r="V172" s="39" t="n">
        <f aca="false">ROUND(B172-L172-MIN(B172-L172,MAX(0,$AF172-SUMPRODUCT(--($B$4:$K$4&lt;B$4),$B172:$K172-$L172:$U172))),2)</f>
        <v>0</v>
      </c>
      <c r="W172" s="39" t="n">
        <f aca="false">ROUND(C172-M172-MIN(C172-M172,MAX(0,$AF172-SUMPRODUCT(--($B$4:$K$4&lt;C$4),$B172:$K172-$L172:$U172))),2)</f>
        <v>0</v>
      </c>
      <c r="X172" s="39" t="n">
        <f aca="false">ROUND(D172-N172-MIN(D172-N172,MAX(0,$AF172-SUMPRODUCT(--($B$4:$K$4&lt;D$4),$B172:$K172-$L172:$U172))),2)</f>
        <v>0</v>
      </c>
      <c r="Y172" s="39" t="n">
        <f aca="false">ROUND(E172-O172-MIN(E172-O172,MAX(0,$AF172-SUMPRODUCT(--($B$4:$K$4&lt;E$4),$B172:$K172-$L172:$U172))),2)</f>
        <v>0</v>
      </c>
      <c r="Z172" s="39" t="n">
        <f aca="false">ROUND(F172-P172-MIN(F172-P172,MAX(0,$AF172-SUMPRODUCT(--($B$4:$K$4&lt;F$4),$B172:$K172-$L172:$U172))),2)</f>
        <v>0</v>
      </c>
      <c r="AA172" s="39" t="n">
        <f aca="false">ROUND(G172-Q172-MIN(G172-Q172,MAX(0,$AF172-SUMPRODUCT(--($B$4:$K$4&lt;G$4),$B172:$K172-$L172:$U172))),2)</f>
        <v>0</v>
      </c>
      <c r="AB172" s="39" t="n">
        <f aca="false">ROUND(H172-R172-MIN(H172-R172,MAX(0,$AF172-SUMPRODUCT(--($B$4:$K$4&lt;H$4),$B172:$K172-$L172:$U172))),2)</f>
        <v>0</v>
      </c>
      <c r="AC172" s="39" t="n">
        <f aca="false">ROUND(I172-S172-MIN(I172-S172,MAX(0,$AF172-SUMPRODUCT(--($B$4:$K$4&lt;I$4),$B172:$K172-$L172:$U172))),2)</f>
        <v>0</v>
      </c>
      <c r="AD172" s="39" t="n">
        <f aca="false">ROUND(J172-T172-MIN(J172-T172,MAX(0,$AF172-SUMPRODUCT(--($B$4:$K$4&lt;J$4),$B172:$K172-$L172:$U172))),2)</f>
        <v>0</v>
      </c>
      <c r="AE172" s="39" t="n">
        <f aca="false">ROUND(K172-U172-MIN(K172-U172,MAX(0,$AF172-SUMPRODUCT(--($B$4:$K$4&lt;K$4),$B172:$K172-$L172:$U172))),2)</f>
        <v>0</v>
      </c>
      <c r="AF172" s="39" t="n">
        <f aca="false">MAX(0,'Start Here'!$C$5-SUM($L172:$U172))</f>
        <v>1200</v>
      </c>
      <c r="AG172" s="39" t="n">
        <f aca="false">SUM(V172:AE172)</f>
        <v>0</v>
      </c>
      <c r="AH172" s="39" t="n">
        <f aca="false">SUM(B172:K172)-AG171</f>
        <v>0</v>
      </c>
    </row>
    <row r="173" customFormat="false" ht="15" hidden="false" customHeight="false" outlineLevel="0" collapsed="false">
      <c r="A173" s="40" t="n">
        <f aca="false">DATE(YEAR('Start Here'!$C$6),MONTH('Start Here'!$C$6)+166,1)</f>
        <v>51349</v>
      </c>
      <c r="B173" s="39" t="n">
        <f aca="false">ROUND(V172*(1+N('My Debts'!$D$6)/12),2)</f>
        <v>0</v>
      </c>
      <c r="C173" s="39" t="n">
        <f aca="false">ROUND(W172*(1+N('My Debts'!$D$7)/12),2)</f>
        <v>0</v>
      </c>
      <c r="D173" s="39" t="n">
        <f aca="false">ROUND(X172*(1+N('My Debts'!$D$8)/12),2)</f>
        <v>0</v>
      </c>
      <c r="E173" s="39" t="n">
        <f aca="false">ROUND(Y172*(1+N('My Debts'!$D$9)/12),2)</f>
        <v>0</v>
      </c>
      <c r="F173" s="39" t="n">
        <f aca="false">ROUND(Z172*(1+N('My Debts'!$D$10)/12),2)</f>
        <v>0</v>
      </c>
      <c r="G173" s="39" t="n">
        <f aca="false">ROUND(AA172*(1+N('My Debts'!$D$11)/12),2)</f>
        <v>0</v>
      </c>
      <c r="H173" s="39" t="n">
        <f aca="false">ROUND(AB172*(1+N('My Debts'!$D$12)/12),2)</f>
        <v>0</v>
      </c>
      <c r="I173" s="39" t="n">
        <f aca="false">ROUND(AC172*(1+N('My Debts'!$D$13)/12),2)</f>
        <v>0</v>
      </c>
      <c r="J173" s="39" t="n">
        <f aca="false">ROUND(AD172*(1+N('My Debts'!$D$14)/12),2)</f>
        <v>0</v>
      </c>
      <c r="K173" s="39" t="n">
        <f aca="false">ROUND(AE172*(1+N('My Debts'!$D$15)/12),2)</f>
        <v>0</v>
      </c>
      <c r="L173" s="39" t="n">
        <f aca="false">MIN(N('My Debts'!$E$6),B173)</f>
        <v>0</v>
      </c>
      <c r="M173" s="39" t="n">
        <f aca="false">MIN(N('My Debts'!$E$7),C173)</f>
        <v>0</v>
      </c>
      <c r="N173" s="39" t="n">
        <f aca="false">MIN(N('My Debts'!$E$8),D173)</f>
        <v>0</v>
      </c>
      <c r="O173" s="39" t="n">
        <f aca="false">MIN(N('My Debts'!$E$9),E173)</f>
        <v>0</v>
      </c>
      <c r="P173" s="39" t="n">
        <f aca="false">MIN(N('My Debts'!$E$10),F173)</f>
        <v>0</v>
      </c>
      <c r="Q173" s="39" t="n">
        <f aca="false">MIN(N('My Debts'!$E$11),G173)</f>
        <v>0</v>
      </c>
      <c r="R173" s="39" t="n">
        <f aca="false">MIN(N('My Debts'!$E$12),H173)</f>
        <v>0</v>
      </c>
      <c r="S173" s="39" t="n">
        <f aca="false">MIN(N('My Debts'!$E$13),I173)</f>
        <v>0</v>
      </c>
      <c r="T173" s="39" t="n">
        <f aca="false">MIN(N('My Debts'!$E$14),J173)</f>
        <v>0</v>
      </c>
      <c r="U173" s="39" t="n">
        <f aca="false">MIN(N('My Debts'!$E$15),K173)</f>
        <v>0</v>
      </c>
      <c r="V173" s="39" t="n">
        <f aca="false">ROUND(B173-L173-MIN(B173-L173,MAX(0,$AF173-SUMPRODUCT(--($B$4:$K$4&lt;B$4),$B173:$K173-$L173:$U173))),2)</f>
        <v>0</v>
      </c>
      <c r="W173" s="39" t="n">
        <f aca="false">ROUND(C173-M173-MIN(C173-M173,MAX(0,$AF173-SUMPRODUCT(--($B$4:$K$4&lt;C$4),$B173:$K173-$L173:$U173))),2)</f>
        <v>0</v>
      </c>
      <c r="X173" s="39" t="n">
        <f aca="false">ROUND(D173-N173-MIN(D173-N173,MAX(0,$AF173-SUMPRODUCT(--($B$4:$K$4&lt;D$4),$B173:$K173-$L173:$U173))),2)</f>
        <v>0</v>
      </c>
      <c r="Y173" s="39" t="n">
        <f aca="false">ROUND(E173-O173-MIN(E173-O173,MAX(0,$AF173-SUMPRODUCT(--($B$4:$K$4&lt;E$4),$B173:$K173-$L173:$U173))),2)</f>
        <v>0</v>
      </c>
      <c r="Z173" s="39" t="n">
        <f aca="false">ROUND(F173-P173-MIN(F173-P173,MAX(0,$AF173-SUMPRODUCT(--($B$4:$K$4&lt;F$4),$B173:$K173-$L173:$U173))),2)</f>
        <v>0</v>
      </c>
      <c r="AA173" s="39" t="n">
        <f aca="false">ROUND(G173-Q173-MIN(G173-Q173,MAX(0,$AF173-SUMPRODUCT(--($B$4:$K$4&lt;G$4),$B173:$K173-$L173:$U173))),2)</f>
        <v>0</v>
      </c>
      <c r="AB173" s="39" t="n">
        <f aca="false">ROUND(H173-R173-MIN(H173-R173,MAX(0,$AF173-SUMPRODUCT(--($B$4:$K$4&lt;H$4),$B173:$K173-$L173:$U173))),2)</f>
        <v>0</v>
      </c>
      <c r="AC173" s="39" t="n">
        <f aca="false">ROUND(I173-S173-MIN(I173-S173,MAX(0,$AF173-SUMPRODUCT(--($B$4:$K$4&lt;I$4),$B173:$K173-$L173:$U173))),2)</f>
        <v>0</v>
      </c>
      <c r="AD173" s="39" t="n">
        <f aca="false">ROUND(J173-T173-MIN(J173-T173,MAX(0,$AF173-SUMPRODUCT(--($B$4:$K$4&lt;J$4),$B173:$K173-$L173:$U173))),2)</f>
        <v>0</v>
      </c>
      <c r="AE173" s="39" t="n">
        <f aca="false">ROUND(K173-U173-MIN(K173-U173,MAX(0,$AF173-SUMPRODUCT(--($B$4:$K$4&lt;K$4),$B173:$K173-$L173:$U173))),2)</f>
        <v>0</v>
      </c>
      <c r="AF173" s="39" t="n">
        <f aca="false">MAX(0,'Start Here'!$C$5-SUM($L173:$U173))</f>
        <v>1200</v>
      </c>
      <c r="AG173" s="39" t="n">
        <f aca="false">SUM(V173:AE173)</f>
        <v>0</v>
      </c>
      <c r="AH173" s="39" t="n">
        <f aca="false">SUM(B173:K173)-AG172</f>
        <v>0</v>
      </c>
    </row>
    <row r="174" customFormat="false" ht="15" hidden="false" customHeight="false" outlineLevel="0" collapsed="false">
      <c r="A174" s="40" t="n">
        <f aca="false">DATE(YEAR('Start Here'!$C$6),MONTH('Start Here'!$C$6)+167,1)</f>
        <v>51380</v>
      </c>
      <c r="B174" s="39" t="n">
        <f aca="false">ROUND(V173*(1+N('My Debts'!$D$6)/12),2)</f>
        <v>0</v>
      </c>
      <c r="C174" s="39" t="n">
        <f aca="false">ROUND(W173*(1+N('My Debts'!$D$7)/12),2)</f>
        <v>0</v>
      </c>
      <c r="D174" s="39" t="n">
        <f aca="false">ROUND(X173*(1+N('My Debts'!$D$8)/12),2)</f>
        <v>0</v>
      </c>
      <c r="E174" s="39" t="n">
        <f aca="false">ROUND(Y173*(1+N('My Debts'!$D$9)/12),2)</f>
        <v>0</v>
      </c>
      <c r="F174" s="39" t="n">
        <f aca="false">ROUND(Z173*(1+N('My Debts'!$D$10)/12),2)</f>
        <v>0</v>
      </c>
      <c r="G174" s="39" t="n">
        <f aca="false">ROUND(AA173*(1+N('My Debts'!$D$11)/12),2)</f>
        <v>0</v>
      </c>
      <c r="H174" s="39" t="n">
        <f aca="false">ROUND(AB173*(1+N('My Debts'!$D$12)/12),2)</f>
        <v>0</v>
      </c>
      <c r="I174" s="39" t="n">
        <f aca="false">ROUND(AC173*(1+N('My Debts'!$D$13)/12),2)</f>
        <v>0</v>
      </c>
      <c r="J174" s="39" t="n">
        <f aca="false">ROUND(AD173*(1+N('My Debts'!$D$14)/12),2)</f>
        <v>0</v>
      </c>
      <c r="K174" s="39" t="n">
        <f aca="false">ROUND(AE173*(1+N('My Debts'!$D$15)/12),2)</f>
        <v>0</v>
      </c>
      <c r="L174" s="39" t="n">
        <f aca="false">MIN(N('My Debts'!$E$6),B174)</f>
        <v>0</v>
      </c>
      <c r="M174" s="39" t="n">
        <f aca="false">MIN(N('My Debts'!$E$7),C174)</f>
        <v>0</v>
      </c>
      <c r="N174" s="39" t="n">
        <f aca="false">MIN(N('My Debts'!$E$8),D174)</f>
        <v>0</v>
      </c>
      <c r="O174" s="39" t="n">
        <f aca="false">MIN(N('My Debts'!$E$9),E174)</f>
        <v>0</v>
      </c>
      <c r="P174" s="39" t="n">
        <f aca="false">MIN(N('My Debts'!$E$10),F174)</f>
        <v>0</v>
      </c>
      <c r="Q174" s="39" t="n">
        <f aca="false">MIN(N('My Debts'!$E$11),G174)</f>
        <v>0</v>
      </c>
      <c r="R174" s="39" t="n">
        <f aca="false">MIN(N('My Debts'!$E$12),H174)</f>
        <v>0</v>
      </c>
      <c r="S174" s="39" t="n">
        <f aca="false">MIN(N('My Debts'!$E$13),I174)</f>
        <v>0</v>
      </c>
      <c r="T174" s="39" t="n">
        <f aca="false">MIN(N('My Debts'!$E$14),J174)</f>
        <v>0</v>
      </c>
      <c r="U174" s="39" t="n">
        <f aca="false">MIN(N('My Debts'!$E$15),K174)</f>
        <v>0</v>
      </c>
      <c r="V174" s="39" t="n">
        <f aca="false">ROUND(B174-L174-MIN(B174-L174,MAX(0,$AF174-SUMPRODUCT(--($B$4:$K$4&lt;B$4),$B174:$K174-$L174:$U174))),2)</f>
        <v>0</v>
      </c>
      <c r="W174" s="39" t="n">
        <f aca="false">ROUND(C174-M174-MIN(C174-M174,MAX(0,$AF174-SUMPRODUCT(--($B$4:$K$4&lt;C$4),$B174:$K174-$L174:$U174))),2)</f>
        <v>0</v>
      </c>
      <c r="X174" s="39" t="n">
        <f aca="false">ROUND(D174-N174-MIN(D174-N174,MAX(0,$AF174-SUMPRODUCT(--($B$4:$K$4&lt;D$4),$B174:$K174-$L174:$U174))),2)</f>
        <v>0</v>
      </c>
      <c r="Y174" s="39" t="n">
        <f aca="false">ROUND(E174-O174-MIN(E174-O174,MAX(0,$AF174-SUMPRODUCT(--($B$4:$K$4&lt;E$4),$B174:$K174-$L174:$U174))),2)</f>
        <v>0</v>
      </c>
      <c r="Z174" s="39" t="n">
        <f aca="false">ROUND(F174-P174-MIN(F174-P174,MAX(0,$AF174-SUMPRODUCT(--($B$4:$K$4&lt;F$4),$B174:$K174-$L174:$U174))),2)</f>
        <v>0</v>
      </c>
      <c r="AA174" s="39" t="n">
        <f aca="false">ROUND(G174-Q174-MIN(G174-Q174,MAX(0,$AF174-SUMPRODUCT(--($B$4:$K$4&lt;G$4),$B174:$K174-$L174:$U174))),2)</f>
        <v>0</v>
      </c>
      <c r="AB174" s="39" t="n">
        <f aca="false">ROUND(H174-R174-MIN(H174-R174,MAX(0,$AF174-SUMPRODUCT(--($B$4:$K$4&lt;H$4),$B174:$K174-$L174:$U174))),2)</f>
        <v>0</v>
      </c>
      <c r="AC174" s="39" t="n">
        <f aca="false">ROUND(I174-S174-MIN(I174-S174,MAX(0,$AF174-SUMPRODUCT(--($B$4:$K$4&lt;I$4),$B174:$K174-$L174:$U174))),2)</f>
        <v>0</v>
      </c>
      <c r="AD174" s="39" t="n">
        <f aca="false">ROUND(J174-T174-MIN(J174-T174,MAX(0,$AF174-SUMPRODUCT(--($B$4:$K$4&lt;J$4),$B174:$K174-$L174:$U174))),2)</f>
        <v>0</v>
      </c>
      <c r="AE174" s="39" t="n">
        <f aca="false">ROUND(K174-U174-MIN(K174-U174,MAX(0,$AF174-SUMPRODUCT(--($B$4:$K$4&lt;K$4),$B174:$K174-$L174:$U174))),2)</f>
        <v>0</v>
      </c>
      <c r="AF174" s="39" t="n">
        <f aca="false">MAX(0,'Start Here'!$C$5-SUM($L174:$U174))</f>
        <v>1200</v>
      </c>
      <c r="AG174" s="39" t="n">
        <f aca="false">SUM(V174:AE174)</f>
        <v>0</v>
      </c>
      <c r="AH174" s="39" t="n">
        <f aca="false">SUM(B174:K174)-AG173</f>
        <v>0</v>
      </c>
    </row>
    <row r="175" customFormat="false" ht="15" hidden="false" customHeight="false" outlineLevel="0" collapsed="false">
      <c r="A175" s="40" t="n">
        <f aca="false">DATE(YEAR('Start Here'!$C$6),MONTH('Start Here'!$C$6)+168,1)</f>
        <v>51410</v>
      </c>
      <c r="B175" s="39" t="n">
        <f aca="false">ROUND(V174*(1+N('My Debts'!$D$6)/12),2)</f>
        <v>0</v>
      </c>
      <c r="C175" s="39" t="n">
        <f aca="false">ROUND(W174*(1+N('My Debts'!$D$7)/12),2)</f>
        <v>0</v>
      </c>
      <c r="D175" s="39" t="n">
        <f aca="false">ROUND(X174*(1+N('My Debts'!$D$8)/12),2)</f>
        <v>0</v>
      </c>
      <c r="E175" s="39" t="n">
        <f aca="false">ROUND(Y174*(1+N('My Debts'!$D$9)/12),2)</f>
        <v>0</v>
      </c>
      <c r="F175" s="39" t="n">
        <f aca="false">ROUND(Z174*(1+N('My Debts'!$D$10)/12),2)</f>
        <v>0</v>
      </c>
      <c r="G175" s="39" t="n">
        <f aca="false">ROUND(AA174*(1+N('My Debts'!$D$11)/12),2)</f>
        <v>0</v>
      </c>
      <c r="H175" s="39" t="n">
        <f aca="false">ROUND(AB174*(1+N('My Debts'!$D$12)/12),2)</f>
        <v>0</v>
      </c>
      <c r="I175" s="39" t="n">
        <f aca="false">ROUND(AC174*(1+N('My Debts'!$D$13)/12),2)</f>
        <v>0</v>
      </c>
      <c r="J175" s="39" t="n">
        <f aca="false">ROUND(AD174*(1+N('My Debts'!$D$14)/12),2)</f>
        <v>0</v>
      </c>
      <c r="K175" s="39" t="n">
        <f aca="false">ROUND(AE174*(1+N('My Debts'!$D$15)/12),2)</f>
        <v>0</v>
      </c>
      <c r="L175" s="39" t="n">
        <f aca="false">MIN(N('My Debts'!$E$6),B175)</f>
        <v>0</v>
      </c>
      <c r="M175" s="39" t="n">
        <f aca="false">MIN(N('My Debts'!$E$7),C175)</f>
        <v>0</v>
      </c>
      <c r="N175" s="39" t="n">
        <f aca="false">MIN(N('My Debts'!$E$8),D175)</f>
        <v>0</v>
      </c>
      <c r="O175" s="39" t="n">
        <f aca="false">MIN(N('My Debts'!$E$9),E175)</f>
        <v>0</v>
      </c>
      <c r="P175" s="39" t="n">
        <f aca="false">MIN(N('My Debts'!$E$10),F175)</f>
        <v>0</v>
      </c>
      <c r="Q175" s="39" t="n">
        <f aca="false">MIN(N('My Debts'!$E$11),G175)</f>
        <v>0</v>
      </c>
      <c r="R175" s="39" t="n">
        <f aca="false">MIN(N('My Debts'!$E$12),H175)</f>
        <v>0</v>
      </c>
      <c r="S175" s="39" t="n">
        <f aca="false">MIN(N('My Debts'!$E$13),I175)</f>
        <v>0</v>
      </c>
      <c r="T175" s="39" t="n">
        <f aca="false">MIN(N('My Debts'!$E$14),J175)</f>
        <v>0</v>
      </c>
      <c r="U175" s="39" t="n">
        <f aca="false">MIN(N('My Debts'!$E$15),K175)</f>
        <v>0</v>
      </c>
      <c r="V175" s="39" t="n">
        <f aca="false">ROUND(B175-L175-MIN(B175-L175,MAX(0,$AF175-SUMPRODUCT(--($B$4:$K$4&lt;B$4),$B175:$K175-$L175:$U175))),2)</f>
        <v>0</v>
      </c>
      <c r="W175" s="39" t="n">
        <f aca="false">ROUND(C175-M175-MIN(C175-M175,MAX(0,$AF175-SUMPRODUCT(--($B$4:$K$4&lt;C$4),$B175:$K175-$L175:$U175))),2)</f>
        <v>0</v>
      </c>
      <c r="X175" s="39" t="n">
        <f aca="false">ROUND(D175-N175-MIN(D175-N175,MAX(0,$AF175-SUMPRODUCT(--($B$4:$K$4&lt;D$4),$B175:$K175-$L175:$U175))),2)</f>
        <v>0</v>
      </c>
      <c r="Y175" s="39" t="n">
        <f aca="false">ROUND(E175-O175-MIN(E175-O175,MAX(0,$AF175-SUMPRODUCT(--($B$4:$K$4&lt;E$4),$B175:$K175-$L175:$U175))),2)</f>
        <v>0</v>
      </c>
      <c r="Z175" s="39" t="n">
        <f aca="false">ROUND(F175-P175-MIN(F175-P175,MAX(0,$AF175-SUMPRODUCT(--($B$4:$K$4&lt;F$4),$B175:$K175-$L175:$U175))),2)</f>
        <v>0</v>
      </c>
      <c r="AA175" s="39" t="n">
        <f aca="false">ROUND(G175-Q175-MIN(G175-Q175,MAX(0,$AF175-SUMPRODUCT(--($B$4:$K$4&lt;G$4),$B175:$K175-$L175:$U175))),2)</f>
        <v>0</v>
      </c>
      <c r="AB175" s="39" t="n">
        <f aca="false">ROUND(H175-R175-MIN(H175-R175,MAX(0,$AF175-SUMPRODUCT(--($B$4:$K$4&lt;H$4),$B175:$K175-$L175:$U175))),2)</f>
        <v>0</v>
      </c>
      <c r="AC175" s="39" t="n">
        <f aca="false">ROUND(I175-S175-MIN(I175-S175,MAX(0,$AF175-SUMPRODUCT(--($B$4:$K$4&lt;I$4),$B175:$K175-$L175:$U175))),2)</f>
        <v>0</v>
      </c>
      <c r="AD175" s="39" t="n">
        <f aca="false">ROUND(J175-T175-MIN(J175-T175,MAX(0,$AF175-SUMPRODUCT(--($B$4:$K$4&lt;J$4),$B175:$K175-$L175:$U175))),2)</f>
        <v>0</v>
      </c>
      <c r="AE175" s="39" t="n">
        <f aca="false">ROUND(K175-U175-MIN(K175-U175,MAX(0,$AF175-SUMPRODUCT(--($B$4:$K$4&lt;K$4),$B175:$K175-$L175:$U175))),2)</f>
        <v>0</v>
      </c>
      <c r="AF175" s="39" t="n">
        <f aca="false">MAX(0,'Start Here'!$C$5-SUM($L175:$U175))</f>
        <v>1200</v>
      </c>
      <c r="AG175" s="39" t="n">
        <f aca="false">SUM(V175:AE175)</f>
        <v>0</v>
      </c>
      <c r="AH175" s="39" t="n">
        <f aca="false">SUM(B175:K175)-AG174</f>
        <v>0</v>
      </c>
    </row>
    <row r="176" customFormat="false" ht="15" hidden="false" customHeight="false" outlineLevel="0" collapsed="false">
      <c r="A176" s="40" t="n">
        <f aca="false">DATE(YEAR('Start Here'!$C$6),MONTH('Start Here'!$C$6)+169,1)</f>
        <v>51441</v>
      </c>
      <c r="B176" s="39" t="n">
        <f aca="false">ROUND(V175*(1+N('My Debts'!$D$6)/12),2)</f>
        <v>0</v>
      </c>
      <c r="C176" s="39" t="n">
        <f aca="false">ROUND(W175*(1+N('My Debts'!$D$7)/12),2)</f>
        <v>0</v>
      </c>
      <c r="D176" s="39" t="n">
        <f aca="false">ROUND(X175*(1+N('My Debts'!$D$8)/12),2)</f>
        <v>0</v>
      </c>
      <c r="E176" s="39" t="n">
        <f aca="false">ROUND(Y175*(1+N('My Debts'!$D$9)/12),2)</f>
        <v>0</v>
      </c>
      <c r="F176" s="39" t="n">
        <f aca="false">ROUND(Z175*(1+N('My Debts'!$D$10)/12),2)</f>
        <v>0</v>
      </c>
      <c r="G176" s="39" t="n">
        <f aca="false">ROUND(AA175*(1+N('My Debts'!$D$11)/12),2)</f>
        <v>0</v>
      </c>
      <c r="H176" s="39" t="n">
        <f aca="false">ROUND(AB175*(1+N('My Debts'!$D$12)/12),2)</f>
        <v>0</v>
      </c>
      <c r="I176" s="39" t="n">
        <f aca="false">ROUND(AC175*(1+N('My Debts'!$D$13)/12),2)</f>
        <v>0</v>
      </c>
      <c r="J176" s="39" t="n">
        <f aca="false">ROUND(AD175*(1+N('My Debts'!$D$14)/12),2)</f>
        <v>0</v>
      </c>
      <c r="K176" s="39" t="n">
        <f aca="false">ROUND(AE175*(1+N('My Debts'!$D$15)/12),2)</f>
        <v>0</v>
      </c>
      <c r="L176" s="39" t="n">
        <f aca="false">MIN(N('My Debts'!$E$6),B176)</f>
        <v>0</v>
      </c>
      <c r="M176" s="39" t="n">
        <f aca="false">MIN(N('My Debts'!$E$7),C176)</f>
        <v>0</v>
      </c>
      <c r="N176" s="39" t="n">
        <f aca="false">MIN(N('My Debts'!$E$8),D176)</f>
        <v>0</v>
      </c>
      <c r="O176" s="39" t="n">
        <f aca="false">MIN(N('My Debts'!$E$9),E176)</f>
        <v>0</v>
      </c>
      <c r="P176" s="39" t="n">
        <f aca="false">MIN(N('My Debts'!$E$10),F176)</f>
        <v>0</v>
      </c>
      <c r="Q176" s="39" t="n">
        <f aca="false">MIN(N('My Debts'!$E$11),G176)</f>
        <v>0</v>
      </c>
      <c r="R176" s="39" t="n">
        <f aca="false">MIN(N('My Debts'!$E$12),H176)</f>
        <v>0</v>
      </c>
      <c r="S176" s="39" t="n">
        <f aca="false">MIN(N('My Debts'!$E$13),I176)</f>
        <v>0</v>
      </c>
      <c r="T176" s="39" t="n">
        <f aca="false">MIN(N('My Debts'!$E$14),J176)</f>
        <v>0</v>
      </c>
      <c r="U176" s="39" t="n">
        <f aca="false">MIN(N('My Debts'!$E$15),K176)</f>
        <v>0</v>
      </c>
      <c r="V176" s="39" t="n">
        <f aca="false">ROUND(B176-L176-MIN(B176-L176,MAX(0,$AF176-SUMPRODUCT(--($B$4:$K$4&lt;B$4),$B176:$K176-$L176:$U176))),2)</f>
        <v>0</v>
      </c>
      <c r="W176" s="39" t="n">
        <f aca="false">ROUND(C176-M176-MIN(C176-M176,MAX(0,$AF176-SUMPRODUCT(--($B$4:$K$4&lt;C$4),$B176:$K176-$L176:$U176))),2)</f>
        <v>0</v>
      </c>
      <c r="X176" s="39" t="n">
        <f aca="false">ROUND(D176-N176-MIN(D176-N176,MAX(0,$AF176-SUMPRODUCT(--($B$4:$K$4&lt;D$4),$B176:$K176-$L176:$U176))),2)</f>
        <v>0</v>
      </c>
      <c r="Y176" s="39" t="n">
        <f aca="false">ROUND(E176-O176-MIN(E176-O176,MAX(0,$AF176-SUMPRODUCT(--($B$4:$K$4&lt;E$4),$B176:$K176-$L176:$U176))),2)</f>
        <v>0</v>
      </c>
      <c r="Z176" s="39" t="n">
        <f aca="false">ROUND(F176-P176-MIN(F176-P176,MAX(0,$AF176-SUMPRODUCT(--($B$4:$K$4&lt;F$4),$B176:$K176-$L176:$U176))),2)</f>
        <v>0</v>
      </c>
      <c r="AA176" s="39" t="n">
        <f aca="false">ROUND(G176-Q176-MIN(G176-Q176,MAX(0,$AF176-SUMPRODUCT(--($B$4:$K$4&lt;G$4),$B176:$K176-$L176:$U176))),2)</f>
        <v>0</v>
      </c>
      <c r="AB176" s="39" t="n">
        <f aca="false">ROUND(H176-R176-MIN(H176-R176,MAX(0,$AF176-SUMPRODUCT(--($B$4:$K$4&lt;H$4),$B176:$K176-$L176:$U176))),2)</f>
        <v>0</v>
      </c>
      <c r="AC176" s="39" t="n">
        <f aca="false">ROUND(I176-S176-MIN(I176-S176,MAX(0,$AF176-SUMPRODUCT(--($B$4:$K$4&lt;I$4),$B176:$K176-$L176:$U176))),2)</f>
        <v>0</v>
      </c>
      <c r="AD176" s="39" t="n">
        <f aca="false">ROUND(J176-T176-MIN(J176-T176,MAX(0,$AF176-SUMPRODUCT(--($B$4:$K$4&lt;J$4),$B176:$K176-$L176:$U176))),2)</f>
        <v>0</v>
      </c>
      <c r="AE176" s="39" t="n">
        <f aca="false">ROUND(K176-U176-MIN(K176-U176,MAX(0,$AF176-SUMPRODUCT(--($B$4:$K$4&lt;K$4),$B176:$K176-$L176:$U176))),2)</f>
        <v>0</v>
      </c>
      <c r="AF176" s="39" t="n">
        <f aca="false">MAX(0,'Start Here'!$C$5-SUM($L176:$U176))</f>
        <v>1200</v>
      </c>
      <c r="AG176" s="39" t="n">
        <f aca="false">SUM(V176:AE176)</f>
        <v>0</v>
      </c>
      <c r="AH176" s="39" t="n">
        <f aca="false">SUM(B176:K176)-AG175</f>
        <v>0</v>
      </c>
    </row>
    <row r="177" customFormat="false" ht="15" hidden="false" customHeight="false" outlineLevel="0" collapsed="false">
      <c r="A177" s="40" t="n">
        <f aca="false">DATE(YEAR('Start Here'!$C$6),MONTH('Start Here'!$C$6)+170,1)</f>
        <v>51471</v>
      </c>
      <c r="B177" s="39" t="n">
        <f aca="false">ROUND(V176*(1+N('My Debts'!$D$6)/12),2)</f>
        <v>0</v>
      </c>
      <c r="C177" s="39" t="n">
        <f aca="false">ROUND(W176*(1+N('My Debts'!$D$7)/12),2)</f>
        <v>0</v>
      </c>
      <c r="D177" s="39" t="n">
        <f aca="false">ROUND(X176*(1+N('My Debts'!$D$8)/12),2)</f>
        <v>0</v>
      </c>
      <c r="E177" s="39" t="n">
        <f aca="false">ROUND(Y176*(1+N('My Debts'!$D$9)/12),2)</f>
        <v>0</v>
      </c>
      <c r="F177" s="39" t="n">
        <f aca="false">ROUND(Z176*(1+N('My Debts'!$D$10)/12),2)</f>
        <v>0</v>
      </c>
      <c r="G177" s="39" t="n">
        <f aca="false">ROUND(AA176*(1+N('My Debts'!$D$11)/12),2)</f>
        <v>0</v>
      </c>
      <c r="H177" s="39" t="n">
        <f aca="false">ROUND(AB176*(1+N('My Debts'!$D$12)/12),2)</f>
        <v>0</v>
      </c>
      <c r="I177" s="39" t="n">
        <f aca="false">ROUND(AC176*(1+N('My Debts'!$D$13)/12),2)</f>
        <v>0</v>
      </c>
      <c r="J177" s="39" t="n">
        <f aca="false">ROUND(AD176*(1+N('My Debts'!$D$14)/12),2)</f>
        <v>0</v>
      </c>
      <c r="K177" s="39" t="n">
        <f aca="false">ROUND(AE176*(1+N('My Debts'!$D$15)/12),2)</f>
        <v>0</v>
      </c>
      <c r="L177" s="39" t="n">
        <f aca="false">MIN(N('My Debts'!$E$6),B177)</f>
        <v>0</v>
      </c>
      <c r="M177" s="39" t="n">
        <f aca="false">MIN(N('My Debts'!$E$7),C177)</f>
        <v>0</v>
      </c>
      <c r="N177" s="39" t="n">
        <f aca="false">MIN(N('My Debts'!$E$8),D177)</f>
        <v>0</v>
      </c>
      <c r="O177" s="39" t="n">
        <f aca="false">MIN(N('My Debts'!$E$9),E177)</f>
        <v>0</v>
      </c>
      <c r="P177" s="39" t="n">
        <f aca="false">MIN(N('My Debts'!$E$10),F177)</f>
        <v>0</v>
      </c>
      <c r="Q177" s="39" t="n">
        <f aca="false">MIN(N('My Debts'!$E$11),G177)</f>
        <v>0</v>
      </c>
      <c r="R177" s="39" t="n">
        <f aca="false">MIN(N('My Debts'!$E$12),H177)</f>
        <v>0</v>
      </c>
      <c r="S177" s="39" t="n">
        <f aca="false">MIN(N('My Debts'!$E$13),I177)</f>
        <v>0</v>
      </c>
      <c r="T177" s="39" t="n">
        <f aca="false">MIN(N('My Debts'!$E$14),J177)</f>
        <v>0</v>
      </c>
      <c r="U177" s="39" t="n">
        <f aca="false">MIN(N('My Debts'!$E$15),K177)</f>
        <v>0</v>
      </c>
      <c r="V177" s="39" t="n">
        <f aca="false">ROUND(B177-L177-MIN(B177-L177,MAX(0,$AF177-SUMPRODUCT(--($B$4:$K$4&lt;B$4),$B177:$K177-$L177:$U177))),2)</f>
        <v>0</v>
      </c>
      <c r="W177" s="39" t="n">
        <f aca="false">ROUND(C177-M177-MIN(C177-M177,MAX(0,$AF177-SUMPRODUCT(--($B$4:$K$4&lt;C$4),$B177:$K177-$L177:$U177))),2)</f>
        <v>0</v>
      </c>
      <c r="X177" s="39" t="n">
        <f aca="false">ROUND(D177-N177-MIN(D177-N177,MAX(0,$AF177-SUMPRODUCT(--($B$4:$K$4&lt;D$4),$B177:$K177-$L177:$U177))),2)</f>
        <v>0</v>
      </c>
      <c r="Y177" s="39" t="n">
        <f aca="false">ROUND(E177-O177-MIN(E177-O177,MAX(0,$AF177-SUMPRODUCT(--($B$4:$K$4&lt;E$4),$B177:$K177-$L177:$U177))),2)</f>
        <v>0</v>
      </c>
      <c r="Z177" s="39" t="n">
        <f aca="false">ROUND(F177-P177-MIN(F177-P177,MAX(0,$AF177-SUMPRODUCT(--($B$4:$K$4&lt;F$4),$B177:$K177-$L177:$U177))),2)</f>
        <v>0</v>
      </c>
      <c r="AA177" s="39" t="n">
        <f aca="false">ROUND(G177-Q177-MIN(G177-Q177,MAX(0,$AF177-SUMPRODUCT(--($B$4:$K$4&lt;G$4),$B177:$K177-$L177:$U177))),2)</f>
        <v>0</v>
      </c>
      <c r="AB177" s="39" t="n">
        <f aca="false">ROUND(H177-R177-MIN(H177-R177,MAX(0,$AF177-SUMPRODUCT(--($B$4:$K$4&lt;H$4),$B177:$K177-$L177:$U177))),2)</f>
        <v>0</v>
      </c>
      <c r="AC177" s="39" t="n">
        <f aca="false">ROUND(I177-S177-MIN(I177-S177,MAX(0,$AF177-SUMPRODUCT(--($B$4:$K$4&lt;I$4),$B177:$K177-$L177:$U177))),2)</f>
        <v>0</v>
      </c>
      <c r="AD177" s="39" t="n">
        <f aca="false">ROUND(J177-T177-MIN(J177-T177,MAX(0,$AF177-SUMPRODUCT(--($B$4:$K$4&lt;J$4),$B177:$K177-$L177:$U177))),2)</f>
        <v>0</v>
      </c>
      <c r="AE177" s="39" t="n">
        <f aca="false">ROUND(K177-U177-MIN(K177-U177,MAX(0,$AF177-SUMPRODUCT(--($B$4:$K$4&lt;K$4),$B177:$K177-$L177:$U177))),2)</f>
        <v>0</v>
      </c>
      <c r="AF177" s="39" t="n">
        <f aca="false">MAX(0,'Start Here'!$C$5-SUM($L177:$U177))</f>
        <v>1200</v>
      </c>
      <c r="AG177" s="39" t="n">
        <f aca="false">SUM(V177:AE177)</f>
        <v>0</v>
      </c>
      <c r="AH177" s="39" t="n">
        <f aca="false">SUM(B177:K177)-AG176</f>
        <v>0</v>
      </c>
    </row>
    <row r="178" customFormat="false" ht="15" hidden="false" customHeight="false" outlineLevel="0" collapsed="false">
      <c r="A178" s="40" t="n">
        <f aca="false">DATE(YEAR('Start Here'!$C$6),MONTH('Start Here'!$C$6)+171,1)</f>
        <v>51502</v>
      </c>
      <c r="B178" s="39" t="n">
        <f aca="false">ROUND(V177*(1+N('My Debts'!$D$6)/12),2)</f>
        <v>0</v>
      </c>
      <c r="C178" s="39" t="n">
        <f aca="false">ROUND(W177*(1+N('My Debts'!$D$7)/12),2)</f>
        <v>0</v>
      </c>
      <c r="D178" s="39" t="n">
        <f aca="false">ROUND(X177*(1+N('My Debts'!$D$8)/12),2)</f>
        <v>0</v>
      </c>
      <c r="E178" s="39" t="n">
        <f aca="false">ROUND(Y177*(1+N('My Debts'!$D$9)/12),2)</f>
        <v>0</v>
      </c>
      <c r="F178" s="39" t="n">
        <f aca="false">ROUND(Z177*(1+N('My Debts'!$D$10)/12),2)</f>
        <v>0</v>
      </c>
      <c r="G178" s="39" t="n">
        <f aca="false">ROUND(AA177*(1+N('My Debts'!$D$11)/12),2)</f>
        <v>0</v>
      </c>
      <c r="H178" s="39" t="n">
        <f aca="false">ROUND(AB177*(1+N('My Debts'!$D$12)/12),2)</f>
        <v>0</v>
      </c>
      <c r="I178" s="39" t="n">
        <f aca="false">ROUND(AC177*(1+N('My Debts'!$D$13)/12),2)</f>
        <v>0</v>
      </c>
      <c r="J178" s="39" t="n">
        <f aca="false">ROUND(AD177*(1+N('My Debts'!$D$14)/12),2)</f>
        <v>0</v>
      </c>
      <c r="K178" s="39" t="n">
        <f aca="false">ROUND(AE177*(1+N('My Debts'!$D$15)/12),2)</f>
        <v>0</v>
      </c>
      <c r="L178" s="39" t="n">
        <f aca="false">MIN(N('My Debts'!$E$6),B178)</f>
        <v>0</v>
      </c>
      <c r="M178" s="39" t="n">
        <f aca="false">MIN(N('My Debts'!$E$7),C178)</f>
        <v>0</v>
      </c>
      <c r="N178" s="39" t="n">
        <f aca="false">MIN(N('My Debts'!$E$8),D178)</f>
        <v>0</v>
      </c>
      <c r="O178" s="39" t="n">
        <f aca="false">MIN(N('My Debts'!$E$9),E178)</f>
        <v>0</v>
      </c>
      <c r="P178" s="39" t="n">
        <f aca="false">MIN(N('My Debts'!$E$10),F178)</f>
        <v>0</v>
      </c>
      <c r="Q178" s="39" t="n">
        <f aca="false">MIN(N('My Debts'!$E$11),G178)</f>
        <v>0</v>
      </c>
      <c r="R178" s="39" t="n">
        <f aca="false">MIN(N('My Debts'!$E$12),H178)</f>
        <v>0</v>
      </c>
      <c r="S178" s="39" t="n">
        <f aca="false">MIN(N('My Debts'!$E$13),I178)</f>
        <v>0</v>
      </c>
      <c r="T178" s="39" t="n">
        <f aca="false">MIN(N('My Debts'!$E$14),J178)</f>
        <v>0</v>
      </c>
      <c r="U178" s="39" t="n">
        <f aca="false">MIN(N('My Debts'!$E$15),K178)</f>
        <v>0</v>
      </c>
      <c r="V178" s="39" t="n">
        <f aca="false">ROUND(B178-L178-MIN(B178-L178,MAX(0,$AF178-SUMPRODUCT(--($B$4:$K$4&lt;B$4),$B178:$K178-$L178:$U178))),2)</f>
        <v>0</v>
      </c>
      <c r="W178" s="39" t="n">
        <f aca="false">ROUND(C178-M178-MIN(C178-M178,MAX(0,$AF178-SUMPRODUCT(--($B$4:$K$4&lt;C$4),$B178:$K178-$L178:$U178))),2)</f>
        <v>0</v>
      </c>
      <c r="X178" s="39" t="n">
        <f aca="false">ROUND(D178-N178-MIN(D178-N178,MAX(0,$AF178-SUMPRODUCT(--($B$4:$K$4&lt;D$4),$B178:$K178-$L178:$U178))),2)</f>
        <v>0</v>
      </c>
      <c r="Y178" s="39" t="n">
        <f aca="false">ROUND(E178-O178-MIN(E178-O178,MAX(0,$AF178-SUMPRODUCT(--($B$4:$K$4&lt;E$4),$B178:$K178-$L178:$U178))),2)</f>
        <v>0</v>
      </c>
      <c r="Z178" s="39" t="n">
        <f aca="false">ROUND(F178-P178-MIN(F178-P178,MAX(0,$AF178-SUMPRODUCT(--($B$4:$K$4&lt;F$4),$B178:$K178-$L178:$U178))),2)</f>
        <v>0</v>
      </c>
      <c r="AA178" s="39" t="n">
        <f aca="false">ROUND(G178-Q178-MIN(G178-Q178,MAX(0,$AF178-SUMPRODUCT(--($B$4:$K$4&lt;G$4),$B178:$K178-$L178:$U178))),2)</f>
        <v>0</v>
      </c>
      <c r="AB178" s="39" t="n">
        <f aca="false">ROUND(H178-R178-MIN(H178-R178,MAX(0,$AF178-SUMPRODUCT(--($B$4:$K$4&lt;H$4),$B178:$K178-$L178:$U178))),2)</f>
        <v>0</v>
      </c>
      <c r="AC178" s="39" t="n">
        <f aca="false">ROUND(I178-S178-MIN(I178-S178,MAX(0,$AF178-SUMPRODUCT(--($B$4:$K$4&lt;I$4),$B178:$K178-$L178:$U178))),2)</f>
        <v>0</v>
      </c>
      <c r="AD178" s="39" t="n">
        <f aca="false">ROUND(J178-T178-MIN(J178-T178,MAX(0,$AF178-SUMPRODUCT(--($B$4:$K$4&lt;J$4),$B178:$K178-$L178:$U178))),2)</f>
        <v>0</v>
      </c>
      <c r="AE178" s="39" t="n">
        <f aca="false">ROUND(K178-U178-MIN(K178-U178,MAX(0,$AF178-SUMPRODUCT(--($B$4:$K$4&lt;K$4),$B178:$K178-$L178:$U178))),2)</f>
        <v>0</v>
      </c>
      <c r="AF178" s="39" t="n">
        <f aca="false">MAX(0,'Start Here'!$C$5-SUM($L178:$U178))</f>
        <v>1200</v>
      </c>
      <c r="AG178" s="39" t="n">
        <f aca="false">SUM(V178:AE178)</f>
        <v>0</v>
      </c>
      <c r="AH178" s="39" t="n">
        <f aca="false">SUM(B178:K178)-AG177</f>
        <v>0</v>
      </c>
    </row>
    <row r="179" customFormat="false" ht="15" hidden="false" customHeight="false" outlineLevel="0" collapsed="false">
      <c r="A179" s="40" t="n">
        <f aca="false">DATE(YEAR('Start Here'!$C$6),MONTH('Start Here'!$C$6)+172,1)</f>
        <v>51533</v>
      </c>
      <c r="B179" s="39" t="n">
        <f aca="false">ROUND(V178*(1+N('My Debts'!$D$6)/12),2)</f>
        <v>0</v>
      </c>
      <c r="C179" s="39" t="n">
        <f aca="false">ROUND(W178*(1+N('My Debts'!$D$7)/12),2)</f>
        <v>0</v>
      </c>
      <c r="D179" s="39" t="n">
        <f aca="false">ROUND(X178*(1+N('My Debts'!$D$8)/12),2)</f>
        <v>0</v>
      </c>
      <c r="E179" s="39" t="n">
        <f aca="false">ROUND(Y178*(1+N('My Debts'!$D$9)/12),2)</f>
        <v>0</v>
      </c>
      <c r="F179" s="39" t="n">
        <f aca="false">ROUND(Z178*(1+N('My Debts'!$D$10)/12),2)</f>
        <v>0</v>
      </c>
      <c r="G179" s="39" t="n">
        <f aca="false">ROUND(AA178*(1+N('My Debts'!$D$11)/12),2)</f>
        <v>0</v>
      </c>
      <c r="H179" s="39" t="n">
        <f aca="false">ROUND(AB178*(1+N('My Debts'!$D$12)/12),2)</f>
        <v>0</v>
      </c>
      <c r="I179" s="39" t="n">
        <f aca="false">ROUND(AC178*(1+N('My Debts'!$D$13)/12),2)</f>
        <v>0</v>
      </c>
      <c r="J179" s="39" t="n">
        <f aca="false">ROUND(AD178*(1+N('My Debts'!$D$14)/12),2)</f>
        <v>0</v>
      </c>
      <c r="K179" s="39" t="n">
        <f aca="false">ROUND(AE178*(1+N('My Debts'!$D$15)/12),2)</f>
        <v>0</v>
      </c>
      <c r="L179" s="39" t="n">
        <f aca="false">MIN(N('My Debts'!$E$6),B179)</f>
        <v>0</v>
      </c>
      <c r="M179" s="39" t="n">
        <f aca="false">MIN(N('My Debts'!$E$7),C179)</f>
        <v>0</v>
      </c>
      <c r="N179" s="39" t="n">
        <f aca="false">MIN(N('My Debts'!$E$8),D179)</f>
        <v>0</v>
      </c>
      <c r="O179" s="39" t="n">
        <f aca="false">MIN(N('My Debts'!$E$9),E179)</f>
        <v>0</v>
      </c>
      <c r="P179" s="39" t="n">
        <f aca="false">MIN(N('My Debts'!$E$10),F179)</f>
        <v>0</v>
      </c>
      <c r="Q179" s="39" t="n">
        <f aca="false">MIN(N('My Debts'!$E$11),G179)</f>
        <v>0</v>
      </c>
      <c r="R179" s="39" t="n">
        <f aca="false">MIN(N('My Debts'!$E$12),H179)</f>
        <v>0</v>
      </c>
      <c r="S179" s="39" t="n">
        <f aca="false">MIN(N('My Debts'!$E$13),I179)</f>
        <v>0</v>
      </c>
      <c r="T179" s="39" t="n">
        <f aca="false">MIN(N('My Debts'!$E$14),J179)</f>
        <v>0</v>
      </c>
      <c r="U179" s="39" t="n">
        <f aca="false">MIN(N('My Debts'!$E$15),K179)</f>
        <v>0</v>
      </c>
      <c r="V179" s="39" t="n">
        <f aca="false">ROUND(B179-L179-MIN(B179-L179,MAX(0,$AF179-SUMPRODUCT(--($B$4:$K$4&lt;B$4),$B179:$K179-$L179:$U179))),2)</f>
        <v>0</v>
      </c>
      <c r="W179" s="39" t="n">
        <f aca="false">ROUND(C179-M179-MIN(C179-M179,MAX(0,$AF179-SUMPRODUCT(--($B$4:$K$4&lt;C$4),$B179:$K179-$L179:$U179))),2)</f>
        <v>0</v>
      </c>
      <c r="X179" s="39" t="n">
        <f aca="false">ROUND(D179-N179-MIN(D179-N179,MAX(0,$AF179-SUMPRODUCT(--($B$4:$K$4&lt;D$4),$B179:$K179-$L179:$U179))),2)</f>
        <v>0</v>
      </c>
      <c r="Y179" s="39" t="n">
        <f aca="false">ROUND(E179-O179-MIN(E179-O179,MAX(0,$AF179-SUMPRODUCT(--($B$4:$K$4&lt;E$4),$B179:$K179-$L179:$U179))),2)</f>
        <v>0</v>
      </c>
      <c r="Z179" s="39" t="n">
        <f aca="false">ROUND(F179-P179-MIN(F179-P179,MAX(0,$AF179-SUMPRODUCT(--($B$4:$K$4&lt;F$4),$B179:$K179-$L179:$U179))),2)</f>
        <v>0</v>
      </c>
      <c r="AA179" s="39" t="n">
        <f aca="false">ROUND(G179-Q179-MIN(G179-Q179,MAX(0,$AF179-SUMPRODUCT(--($B$4:$K$4&lt;G$4),$B179:$K179-$L179:$U179))),2)</f>
        <v>0</v>
      </c>
      <c r="AB179" s="39" t="n">
        <f aca="false">ROUND(H179-R179-MIN(H179-R179,MAX(0,$AF179-SUMPRODUCT(--($B$4:$K$4&lt;H$4),$B179:$K179-$L179:$U179))),2)</f>
        <v>0</v>
      </c>
      <c r="AC179" s="39" t="n">
        <f aca="false">ROUND(I179-S179-MIN(I179-S179,MAX(0,$AF179-SUMPRODUCT(--($B$4:$K$4&lt;I$4),$B179:$K179-$L179:$U179))),2)</f>
        <v>0</v>
      </c>
      <c r="AD179" s="39" t="n">
        <f aca="false">ROUND(J179-T179-MIN(J179-T179,MAX(0,$AF179-SUMPRODUCT(--($B$4:$K$4&lt;J$4),$B179:$K179-$L179:$U179))),2)</f>
        <v>0</v>
      </c>
      <c r="AE179" s="39" t="n">
        <f aca="false">ROUND(K179-U179-MIN(K179-U179,MAX(0,$AF179-SUMPRODUCT(--($B$4:$K$4&lt;K$4),$B179:$K179-$L179:$U179))),2)</f>
        <v>0</v>
      </c>
      <c r="AF179" s="39" t="n">
        <f aca="false">MAX(0,'Start Here'!$C$5-SUM($L179:$U179))</f>
        <v>1200</v>
      </c>
      <c r="AG179" s="39" t="n">
        <f aca="false">SUM(V179:AE179)</f>
        <v>0</v>
      </c>
      <c r="AH179" s="39" t="n">
        <f aca="false">SUM(B179:K179)-AG178</f>
        <v>0</v>
      </c>
    </row>
    <row r="180" customFormat="false" ht="15" hidden="false" customHeight="false" outlineLevel="0" collapsed="false">
      <c r="A180" s="40" t="n">
        <f aca="false">DATE(YEAR('Start Here'!$C$6),MONTH('Start Here'!$C$6)+173,1)</f>
        <v>51561</v>
      </c>
      <c r="B180" s="39" t="n">
        <f aca="false">ROUND(V179*(1+N('My Debts'!$D$6)/12),2)</f>
        <v>0</v>
      </c>
      <c r="C180" s="39" t="n">
        <f aca="false">ROUND(W179*(1+N('My Debts'!$D$7)/12),2)</f>
        <v>0</v>
      </c>
      <c r="D180" s="39" t="n">
        <f aca="false">ROUND(X179*(1+N('My Debts'!$D$8)/12),2)</f>
        <v>0</v>
      </c>
      <c r="E180" s="39" t="n">
        <f aca="false">ROUND(Y179*(1+N('My Debts'!$D$9)/12),2)</f>
        <v>0</v>
      </c>
      <c r="F180" s="39" t="n">
        <f aca="false">ROUND(Z179*(1+N('My Debts'!$D$10)/12),2)</f>
        <v>0</v>
      </c>
      <c r="G180" s="39" t="n">
        <f aca="false">ROUND(AA179*(1+N('My Debts'!$D$11)/12),2)</f>
        <v>0</v>
      </c>
      <c r="H180" s="39" t="n">
        <f aca="false">ROUND(AB179*(1+N('My Debts'!$D$12)/12),2)</f>
        <v>0</v>
      </c>
      <c r="I180" s="39" t="n">
        <f aca="false">ROUND(AC179*(1+N('My Debts'!$D$13)/12),2)</f>
        <v>0</v>
      </c>
      <c r="J180" s="39" t="n">
        <f aca="false">ROUND(AD179*(1+N('My Debts'!$D$14)/12),2)</f>
        <v>0</v>
      </c>
      <c r="K180" s="39" t="n">
        <f aca="false">ROUND(AE179*(1+N('My Debts'!$D$15)/12),2)</f>
        <v>0</v>
      </c>
      <c r="L180" s="39" t="n">
        <f aca="false">MIN(N('My Debts'!$E$6),B180)</f>
        <v>0</v>
      </c>
      <c r="M180" s="39" t="n">
        <f aca="false">MIN(N('My Debts'!$E$7),C180)</f>
        <v>0</v>
      </c>
      <c r="N180" s="39" t="n">
        <f aca="false">MIN(N('My Debts'!$E$8),D180)</f>
        <v>0</v>
      </c>
      <c r="O180" s="39" t="n">
        <f aca="false">MIN(N('My Debts'!$E$9),E180)</f>
        <v>0</v>
      </c>
      <c r="P180" s="39" t="n">
        <f aca="false">MIN(N('My Debts'!$E$10),F180)</f>
        <v>0</v>
      </c>
      <c r="Q180" s="39" t="n">
        <f aca="false">MIN(N('My Debts'!$E$11),G180)</f>
        <v>0</v>
      </c>
      <c r="R180" s="39" t="n">
        <f aca="false">MIN(N('My Debts'!$E$12),H180)</f>
        <v>0</v>
      </c>
      <c r="S180" s="39" t="n">
        <f aca="false">MIN(N('My Debts'!$E$13),I180)</f>
        <v>0</v>
      </c>
      <c r="T180" s="39" t="n">
        <f aca="false">MIN(N('My Debts'!$E$14),J180)</f>
        <v>0</v>
      </c>
      <c r="U180" s="39" t="n">
        <f aca="false">MIN(N('My Debts'!$E$15),K180)</f>
        <v>0</v>
      </c>
      <c r="V180" s="39" t="n">
        <f aca="false">ROUND(B180-L180-MIN(B180-L180,MAX(0,$AF180-SUMPRODUCT(--($B$4:$K$4&lt;B$4),$B180:$K180-$L180:$U180))),2)</f>
        <v>0</v>
      </c>
      <c r="W180" s="39" t="n">
        <f aca="false">ROUND(C180-M180-MIN(C180-M180,MAX(0,$AF180-SUMPRODUCT(--($B$4:$K$4&lt;C$4),$B180:$K180-$L180:$U180))),2)</f>
        <v>0</v>
      </c>
      <c r="X180" s="39" t="n">
        <f aca="false">ROUND(D180-N180-MIN(D180-N180,MAX(0,$AF180-SUMPRODUCT(--($B$4:$K$4&lt;D$4),$B180:$K180-$L180:$U180))),2)</f>
        <v>0</v>
      </c>
      <c r="Y180" s="39" t="n">
        <f aca="false">ROUND(E180-O180-MIN(E180-O180,MAX(0,$AF180-SUMPRODUCT(--($B$4:$K$4&lt;E$4),$B180:$K180-$L180:$U180))),2)</f>
        <v>0</v>
      </c>
      <c r="Z180" s="39" t="n">
        <f aca="false">ROUND(F180-P180-MIN(F180-P180,MAX(0,$AF180-SUMPRODUCT(--($B$4:$K$4&lt;F$4),$B180:$K180-$L180:$U180))),2)</f>
        <v>0</v>
      </c>
      <c r="AA180" s="39" t="n">
        <f aca="false">ROUND(G180-Q180-MIN(G180-Q180,MAX(0,$AF180-SUMPRODUCT(--($B$4:$K$4&lt;G$4),$B180:$K180-$L180:$U180))),2)</f>
        <v>0</v>
      </c>
      <c r="AB180" s="39" t="n">
        <f aca="false">ROUND(H180-R180-MIN(H180-R180,MAX(0,$AF180-SUMPRODUCT(--($B$4:$K$4&lt;H$4),$B180:$K180-$L180:$U180))),2)</f>
        <v>0</v>
      </c>
      <c r="AC180" s="39" t="n">
        <f aca="false">ROUND(I180-S180-MIN(I180-S180,MAX(0,$AF180-SUMPRODUCT(--($B$4:$K$4&lt;I$4),$B180:$K180-$L180:$U180))),2)</f>
        <v>0</v>
      </c>
      <c r="AD180" s="39" t="n">
        <f aca="false">ROUND(J180-T180-MIN(J180-T180,MAX(0,$AF180-SUMPRODUCT(--($B$4:$K$4&lt;J$4),$B180:$K180-$L180:$U180))),2)</f>
        <v>0</v>
      </c>
      <c r="AE180" s="39" t="n">
        <f aca="false">ROUND(K180-U180-MIN(K180-U180,MAX(0,$AF180-SUMPRODUCT(--($B$4:$K$4&lt;K$4),$B180:$K180-$L180:$U180))),2)</f>
        <v>0</v>
      </c>
      <c r="AF180" s="39" t="n">
        <f aca="false">MAX(0,'Start Here'!$C$5-SUM($L180:$U180))</f>
        <v>1200</v>
      </c>
      <c r="AG180" s="39" t="n">
        <f aca="false">SUM(V180:AE180)</f>
        <v>0</v>
      </c>
      <c r="AH180" s="39" t="n">
        <f aca="false">SUM(B180:K180)-AG179</f>
        <v>0</v>
      </c>
    </row>
    <row r="181" customFormat="false" ht="15" hidden="false" customHeight="false" outlineLevel="0" collapsed="false">
      <c r="A181" s="40" t="n">
        <f aca="false">DATE(YEAR('Start Here'!$C$6),MONTH('Start Here'!$C$6)+174,1)</f>
        <v>51592</v>
      </c>
      <c r="B181" s="39" t="n">
        <f aca="false">ROUND(V180*(1+N('My Debts'!$D$6)/12),2)</f>
        <v>0</v>
      </c>
      <c r="C181" s="39" t="n">
        <f aca="false">ROUND(W180*(1+N('My Debts'!$D$7)/12),2)</f>
        <v>0</v>
      </c>
      <c r="D181" s="39" t="n">
        <f aca="false">ROUND(X180*(1+N('My Debts'!$D$8)/12),2)</f>
        <v>0</v>
      </c>
      <c r="E181" s="39" t="n">
        <f aca="false">ROUND(Y180*(1+N('My Debts'!$D$9)/12),2)</f>
        <v>0</v>
      </c>
      <c r="F181" s="39" t="n">
        <f aca="false">ROUND(Z180*(1+N('My Debts'!$D$10)/12),2)</f>
        <v>0</v>
      </c>
      <c r="G181" s="39" t="n">
        <f aca="false">ROUND(AA180*(1+N('My Debts'!$D$11)/12),2)</f>
        <v>0</v>
      </c>
      <c r="H181" s="39" t="n">
        <f aca="false">ROUND(AB180*(1+N('My Debts'!$D$12)/12),2)</f>
        <v>0</v>
      </c>
      <c r="I181" s="39" t="n">
        <f aca="false">ROUND(AC180*(1+N('My Debts'!$D$13)/12),2)</f>
        <v>0</v>
      </c>
      <c r="J181" s="39" t="n">
        <f aca="false">ROUND(AD180*(1+N('My Debts'!$D$14)/12),2)</f>
        <v>0</v>
      </c>
      <c r="K181" s="39" t="n">
        <f aca="false">ROUND(AE180*(1+N('My Debts'!$D$15)/12),2)</f>
        <v>0</v>
      </c>
      <c r="L181" s="39" t="n">
        <f aca="false">MIN(N('My Debts'!$E$6),B181)</f>
        <v>0</v>
      </c>
      <c r="M181" s="39" t="n">
        <f aca="false">MIN(N('My Debts'!$E$7),C181)</f>
        <v>0</v>
      </c>
      <c r="N181" s="39" t="n">
        <f aca="false">MIN(N('My Debts'!$E$8),D181)</f>
        <v>0</v>
      </c>
      <c r="O181" s="39" t="n">
        <f aca="false">MIN(N('My Debts'!$E$9),E181)</f>
        <v>0</v>
      </c>
      <c r="P181" s="39" t="n">
        <f aca="false">MIN(N('My Debts'!$E$10),F181)</f>
        <v>0</v>
      </c>
      <c r="Q181" s="39" t="n">
        <f aca="false">MIN(N('My Debts'!$E$11),G181)</f>
        <v>0</v>
      </c>
      <c r="R181" s="39" t="n">
        <f aca="false">MIN(N('My Debts'!$E$12),H181)</f>
        <v>0</v>
      </c>
      <c r="S181" s="39" t="n">
        <f aca="false">MIN(N('My Debts'!$E$13),I181)</f>
        <v>0</v>
      </c>
      <c r="T181" s="39" t="n">
        <f aca="false">MIN(N('My Debts'!$E$14),J181)</f>
        <v>0</v>
      </c>
      <c r="U181" s="39" t="n">
        <f aca="false">MIN(N('My Debts'!$E$15),K181)</f>
        <v>0</v>
      </c>
      <c r="V181" s="39" t="n">
        <f aca="false">ROUND(B181-L181-MIN(B181-L181,MAX(0,$AF181-SUMPRODUCT(--($B$4:$K$4&lt;B$4),$B181:$K181-$L181:$U181))),2)</f>
        <v>0</v>
      </c>
      <c r="W181" s="39" t="n">
        <f aca="false">ROUND(C181-M181-MIN(C181-M181,MAX(0,$AF181-SUMPRODUCT(--($B$4:$K$4&lt;C$4),$B181:$K181-$L181:$U181))),2)</f>
        <v>0</v>
      </c>
      <c r="X181" s="39" t="n">
        <f aca="false">ROUND(D181-N181-MIN(D181-N181,MAX(0,$AF181-SUMPRODUCT(--($B$4:$K$4&lt;D$4),$B181:$K181-$L181:$U181))),2)</f>
        <v>0</v>
      </c>
      <c r="Y181" s="39" t="n">
        <f aca="false">ROUND(E181-O181-MIN(E181-O181,MAX(0,$AF181-SUMPRODUCT(--($B$4:$K$4&lt;E$4),$B181:$K181-$L181:$U181))),2)</f>
        <v>0</v>
      </c>
      <c r="Z181" s="39" t="n">
        <f aca="false">ROUND(F181-P181-MIN(F181-P181,MAX(0,$AF181-SUMPRODUCT(--($B$4:$K$4&lt;F$4),$B181:$K181-$L181:$U181))),2)</f>
        <v>0</v>
      </c>
      <c r="AA181" s="39" t="n">
        <f aca="false">ROUND(G181-Q181-MIN(G181-Q181,MAX(0,$AF181-SUMPRODUCT(--($B$4:$K$4&lt;G$4),$B181:$K181-$L181:$U181))),2)</f>
        <v>0</v>
      </c>
      <c r="AB181" s="39" t="n">
        <f aca="false">ROUND(H181-R181-MIN(H181-R181,MAX(0,$AF181-SUMPRODUCT(--($B$4:$K$4&lt;H$4),$B181:$K181-$L181:$U181))),2)</f>
        <v>0</v>
      </c>
      <c r="AC181" s="39" t="n">
        <f aca="false">ROUND(I181-S181-MIN(I181-S181,MAX(0,$AF181-SUMPRODUCT(--($B$4:$K$4&lt;I$4),$B181:$K181-$L181:$U181))),2)</f>
        <v>0</v>
      </c>
      <c r="AD181" s="39" t="n">
        <f aca="false">ROUND(J181-T181-MIN(J181-T181,MAX(0,$AF181-SUMPRODUCT(--($B$4:$K$4&lt;J$4),$B181:$K181-$L181:$U181))),2)</f>
        <v>0</v>
      </c>
      <c r="AE181" s="39" t="n">
        <f aca="false">ROUND(K181-U181-MIN(K181-U181,MAX(0,$AF181-SUMPRODUCT(--($B$4:$K$4&lt;K$4),$B181:$K181-$L181:$U181))),2)</f>
        <v>0</v>
      </c>
      <c r="AF181" s="39" t="n">
        <f aca="false">MAX(0,'Start Here'!$C$5-SUM($L181:$U181))</f>
        <v>1200</v>
      </c>
      <c r="AG181" s="39" t="n">
        <f aca="false">SUM(V181:AE181)</f>
        <v>0</v>
      </c>
      <c r="AH181" s="39" t="n">
        <f aca="false">SUM(B181:K181)-AG180</f>
        <v>0</v>
      </c>
    </row>
    <row r="182" customFormat="false" ht="15" hidden="false" customHeight="false" outlineLevel="0" collapsed="false">
      <c r="A182" s="40" t="n">
        <f aca="false">DATE(YEAR('Start Here'!$C$6),MONTH('Start Here'!$C$6)+175,1)</f>
        <v>51622</v>
      </c>
      <c r="B182" s="39" t="n">
        <f aca="false">ROUND(V181*(1+N('My Debts'!$D$6)/12),2)</f>
        <v>0</v>
      </c>
      <c r="C182" s="39" t="n">
        <f aca="false">ROUND(W181*(1+N('My Debts'!$D$7)/12),2)</f>
        <v>0</v>
      </c>
      <c r="D182" s="39" t="n">
        <f aca="false">ROUND(X181*(1+N('My Debts'!$D$8)/12),2)</f>
        <v>0</v>
      </c>
      <c r="E182" s="39" t="n">
        <f aca="false">ROUND(Y181*(1+N('My Debts'!$D$9)/12),2)</f>
        <v>0</v>
      </c>
      <c r="F182" s="39" t="n">
        <f aca="false">ROUND(Z181*(1+N('My Debts'!$D$10)/12),2)</f>
        <v>0</v>
      </c>
      <c r="G182" s="39" t="n">
        <f aca="false">ROUND(AA181*(1+N('My Debts'!$D$11)/12),2)</f>
        <v>0</v>
      </c>
      <c r="H182" s="39" t="n">
        <f aca="false">ROUND(AB181*(1+N('My Debts'!$D$12)/12),2)</f>
        <v>0</v>
      </c>
      <c r="I182" s="39" t="n">
        <f aca="false">ROUND(AC181*(1+N('My Debts'!$D$13)/12),2)</f>
        <v>0</v>
      </c>
      <c r="J182" s="39" t="n">
        <f aca="false">ROUND(AD181*(1+N('My Debts'!$D$14)/12),2)</f>
        <v>0</v>
      </c>
      <c r="K182" s="39" t="n">
        <f aca="false">ROUND(AE181*(1+N('My Debts'!$D$15)/12),2)</f>
        <v>0</v>
      </c>
      <c r="L182" s="39" t="n">
        <f aca="false">MIN(N('My Debts'!$E$6),B182)</f>
        <v>0</v>
      </c>
      <c r="M182" s="39" t="n">
        <f aca="false">MIN(N('My Debts'!$E$7),C182)</f>
        <v>0</v>
      </c>
      <c r="N182" s="39" t="n">
        <f aca="false">MIN(N('My Debts'!$E$8),D182)</f>
        <v>0</v>
      </c>
      <c r="O182" s="39" t="n">
        <f aca="false">MIN(N('My Debts'!$E$9),E182)</f>
        <v>0</v>
      </c>
      <c r="P182" s="39" t="n">
        <f aca="false">MIN(N('My Debts'!$E$10),F182)</f>
        <v>0</v>
      </c>
      <c r="Q182" s="39" t="n">
        <f aca="false">MIN(N('My Debts'!$E$11),G182)</f>
        <v>0</v>
      </c>
      <c r="R182" s="39" t="n">
        <f aca="false">MIN(N('My Debts'!$E$12),H182)</f>
        <v>0</v>
      </c>
      <c r="S182" s="39" t="n">
        <f aca="false">MIN(N('My Debts'!$E$13),I182)</f>
        <v>0</v>
      </c>
      <c r="T182" s="39" t="n">
        <f aca="false">MIN(N('My Debts'!$E$14),J182)</f>
        <v>0</v>
      </c>
      <c r="U182" s="39" t="n">
        <f aca="false">MIN(N('My Debts'!$E$15),K182)</f>
        <v>0</v>
      </c>
      <c r="V182" s="39" t="n">
        <f aca="false">ROUND(B182-L182-MIN(B182-L182,MAX(0,$AF182-SUMPRODUCT(--($B$4:$K$4&lt;B$4),$B182:$K182-$L182:$U182))),2)</f>
        <v>0</v>
      </c>
      <c r="W182" s="39" t="n">
        <f aca="false">ROUND(C182-M182-MIN(C182-M182,MAX(0,$AF182-SUMPRODUCT(--($B$4:$K$4&lt;C$4),$B182:$K182-$L182:$U182))),2)</f>
        <v>0</v>
      </c>
      <c r="X182" s="39" t="n">
        <f aca="false">ROUND(D182-N182-MIN(D182-N182,MAX(0,$AF182-SUMPRODUCT(--($B$4:$K$4&lt;D$4),$B182:$K182-$L182:$U182))),2)</f>
        <v>0</v>
      </c>
      <c r="Y182" s="39" t="n">
        <f aca="false">ROUND(E182-O182-MIN(E182-O182,MAX(0,$AF182-SUMPRODUCT(--($B$4:$K$4&lt;E$4),$B182:$K182-$L182:$U182))),2)</f>
        <v>0</v>
      </c>
      <c r="Z182" s="39" t="n">
        <f aca="false">ROUND(F182-P182-MIN(F182-P182,MAX(0,$AF182-SUMPRODUCT(--($B$4:$K$4&lt;F$4),$B182:$K182-$L182:$U182))),2)</f>
        <v>0</v>
      </c>
      <c r="AA182" s="39" t="n">
        <f aca="false">ROUND(G182-Q182-MIN(G182-Q182,MAX(0,$AF182-SUMPRODUCT(--($B$4:$K$4&lt;G$4),$B182:$K182-$L182:$U182))),2)</f>
        <v>0</v>
      </c>
      <c r="AB182" s="39" t="n">
        <f aca="false">ROUND(H182-R182-MIN(H182-R182,MAX(0,$AF182-SUMPRODUCT(--($B$4:$K$4&lt;H$4),$B182:$K182-$L182:$U182))),2)</f>
        <v>0</v>
      </c>
      <c r="AC182" s="39" t="n">
        <f aca="false">ROUND(I182-S182-MIN(I182-S182,MAX(0,$AF182-SUMPRODUCT(--($B$4:$K$4&lt;I$4),$B182:$K182-$L182:$U182))),2)</f>
        <v>0</v>
      </c>
      <c r="AD182" s="39" t="n">
        <f aca="false">ROUND(J182-T182-MIN(J182-T182,MAX(0,$AF182-SUMPRODUCT(--($B$4:$K$4&lt;J$4),$B182:$K182-$L182:$U182))),2)</f>
        <v>0</v>
      </c>
      <c r="AE182" s="39" t="n">
        <f aca="false">ROUND(K182-U182-MIN(K182-U182,MAX(0,$AF182-SUMPRODUCT(--($B$4:$K$4&lt;K$4),$B182:$K182-$L182:$U182))),2)</f>
        <v>0</v>
      </c>
      <c r="AF182" s="39" t="n">
        <f aca="false">MAX(0,'Start Here'!$C$5-SUM($L182:$U182))</f>
        <v>1200</v>
      </c>
      <c r="AG182" s="39" t="n">
        <f aca="false">SUM(V182:AE182)</f>
        <v>0</v>
      </c>
      <c r="AH182" s="39" t="n">
        <f aca="false">SUM(B182:K182)-AG181</f>
        <v>0</v>
      </c>
    </row>
    <row r="183" customFormat="false" ht="15" hidden="false" customHeight="false" outlineLevel="0" collapsed="false">
      <c r="A183" s="40" t="n">
        <f aca="false">DATE(YEAR('Start Here'!$C$6),MONTH('Start Here'!$C$6)+176,1)</f>
        <v>51653</v>
      </c>
      <c r="B183" s="39" t="n">
        <f aca="false">ROUND(V182*(1+N('My Debts'!$D$6)/12),2)</f>
        <v>0</v>
      </c>
      <c r="C183" s="39" t="n">
        <f aca="false">ROUND(W182*(1+N('My Debts'!$D$7)/12),2)</f>
        <v>0</v>
      </c>
      <c r="D183" s="39" t="n">
        <f aca="false">ROUND(X182*(1+N('My Debts'!$D$8)/12),2)</f>
        <v>0</v>
      </c>
      <c r="E183" s="39" t="n">
        <f aca="false">ROUND(Y182*(1+N('My Debts'!$D$9)/12),2)</f>
        <v>0</v>
      </c>
      <c r="F183" s="39" t="n">
        <f aca="false">ROUND(Z182*(1+N('My Debts'!$D$10)/12),2)</f>
        <v>0</v>
      </c>
      <c r="G183" s="39" t="n">
        <f aca="false">ROUND(AA182*(1+N('My Debts'!$D$11)/12),2)</f>
        <v>0</v>
      </c>
      <c r="H183" s="39" t="n">
        <f aca="false">ROUND(AB182*(1+N('My Debts'!$D$12)/12),2)</f>
        <v>0</v>
      </c>
      <c r="I183" s="39" t="n">
        <f aca="false">ROUND(AC182*(1+N('My Debts'!$D$13)/12),2)</f>
        <v>0</v>
      </c>
      <c r="J183" s="39" t="n">
        <f aca="false">ROUND(AD182*(1+N('My Debts'!$D$14)/12),2)</f>
        <v>0</v>
      </c>
      <c r="K183" s="39" t="n">
        <f aca="false">ROUND(AE182*(1+N('My Debts'!$D$15)/12),2)</f>
        <v>0</v>
      </c>
      <c r="L183" s="39" t="n">
        <f aca="false">MIN(N('My Debts'!$E$6),B183)</f>
        <v>0</v>
      </c>
      <c r="M183" s="39" t="n">
        <f aca="false">MIN(N('My Debts'!$E$7),C183)</f>
        <v>0</v>
      </c>
      <c r="N183" s="39" t="n">
        <f aca="false">MIN(N('My Debts'!$E$8),D183)</f>
        <v>0</v>
      </c>
      <c r="O183" s="39" t="n">
        <f aca="false">MIN(N('My Debts'!$E$9),E183)</f>
        <v>0</v>
      </c>
      <c r="P183" s="39" t="n">
        <f aca="false">MIN(N('My Debts'!$E$10),F183)</f>
        <v>0</v>
      </c>
      <c r="Q183" s="39" t="n">
        <f aca="false">MIN(N('My Debts'!$E$11),G183)</f>
        <v>0</v>
      </c>
      <c r="R183" s="39" t="n">
        <f aca="false">MIN(N('My Debts'!$E$12),H183)</f>
        <v>0</v>
      </c>
      <c r="S183" s="39" t="n">
        <f aca="false">MIN(N('My Debts'!$E$13),I183)</f>
        <v>0</v>
      </c>
      <c r="T183" s="39" t="n">
        <f aca="false">MIN(N('My Debts'!$E$14),J183)</f>
        <v>0</v>
      </c>
      <c r="U183" s="39" t="n">
        <f aca="false">MIN(N('My Debts'!$E$15),K183)</f>
        <v>0</v>
      </c>
      <c r="V183" s="39" t="n">
        <f aca="false">ROUND(B183-L183-MIN(B183-L183,MAX(0,$AF183-SUMPRODUCT(--($B$4:$K$4&lt;B$4),$B183:$K183-$L183:$U183))),2)</f>
        <v>0</v>
      </c>
      <c r="W183" s="39" t="n">
        <f aca="false">ROUND(C183-M183-MIN(C183-M183,MAX(0,$AF183-SUMPRODUCT(--($B$4:$K$4&lt;C$4),$B183:$K183-$L183:$U183))),2)</f>
        <v>0</v>
      </c>
      <c r="X183" s="39" t="n">
        <f aca="false">ROUND(D183-N183-MIN(D183-N183,MAX(0,$AF183-SUMPRODUCT(--($B$4:$K$4&lt;D$4),$B183:$K183-$L183:$U183))),2)</f>
        <v>0</v>
      </c>
      <c r="Y183" s="39" t="n">
        <f aca="false">ROUND(E183-O183-MIN(E183-O183,MAX(0,$AF183-SUMPRODUCT(--($B$4:$K$4&lt;E$4),$B183:$K183-$L183:$U183))),2)</f>
        <v>0</v>
      </c>
      <c r="Z183" s="39" t="n">
        <f aca="false">ROUND(F183-P183-MIN(F183-P183,MAX(0,$AF183-SUMPRODUCT(--($B$4:$K$4&lt;F$4),$B183:$K183-$L183:$U183))),2)</f>
        <v>0</v>
      </c>
      <c r="AA183" s="39" t="n">
        <f aca="false">ROUND(G183-Q183-MIN(G183-Q183,MAX(0,$AF183-SUMPRODUCT(--($B$4:$K$4&lt;G$4),$B183:$K183-$L183:$U183))),2)</f>
        <v>0</v>
      </c>
      <c r="AB183" s="39" t="n">
        <f aca="false">ROUND(H183-R183-MIN(H183-R183,MAX(0,$AF183-SUMPRODUCT(--($B$4:$K$4&lt;H$4),$B183:$K183-$L183:$U183))),2)</f>
        <v>0</v>
      </c>
      <c r="AC183" s="39" t="n">
        <f aca="false">ROUND(I183-S183-MIN(I183-S183,MAX(0,$AF183-SUMPRODUCT(--($B$4:$K$4&lt;I$4),$B183:$K183-$L183:$U183))),2)</f>
        <v>0</v>
      </c>
      <c r="AD183" s="39" t="n">
        <f aca="false">ROUND(J183-T183-MIN(J183-T183,MAX(0,$AF183-SUMPRODUCT(--($B$4:$K$4&lt;J$4),$B183:$K183-$L183:$U183))),2)</f>
        <v>0</v>
      </c>
      <c r="AE183" s="39" t="n">
        <f aca="false">ROUND(K183-U183-MIN(K183-U183,MAX(0,$AF183-SUMPRODUCT(--($B$4:$K$4&lt;K$4),$B183:$K183-$L183:$U183))),2)</f>
        <v>0</v>
      </c>
      <c r="AF183" s="39" t="n">
        <f aca="false">MAX(0,'Start Here'!$C$5-SUM($L183:$U183))</f>
        <v>1200</v>
      </c>
      <c r="AG183" s="39" t="n">
        <f aca="false">SUM(V183:AE183)</f>
        <v>0</v>
      </c>
      <c r="AH183" s="39" t="n">
        <f aca="false">SUM(B183:K183)-AG182</f>
        <v>0</v>
      </c>
    </row>
    <row r="184" customFormat="false" ht="15" hidden="false" customHeight="false" outlineLevel="0" collapsed="false">
      <c r="A184" s="40" t="n">
        <f aca="false">DATE(YEAR('Start Here'!$C$6),MONTH('Start Here'!$C$6)+177,1)</f>
        <v>51683</v>
      </c>
      <c r="B184" s="39" t="n">
        <f aca="false">ROUND(V183*(1+N('My Debts'!$D$6)/12),2)</f>
        <v>0</v>
      </c>
      <c r="C184" s="39" t="n">
        <f aca="false">ROUND(W183*(1+N('My Debts'!$D$7)/12),2)</f>
        <v>0</v>
      </c>
      <c r="D184" s="39" t="n">
        <f aca="false">ROUND(X183*(1+N('My Debts'!$D$8)/12),2)</f>
        <v>0</v>
      </c>
      <c r="E184" s="39" t="n">
        <f aca="false">ROUND(Y183*(1+N('My Debts'!$D$9)/12),2)</f>
        <v>0</v>
      </c>
      <c r="F184" s="39" t="n">
        <f aca="false">ROUND(Z183*(1+N('My Debts'!$D$10)/12),2)</f>
        <v>0</v>
      </c>
      <c r="G184" s="39" t="n">
        <f aca="false">ROUND(AA183*(1+N('My Debts'!$D$11)/12),2)</f>
        <v>0</v>
      </c>
      <c r="H184" s="39" t="n">
        <f aca="false">ROUND(AB183*(1+N('My Debts'!$D$12)/12),2)</f>
        <v>0</v>
      </c>
      <c r="I184" s="39" t="n">
        <f aca="false">ROUND(AC183*(1+N('My Debts'!$D$13)/12),2)</f>
        <v>0</v>
      </c>
      <c r="J184" s="39" t="n">
        <f aca="false">ROUND(AD183*(1+N('My Debts'!$D$14)/12),2)</f>
        <v>0</v>
      </c>
      <c r="K184" s="39" t="n">
        <f aca="false">ROUND(AE183*(1+N('My Debts'!$D$15)/12),2)</f>
        <v>0</v>
      </c>
      <c r="L184" s="39" t="n">
        <f aca="false">MIN(N('My Debts'!$E$6),B184)</f>
        <v>0</v>
      </c>
      <c r="M184" s="39" t="n">
        <f aca="false">MIN(N('My Debts'!$E$7),C184)</f>
        <v>0</v>
      </c>
      <c r="N184" s="39" t="n">
        <f aca="false">MIN(N('My Debts'!$E$8),D184)</f>
        <v>0</v>
      </c>
      <c r="O184" s="39" t="n">
        <f aca="false">MIN(N('My Debts'!$E$9),E184)</f>
        <v>0</v>
      </c>
      <c r="P184" s="39" t="n">
        <f aca="false">MIN(N('My Debts'!$E$10),F184)</f>
        <v>0</v>
      </c>
      <c r="Q184" s="39" t="n">
        <f aca="false">MIN(N('My Debts'!$E$11),G184)</f>
        <v>0</v>
      </c>
      <c r="R184" s="39" t="n">
        <f aca="false">MIN(N('My Debts'!$E$12),H184)</f>
        <v>0</v>
      </c>
      <c r="S184" s="39" t="n">
        <f aca="false">MIN(N('My Debts'!$E$13),I184)</f>
        <v>0</v>
      </c>
      <c r="T184" s="39" t="n">
        <f aca="false">MIN(N('My Debts'!$E$14),J184)</f>
        <v>0</v>
      </c>
      <c r="U184" s="39" t="n">
        <f aca="false">MIN(N('My Debts'!$E$15),K184)</f>
        <v>0</v>
      </c>
      <c r="V184" s="39" t="n">
        <f aca="false">ROUND(B184-L184-MIN(B184-L184,MAX(0,$AF184-SUMPRODUCT(--($B$4:$K$4&lt;B$4),$B184:$K184-$L184:$U184))),2)</f>
        <v>0</v>
      </c>
      <c r="W184" s="39" t="n">
        <f aca="false">ROUND(C184-M184-MIN(C184-M184,MAX(0,$AF184-SUMPRODUCT(--($B$4:$K$4&lt;C$4),$B184:$K184-$L184:$U184))),2)</f>
        <v>0</v>
      </c>
      <c r="X184" s="39" t="n">
        <f aca="false">ROUND(D184-N184-MIN(D184-N184,MAX(0,$AF184-SUMPRODUCT(--($B$4:$K$4&lt;D$4),$B184:$K184-$L184:$U184))),2)</f>
        <v>0</v>
      </c>
      <c r="Y184" s="39" t="n">
        <f aca="false">ROUND(E184-O184-MIN(E184-O184,MAX(0,$AF184-SUMPRODUCT(--($B$4:$K$4&lt;E$4),$B184:$K184-$L184:$U184))),2)</f>
        <v>0</v>
      </c>
      <c r="Z184" s="39" t="n">
        <f aca="false">ROUND(F184-P184-MIN(F184-P184,MAX(0,$AF184-SUMPRODUCT(--($B$4:$K$4&lt;F$4),$B184:$K184-$L184:$U184))),2)</f>
        <v>0</v>
      </c>
      <c r="AA184" s="39" t="n">
        <f aca="false">ROUND(G184-Q184-MIN(G184-Q184,MAX(0,$AF184-SUMPRODUCT(--($B$4:$K$4&lt;G$4),$B184:$K184-$L184:$U184))),2)</f>
        <v>0</v>
      </c>
      <c r="AB184" s="39" t="n">
        <f aca="false">ROUND(H184-R184-MIN(H184-R184,MAX(0,$AF184-SUMPRODUCT(--($B$4:$K$4&lt;H$4),$B184:$K184-$L184:$U184))),2)</f>
        <v>0</v>
      </c>
      <c r="AC184" s="39" t="n">
        <f aca="false">ROUND(I184-S184-MIN(I184-S184,MAX(0,$AF184-SUMPRODUCT(--($B$4:$K$4&lt;I$4),$B184:$K184-$L184:$U184))),2)</f>
        <v>0</v>
      </c>
      <c r="AD184" s="39" t="n">
        <f aca="false">ROUND(J184-T184-MIN(J184-T184,MAX(0,$AF184-SUMPRODUCT(--($B$4:$K$4&lt;J$4),$B184:$K184-$L184:$U184))),2)</f>
        <v>0</v>
      </c>
      <c r="AE184" s="39" t="n">
        <f aca="false">ROUND(K184-U184-MIN(K184-U184,MAX(0,$AF184-SUMPRODUCT(--($B$4:$K$4&lt;K$4),$B184:$K184-$L184:$U184))),2)</f>
        <v>0</v>
      </c>
      <c r="AF184" s="39" t="n">
        <f aca="false">MAX(0,'Start Here'!$C$5-SUM($L184:$U184))</f>
        <v>1200</v>
      </c>
      <c r="AG184" s="39" t="n">
        <f aca="false">SUM(V184:AE184)</f>
        <v>0</v>
      </c>
      <c r="AH184" s="39" t="n">
        <f aca="false">SUM(B184:K184)-AG183</f>
        <v>0</v>
      </c>
    </row>
    <row r="185" customFormat="false" ht="15" hidden="false" customHeight="false" outlineLevel="0" collapsed="false">
      <c r="A185" s="40" t="n">
        <f aca="false">DATE(YEAR('Start Here'!$C$6),MONTH('Start Here'!$C$6)+178,1)</f>
        <v>51714</v>
      </c>
      <c r="B185" s="39" t="n">
        <f aca="false">ROUND(V184*(1+N('My Debts'!$D$6)/12),2)</f>
        <v>0</v>
      </c>
      <c r="C185" s="39" t="n">
        <f aca="false">ROUND(W184*(1+N('My Debts'!$D$7)/12),2)</f>
        <v>0</v>
      </c>
      <c r="D185" s="39" t="n">
        <f aca="false">ROUND(X184*(1+N('My Debts'!$D$8)/12),2)</f>
        <v>0</v>
      </c>
      <c r="E185" s="39" t="n">
        <f aca="false">ROUND(Y184*(1+N('My Debts'!$D$9)/12),2)</f>
        <v>0</v>
      </c>
      <c r="F185" s="39" t="n">
        <f aca="false">ROUND(Z184*(1+N('My Debts'!$D$10)/12),2)</f>
        <v>0</v>
      </c>
      <c r="G185" s="39" t="n">
        <f aca="false">ROUND(AA184*(1+N('My Debts'!$D$11)/12),2)</f>
        <v>0</v>
      </c>
      <c r="H185" s="39" t="n">
        <f aca="false">ROUND(AB184*(1+N('My Debts'!$D$12)/12),2)</f>
        <v>0</v>
      </c>
      <c r="I185" s="39" t="n">
        <f aca="false">ROUND(AC184*(1+N('My Debts'!$D$13)/12),2)</f>
        <v>0</v>
      </c>
      <c r="J185" s="39" t="n">
        <f aca="false">ROUND(AD184*(1+N('My Debts'!$D$14)/12),2)</f>
        <v>0</v>
      </c>
      <c r="K185" s="39" t="n">
        <f aca="false">ROUND(AE184*(1+N('My Debts'!$D$15)/12),2)</f>
        <v>0</v>
      </c>
      <c r="L185" s="39" t="n">
        <f aca="false">MIN(N('My Debts'!$E$6),B185)</f>
        <v>0</v>
      </c>
      <c r="M185" s="39" t="n">
        <f aca="false">MIN(N('My Debts'!$E$7),C185)</f>
        <v>0</v>
      </c>
      <c r="N185" s="39" t="n">
        <f aca="false">MIN(N('My Debts'!$E$8),D185)</f>
        <v>0</v>
      </c>
      <c r="O185" s="39" t="n">
        <f aca="false">MIN(N('My Debts'!$E$9),E185)</f>
        <v>0</v>
      </c>
      <c r="P185" s="39" t="n">
        <f aca="false">MIN(N('My Debts'!$E$10),F185)</f>
        <v>0</v>
      </c>
      <c r="Q185" s="39" t="n">
        <f aca="false">MIN(N('My Debts'!$E$11),G185)</f>
        <v>0</v>
      </c>
      <c r="R185" s="39" t="n">
        <f aca="false">MIN(N('My Debts'!$E$12),H185)</f>
        <v>0</v>
      </c>
      <c r="S185" s="39" t="n">
        <f aca="false">MIN(N('My Debts'!$E$13),I185)</f>
        <v>0</v>
      </c>
      <c r="T185" s="39" t="n">
        <f aca="false">MIN(N('My Debts'!$E$14),J185)</f>
        <v>0</v>
      </c>
      <c r="U185" s="39" t="n">
        <f aca="false">MIN(N('My Debts'!$E$15),K185)</f>
        <v>0</v>
      </c>
      <c r="V185" s="39" t="n">
        <f aca="false">ROUND(B185-L185-MIN(B185-L185,MAX(0,$AF185-SUMPRODUCT(--($B$4:$K$4&lt;B$4),$B185:$K185-$L185:$U185))),2)</f>
        <v>0</v>
      </c>
      <c r="W185" s="39" t="n">
        <f aca="false">ROUND(C185-M185-MIN(C185-M185,MAX(0,$AF185-SUMPRODUCT(--($B$4:$K$4&lt;C$4),$B185:$K185-$L185:$U185))),2)</f>
        <v>0</v>
      </c>
      <c r="X185" s="39" t="n">
        <f aca="false">ROUND(D185-N185-MIN(D185-N185,MAX(0,$AF185-SUMPRODUCT(--($B$4:$K$4&lt;D$4),$B185:$K185-$L185:$U185))),2)</f>
        <v>0</v>
      </c>
      <c r="Y185" s="39" t="n">
        <f aca="false">ROUND(E185-O185-MIN(E185-O185,MAX(0,$AF185-SUMPRODUCT(--($B$4:$K$4&lt;E$4),$B185:$K185-$L185:$U185))),2)</f>
        <v>0</v>
      </c>
      <c r="Z185" s="39" t="n">
        <f aca="false">ROUND(F185-P185-MIN(F185-P185,MAX(0,$AF185-SUMPRODUCT(--($B$4:$K$4&lt;F$4),$B185:$K185-$L185:$U185))),2)</f>
        <v>0</v>
      </c>
      <c r="AA185" s="39" t="n">
        <f aca="false">ROUND(G185-Q185-MIN(G185-Q185,MAX(0,$AF185-SUMPRODUCT(--($B$4:$K$4&lt;G$4),$B185:$K185-$L185:$U185))),2)</f>
        <v>0</v>
      </c>
      <c r="AB185" s="39" t="n">
        <f aca="false">ROUND(H185-R185-MIN(H185-R185,MAX(0,$AF185-SUMPRODUCT(--($B$4:$K$4&lt;H$4),$B185:$K185-$L185:$U185))),2)</f>
        <v>0</v>
      </c>
      <c r="AC185" s="39" t="n">
        <f aca="false">ROUND(I185-S185-MIN(I185-S185,MAX(0,$AF185-SUMPRODUCT(--($B$4:$K$4&lt;I$4),$B185:$K185-$L185:$U185))),2)</f>
        <v>0</v>
      </c>
      <c r="AD185" s="39" t="n">
        <f aca="false">ROUND(J185-T185-MIN(J185-T185,MAX(0,$AF185-SUMPRODUCT(--($B$4:$K$4&lt;J$4),$B185:$K185-$L185:$U185))),2)</f>
        <v>0</v>
      </c>
      <c r="AE185" s="39" t="n">
        <f aca="false">ROUND(K185-U185-MIN(K185-U185,MAX(0,$AF185-SUMPRODUCT(--($B$4:$K$4&lt;K$4),$B185:$K185-$L185:$U185))),2)</f>
        <v>0</v>
      </c>
      <c r="AF185" s="39" t="n">
        <f aca="false">MAX(0,'Start Here'!$C$5-SUM($L185:$U185))</f>
        <v>1200</v>
      </c>
      <c r="AG185" s="39" t="n">
        <f aca="false">SUM(V185:AE185)</f>
        <v>0</v>
      </c>
      <c r="AH185" s="39" t="n">
        <f aca="false">SUM(B185:K185)-AG184</f>
        <v>0</v>
      </c>
    </row>
    <row r="186" customFormat="false" ht="15" hidden="false" customHeight="false" outlineLevel="0" collapsed="false">
      <c r="A186" s="40" t="n">
        <f aca="false">DATE(YEAR('Start Here'!$C$6),MONTH('Start Here'!$C$6)+179,1)</f>
        <v>51745</v>
      </c>
      <c r="B186" s="39" t="n">
        <f aca="false">ROUND(V185*(1+N('My Debts'!$D$6)/12),2)</f>
        <v>0</v>
      </c>
      <c r="C186" s="39" t="n">
        <f aca="false">ROUND(W185*(1+N('My Debts'!$D$7)/12),2)</f>
        <v>0</v>
      </c>
      <c r="D186" s="39" t="n">
        <f aca="false">ROUND(X185*(1+N('My Debts'!$D$8)/12),2)</f>
        <v>0</v>
      </c>
      <c r="E186" s="39" t="n">
        <f aca="false">ROUND(Y185*(1+N('My Debts'!$D$9)/12),2)</f>
        <v>0</v>
      </c>
      <c r="F186" s="39" t="n">
        <f aca="false">ROUND(Z185*(1+N('My Debts'!$D$10)/12),2)</f>
        <v>0</v>
      </c>
      <c r="G186" s="39" t="n">
        <f aca="false">ROUND(AA185*(1+N('My Debts'!$D$11)/12),2)</f>
        <v>0</v>
      </c>
      <c r="H186" s="39" t="n">
        <f aca="false">ROUND(AB185*(1+N('My Debts'!$D$12)/12),2)</f>
        <v>0</v>
      </c>
      <c r="I186" s="39" t="n">
        <f aca="false">ROUND(AC185*(1+N('My Debts'!$D$13)/12),2)</f>
        <v>0</v>
      </c>
      <c r="J186" s="39" t="n">
        <f aca="false">ROUND(AD185*(1+N('My Debts'!$D$14)/12),2)</f>
        <v>0</v>
      </c>
      <c r="K186" s="39" t="n">
        <f aca="false">ROUND(AE185*(1+N('My Debts'!$D$15)/12),2)</f>
        <v>0</v>
      </c>
      <c r="L186" s="39" t="n">
        <f aca="false">MIN(N('My Debts'!$E$6),B186)</f>
        <v>0</v>
      </c>
      <c r="M186" s="39" t="n">
        <f aca="false">MIN(N('My Debts'!$E$7),C186)</f>
        <v>0</v>
      </c>
      <c r="N186" s="39" t="n">
        <f aca="false">MIN(N('My Debts'!$E$8),D186)</f>
        <v>0</v>
      </c>
      <c r="O186" s="39" t="n">
        <f aca="false">MIN(N('My Debts'!$E$9),E186)</f>
        <v>0</v>
      </c>
      <c r="P186" s="39" t="n">
        <f aca="false">MIN(N('My Debts'!$E$10),F186)</f>
        <v>0</v>
      </c>
      <c r="Q186" s="39" t="n">
        <f aca="false">MIN(N('My Debts'!$E$11),G186)</f>
        <v>0</v>
      </c>
      <c r="R186" s="39" t="n">
        <f aca="false">MIN(N('My Debts'!$E$12),H186)</f>
        <v>0</v>
      </c>
      <c r="S186" s="39" t="n">
        <f aca="false">MIN(N('My Debts'!$E$13),I186)</f>
        <v>0</v>
      </c>
      <c r="T186" s="39" t="n">
        <f aca="false">MIN(N('My Debts'!$E$14),J186)</f>
        <v>0</v>
      </c>
      <c r="U186" s="39" t="n">
        <f aca="false">MIN(N('My Debts'!$E$15),K186)</f>
        <v>0</v>
      </c>
      <c r="V186" s="39" t="n">
        <f aca="false">ROUND(B186-L186-MIN(B186-L186,MAX(0,$AF186-SUMPRODUCT(--($B$4:$K$4&lt;B$4),$B186:$K186-$L186:$U186))),2)</f>
        <v>0</v>
      </c>
      <c r="W186" s="39" t="n">
        <f aca="false">ROUND(C186-M186-MIN(C186-M186,MAX(0,$AF186-SUMPRODUCT(--($B$4:$K$4&lt;C$4),$B186:$K186-$L186:$U186))),2)</f>
        <v>0</v>
      </c>
      <c r="X186" s="39" t="n">
        <f aca="false">ROUND(D186-N186-MIN(D186-N186,MAX(0,$AF186-SUMPRODUCT(--($B$4:$K$4&lt;D$4),$B186:$K186-$L186:$U186))),2)</f>
        <v>0</v>
      </c>
      <c r="Y186" s="39" t="n">
        <f aca="false">ROUND(E186-O186-MIN(E186-O186,MAX(0,$AF186-SUMPRODUCT(--($B$4:$K$4&lt;E$4),$B186:$K186-$L186:$U186))),2)</f>
        <v>0</v>
      </c>
      <c r="Z186" s="39" t="n">
        <f aca="false">ROUND(F186-P186-MIN(F186-P186,MAX(0,$AF186-SUMPRODUCT(--($B$4:$K$4&lt;F$4),$B186:$K186-$L186:$U186))),2)</f>
        <v>0</v>
      </c>
      <c r="AA186" s="39" t="n">
        <f aca="false">ROUND(G186-Q186-MIN(G186-Q186,MAX(0,$AF186-SUMPRODUCT(--($B$4:$K$4&lt;G$4),$B186:$K186-$L186:$U186))),2)</f>
        <v>0</v>
      </c>
      <c r="AB186" s="39" t="n">
        <f aca="false">ROUND(H186-R186-MIN(H186-R186,MAX(0,$AF186-SUMPRODUCT(--($B$4:$K$4&lt;H$4),$B186:$K186-$L186:$U186))),2)</f>
        <v>0</v>
      </c>
      <c r="AC186" s="39" t="n">
        <f aca="false">ROUND(I186-S186-MIN(I186-S186,MAX(0,$AF186-SUMPRODUCT(--($B$4:$K$4&lt;I$4),$B186:$K186-$L186:$U186))),2)</f>
        <v>0</v>
      </c>
      <c r="AD186" s="39" t="n">
        <f aca="false">ROUND(J186-T186-MIN(J186-T186,MAX(0,$AF186-SUMPRODUCT(--($B$4:$K$4&lt;J$4),$B186:$K186-$L186:$U186))),2)</f>
        <v>0</v>
      </c>
      <c r="AE186" s="39" t="n">
        <f aca="false">ROUND(K186-U186-MIN(K186-U186,MAX(0,$AF186-SUMPRODUCT(--($B$4:$K$4&lt;K$4),$B186:$K186-$L186:$U186))),2)</f>
        <v>0</v>
      </c>
      <c r="AF186" s="39" t="n">
        <f aca="false">MAX(0,'Start Here'!$C$5-SUM($L186:$U186))</f>
        <v>1200</v>
      </c>
      <c r="AG186" s="39" t="n">
        <f aca="false">SUM(V186:AE186)</f>
        <v>0</v>
      </c>
      <c r="AH186" s="39" t="n">
        <f aca="false">SUM(B186:K186)-AG185</f>
        <v>0</v>
      </c>
    </row>
    <row r="187" customFormat="false" ht="15" hidden="false" customHeight="false" outlineLevel="0" collapsed="false">
      <c r="A187" s="40" t="n">
        <f aca="false">DATE(YEAR('Start Here'!$C$6),MONTH('Start Here'!$C$6)+180,1)</f>
        <v>51775</v>
      </c>
      <c r="B187" s="39" t="n">
        <f aca="false">ROUND(V186*(1+N('My Debts'!$D$6)/12),2)</f>
        <v>0</v>
      </c>
      <c r="C187" s="39" t="n">
        <f aca="false">ROUND(W186*(1+N('My Debts'!$D$7)/12),2)</f>
        <v>0</v>
      </c>
      <c r="D187" s="39" t="n">
        <f aca="false">ROUND(X186*(1+N('My Debts'!$D$8)/12),2)</f>
        <v>0</v>
      </c>
      <c r="E187" s="39" t="n">
        <f aca="false">ROUND(Y186*(1+N('My Debts'!$D$9)/12),2)</f>
        <v>0</v>
      </c>
      <c r="F187" s="39" t="n">
        <f aca="false">ROUND(Z186*(1+N('My Debts'!$D$10)/12),2)</f>
        <v>0</v>
      </c>
      <c r="G187" s="39" t="n">
        <f aca="false">ROUND(AA186*(1+N('My Debts'!$D$11)/12),2)</f>
        <v>0</v>
      </c>
      <c r="H187" s="39" t="n">
        <f aca="false">ROUND(AB186*(1+N('My Debts'!$D$12)/12),2)</f>
        <v>0</v>
      </c>
      <c r="I187" s="39" t="n">
        <f aca="false">ROUND(AC186*(1+N('My Debts'!$D$13)/12),2)</f>
        <v>0</v>
      </c>
      <c r="J187" s="39" t="n">
        <f aca="false">ROUND(AD186*(1+N('My Debts'!$D$14)/12),2)</f>
        <v>0</v>
      </c>
      <c r="K187" s="39" t="n">
        <f aca="false">ROUND(AE186*(1+N('My Debts'!$D$15)/12),2)</f>
        <v>0</v>
      </c>
      <c r="L187" s="39" t="n">
        <f aca="false">MIN(N('My Debts'!$E$6),B187)</f>
        <v>0</v>
      </c>
      <c r="M187" s="39" t="n">
        <f aca="false">MIN(N('My Debts'!$E$7),C187)</f>
        <v>0</v>
      </c>
      <c r="N187" s="39" t="n">
        <f aca="false">MIN(N('My Debts'!$E$8),D187)</f>
        <v>0</v>
      </c>
      <c r="O187" s="39" t="n">
        <f aca="false">MIN(N('My Debts'!$E$9),E187)</f>
        <v>0</v>
      </c>
      <c r="P187" s="39" t="n">
        <f aca="false">MIN(N('My Debts'!$E$10),F187)</f>
        <v>0</v>
      </c>
      <c r="Q187" s="39" t="n">
        <f aca="false">MIN(N('My Debts'!$E$11),G187)</f>
        <v>0</v>
      </c>
      <c r="R187" s="39" t="n">
        <f aca="false">MIN(N('My Debts'!$E$12),H187)</f>
        <v>0</v>
      </c>
      <c r="S187" s="39" t="n">
        <f aca="false">MIN(N('My Debts'!$E$13),I187)</f>
        <v>0</v>
      </c>
      <c r="T187" s="39" t="n">
        <f aca="false">MIN(N('My Debts'!$E$14),J187)</f>
        <v>0</v>
      </c>
      <c r="U187" s="39" t="n">
        <f aca="false">MIN(N('My Debts'!$E$15),K187)</f>
        <v>0</v>
      </c>
      <c r="V187" s="39" t="n">
        <f aca="false">ROUND(B187-L187-MIN(B187-L187,MAX(0,$AF187-SUMPRODUCT(--($B$4:$K$4&lt;B$4),$B187:$K187-$L187:$U187))),2)</f>
        <v>0</v>
      </c>
      <c r="W187" s="39" t="n">
        <f aca="false">ROUND(C187-M187-MIN(C187-M187,MAX(0,$AF187-SUMPRODUCT(--($B$4:$K$4&lt;C$4),$B187:$K187-$L187:$U187))),2)</f>
        <v>0</v>
      </c>
      <c r="X187" s="39" t="n">
        <f aca="false">ROUND(D187-N187-MIN(D187-N187,MAX(0,$AF187-SUMPRODUCT(--($B$4:$K$4&lt;D$4),$B187:$K187-$L187:$U187))),2)</f>
        <v>0</v>
      </c>
      <c r="Y187" s="39" t="n">
        <f aca="false">ROUND(E187-O187-MIN(E187-O187,MAX(0,$AF187-SUMPRODUCT(--($B$4:$K$4&lt;E$4),$B187:$K187-$L187:$U187))),2)</f>
        <v>0</v>
      </c>
      <c r="Z187" s="39" t="n">
        <f aca="false">ROUND(F187-P187-MIN(F187-P187,MAX(0,$AF187-SUMPRODUCT(--($B$4:$K$4&lt;F$4),$B187:$K187-$L187:$U187))),2)</f>
        <v>0</v>
      </c>
      <c r="AA187" s="39" t="n">
        <f aca="false">ROUND(G187-Q187-MIN(G187-Q187,MAX(0,$AF187-SUMPRODUCT(--($B$4:$K$4&lt;G$4),$B187:$K187-$L187:$U187))),2)</f>
        <v>0</v>
      </c>
      <c r="AB187" s="39" t="n">
        <f aca="false">ROUND(H187-R187-MIN(H187-R187,MAX(0,$AF187-SUMPRODUCT(--($B$4:$K$4&lt;H$4),$B187:$K187-$L187:$U187))),2)</f>
        <v>0</v>
      </c>
      <c r="AC187" s="39" t="n">
        <f aca="false">ROUND(I187-S187-MIN(I187-S187,MAX(0,$AF187-SUMPRODUCT(--($B$4:$K$4&lt;I$4),$B187:$K187-$L187:$U187))),2)</f>
        <v>0</v>
      </c>
      <c r="AD187" s="39" t="n">
        <f aca="false">ROUND(J187-T187-MIN(J187-T187,MAX(0,$AF187-SUMPRODUCT(--($B$4:$K$4&lt;J$4),$B187:$K187-$L187:$U187))),2)</f>
        <v>0</v>
      </c>
      <c r="AE187" s="39" t="n">
        <f aca="false">ROUND(K187-U187-MIN(K187-U187,MAX(0,$AF187-SUMPRODUCT(--($B$4:$K$4&lt;K$4),$B187:$K187-$L187:$U187))),2)</f>
        <v>0</v>
      </c>
      <c r="AF187" s="39" t="n">
        <f aca="false">MAX(0,'Start Here'!$C$5-SUM($L187:$U187))</f>
        <v>1200</v>
      </c>
      <c r="AG187" s="39" t="n">
        <f aca="false">SUM(V187:AE187)</f>
        <v>0</v>
      </c>
      <c r="AH187" s="39" t="n">
        <f aca="false">SUM(B187:K187)-AG186</f>
        <v>0</v>
      </c>
    </row>
    <row r="188" customFormat="false" ht="15" hidden="false" customHeight="false" outlineLevel="0" collapsed="false">
      <c r="A188" s="40" t="n">
        <f aca="false">DATE(YEAR('Start Here'!$C$6),MONTH('Start Here'!$C$6)+181,1)</f>
        <v>51806</v>
      </c>
      <c r="B188" s="39" t="n">
        <f aca="false">ROUND(V187*(1+N('My Debts'!$D$6)/12),2)</f>
        <v>0</v>
      </c>
      <c r="C188" s="39" t="n">
        <f aca="false">ROUND(W187*(1+N('My Debts'!$D$7)/12),2)</f>
        <v>0</v>
      </c>
      <c r="D188" s="39" t="n">
        <f aca="false">ROUND(X187*(1+N('My Debts'!$D$8)/12),2)</f>
        <v>0</v>
      </c>
      <c r="E188" s="39" t="n">
        <f aca="false">ROUND(Y187*(1+N('My Debts'!$D$9)/12),2)</f>
        <v>0</v>
      </c>
      <c r="F188" s="39" t="n">
        <f aca="false">ROUND(Z187*(1+N('My Debts'!$D$10)/12),2)</f>
        <v>0</v>
      </c>
      <c r="G188" s="39" t="n">
        <f aca="false">ROUND(AA187*(1+N('My Debts'!$D$11)/12),2)</f>
        <v>0</v>
      </c>
      <c r="H188" s="39" t="n">
        <f aca="false">ROUND(AB187*(1+N('My Debts'!$D$12)/12),2)</f>
        <v>0</v>
      </c>
      <c r="I188" s="39" t="n">
        <f aca="false">ROUND(AC187*(1+N('My Debts'!$D$13)/12),2)</f>
        <v>0</v>
      </c>
      <c r="J188" s="39" t="n">
        <f aca="false">ROUND(AD187*(1+N('My Debts'!$D$14)/12),2)</f>
        <v>0</v>
      </c>
      <c r="K188" s="39" t="n">
        <f aca="false">ROUND(AE187*(1+N('My Debts'!$D$15)/12),2)</f>
        <v>0</v>
      </c>
      <c r="L188" s="39" t="n">
        <f aca="false">MIN(N('My Debts'!$E$6),B188)</f>
        <v>0</v>
      </c>
      <c r="M188" s="39" t="n">
        <f aca="false">MIN(N('My Debts'!$E$7),C188)</f>
        <v>0</v>
      </c>
      <c r="N188" s="39" t="n">
        <f aca="false">MIN(N('My Debts'!$E$8),D188)</f>
        <v>0</v>
      </c>
      <c r="O188" s="39" t="n">
        <f aca="false">MIN(N('My Debts'!$E$9),E188)</f>
        <v>0</v>
      </c>
      <c r="P188" s="39" t="n">
        <f aca="false">MIN(N('My Debts'!$E$10),F188)</f>
        <v>0</v>
      </c>
      <c r="Q188" s="39" t="n">
        <f aca="false">MIN(N('My Debts'!$E$11),G188)</f>
        <v>0</v>
      </c>
      <c r="R188" s="39" t="n">
        <f aca="false">MIN(N('My Debts'!$E$12),H188)</f>
        <v>0</v>
      </c>
      <c r="S188" s="39" t="n">
        <f aca="false">MIN(N('My Debts'!$E$13),I188)</f>
        <v>0</v>
      </c>
      <c r="T188" s="39" t="n">
        <f aca="false">MIN(N('My Debts'!$E$14),J188)</f>
        <v>0</v>
      </c>
      <c r="U188" s="39" t="n">
        <f aca="false">MIN(N('My Debts'!$E$15),K188)</f>
        <v>0</v>
      </c>
      <c r="V188" s="39" t="n">
        <f aca="false">ROUND(B188-L188-MIN(B188-L188,MAX(0,$AF188-SUMPRODUCT(--($B$4:$K$4&lt;B$4),$B188:$K188-$L188:$U188))),2)</f>
        <v>0</v>
      </c>
      <c r="W188" s="39" t="n">
        <f aca="false">ROUND(C188-M188-MIN(C188-M188,MAX(0,$AF188-SUMPRODUCT(--($B$4:$K$4&lt;C$4),$B188:$K188-$L188:$U188))),2)</f>
        <v>0</v>
      </c>
      <c r="X188" s="39" t="n">
        <f aca="false">ROUND(D188-N188-MIN(D188-N188,MAX(0,$AF188-SUMPRODUCT(--($B$4:$K$4&lt;D$4),$B188:$K188-$L188:$U188))),2)</f>
        <v>0</v>
      </c>
      <c r="Y188" s="39" t="n">
        <f aca="false">ROUND(E188-O188-MIN(E188-O188,MAX(0,$AF188-SUMPRODUCT(--($B$4:$K$4&lt;E$4),$B188:$K188-$L188:$U188))),2)</f>
        <v>0</v>
      </c>
      <c r="Z188" s="39" t="n">
        <f aca="false">ROUND(F188-P188-MIN(F188-P188,MAX(0,$AF188-SUMPRODUCT(--($B$4:$K$4&lt;F$4),$B188:$K188-$L188:$U188))),2)</f>
        <v>0</v>
      </c>
      <c r="AA188" s="39" t="n">
        <f aca="false">ROUND(G188-Q188-MIN(G188-Q188,MAX(0,$AF188-SUMPRODUCT(--($B$4:$K$4&lt;G$4),$B188:$K188-$L188:$U188))),2)</f>
        <v>0</v>
      </c>
      <c r="AB188" s="39" t="n">
        <f aca="false">ROUND(H188-R188-MIN(H188-R188,MAX(0,$AF188-SUMPRODUCT(--($B$4:$K$4&lt;H$4),$B188:$K188-$L188:$U188))),2)</f>
        <v>0</v>
      </c>
      <c r="AC188" s="39" t="n">
        <f aca="false">ROUND(I188-S188-MIN(I188-S188,MAX(0,$AF188-SUMPRODUCT(--($B$4:$K$4&lt;I$4),$B188:$K188-$L188:$U188))),2)</f>
        <v>0</v>
      </c>
      <c r="AD188" s="39" t="n">
        <f aca="false">ROUND(J188-T188-MIN(J188-T188,MAX(0,$AF188-SUMPRODUCT(--($B$4:$K$4&lt;J$4),$B188:$K188-$L188:$U188))),2)</f>
        <v>0</v>
      </c>
      <c r="AE188" s="39" t="n">
        <f aca="false">ROUND(K188-U188-MIN(K188-U188,MAX(0,$AF188-SUMPRODUCT(--($B$4:$K$4&lt;K$4),$B188:$K188-$L188:$U188))),2)</f>
        <v>0</v>
      </c>
      <c r="AF188" s="39" t="n">
        <f aca="false">MAX(0,'Start Here'!$C$5-SUM($L188:$U188))</f>
        <v>1200</v>
      </c>
      <c r="AG188" s="39" t="n">
        <f aca="false">SUM(V188:AE188)</f>
        <v>0</v>
      </c>
      <c r="AH188" s="39" t="n">
        <f aca="false">SUM(B188:K188)-AG187</f>
        <v>0</v>
      </c>
    </row>
    <row r="189" customFormat="false" ht="15" hidden="false" customHeight="false" outlineLevel="0" collapsed="false">
      <c r="A189" s="40" t="n">
        <f aca="false">DATE(YEAR('Start Here'!$C$6),MONTH('Start Here'!$C$6)+182,1)</f>
        <v>51836</v>
      </c>
      <c r="B189" s="39" t="n">
        <f aca="false">ROUND(V188*(1+N('My Debts'!$D$6)/12),2)</f>
        <v>0</v>
      </c>
      <c r="C189" s="39" t="n">
        <f aca="false">ROUND(W188*(1+N('My Debts'!$D$7)/12),2)</f>
        <v>0</v>
      </c>
      <c r="D189" s="39" t="n">
        <f aca="false">ROUND(X188*(1+N('My Debts'!$D$8)/12),2)</f>
        <v>0</v>
      </c>
      <c r="E189" s="39" t="n">
        <f aca="false">ROUND(Y188*(1+N('My Debts'!$D$9)/12),2)</f>
        <v>0</v>
      </c>
      <c r="F189" s="39" t="n">
        <f aca="false">ROUND(Z188*(1+N('My Debts'!$D$10)/12),2)</f>
        <v>0</v>
      </c>
      <c r="G189" s="39" t="n">
        <f aca="false">ROUND(AA188*(1+N('My Debts'!$D$11)/12),2)</f>
        <v>0</v>
      </c>
      <c r="H189" s="39" t="n">
        <f aca="false">ROUND(AB188*(1+N('My Debts'!$D$12)/12),2)</f>
        <v>0</v>
      </c>
      <c r="I189" s="39" t="n">
        <f aca="false">ROUND(AC188*(1+N('My Debts'!$D$13)/12),2)</f>
        <v>0</v>
      </c>
      <c r="J189" s="39" t="n">
        <f aca="false">ROUND(AD188*(1+N('My Debts'!$D$14)/12),2)</f>
        <v>0</v>
      </c>
      <c r="K189" s="39" t="n">
        <f aca="false">ROUND(AE188*(1+N('My Debts'!$D$15)/12),2)</f>
        <v>0</v>
      </c>
      <c r="L189" s="39" t="n">
        <f aca="false">MIN(N('My Debts'!$E$6),B189)</f>
        <v>0</v>
      </c>
      <c r="M189" s="39" t="n">
        <f aca="false">MIN(N('My Debts'!$E$7),C189)</f>
        <v>0</v>
      </c>
      <c r="N189" s="39" t="n">
        <f aca="false">MIN(N('My Debts'!$E$8),D189)</f>
        <v>0</v>
      </c>
      <c r="O189" s="39" t="n">
        <f aca="false">MIN(N('My Debts'!$E$9),E189)</f>
        <v>0</v>
      </c>
      <c r="P189" s="39" t="n">
        <f aca="false">MIN(N('My Debts'!$E$10),F189)</f>
        <v>0</v>
      </c>
      <c r="Q189" s="39" t="n">
        <f aca="false">MIN(N('My Debts'!$E$11),G189)</f>
        <v>0</v>
      </c>
      <c r="R189" s="39" t="n">
        <f aca="false">MIN(N('My Debts'!$E$12),H189)</f>
        <v>0</v>
      </c>
      <c r="S189" s="39" t="n">
        <f aca="false">MIN(N('My Debts'!$E$13),I189)</f>
        <v>0</v>
      </c>
      <c r="T189" s="39" t="n">
        <f aca="false">MIN(N('My Debts'!$E$14),J189)</f>
        <v>0</v>
      </c>
      <c r="U189" s="39" t="n">
        <f aca="false">MIN(N('My Debts'!$E$15),K189)</f>
        <v>0</v>
      </c>
      <c r="V189" s="39" t="n">
        <f aca="false">ROUND(B189-L189-MIN(B189-L189,MAX(0,$AF189-SUMPRODUCT(--($B$4:$K$4&lt;B$4),$B189:$K189-$L189:$U189))),2)</f>
        <v>0</v>
      </c>
      <c r="W189" s="39" t="n">
        <f aca="false">ROUND(C189-M189-MIN(C189-M189,MAX(0,$AF189-SUMPRODUCT(--($B$4:$K$4&lt;C$4),$B189:$K189-$L189:$U189))),2)</f>
        <v>0</v>
      </c>
      <c r="X189" s="39" t="n">
        <f aca="false">ROUND(D189-N189-MIN(D189-N189,MAX(0,$AF189-SUMPRODUCT(--($B$4:$K$4&lt;D$4),$B189:$K189-$L189:$U189))),2)</f>
        <v>0</v>
      </c>
      <c r="Y189" s="39" t="n">
        <f aca="false">ROUND(E189-O189-MIN(E189-O189,MAX(0,$AF189-SUMPRODUCT(--($B$4:$K$4&lt;E$4),$B189:$K189-$L189:$U189))),2)</f>
        <v>0</v>
      </c>
      <c r="Z189" s="39" t="n">
        <f aca="false">ROUND(F189-P189-MIN(F189-P189,MAX(0,$AF189-SUMPRODUCT(--($B$4:$K$4&lt;F$4),$B189:$K189-$L189:$U189))),2)</f>
        <v>0</v>
      </c>
      <c r="AA189" s="39" t="n">
        <f aca="false">ROUND(G189-Q189-MIN(G189-Q189,MAX(0,$AF189-SUMPRODUCT(--($B$4:$K$4&lt;G$4),$B189:$K189-$L189:$U189))),2)</f>
        <v>0</v>
      </c>
      <c r="AB189" s="39" t="n">
        <f aca="false">ROUND(H189-R189-MIN(H189-R189,MAX(0,$AF189-SUMPRODUCT(--($B$4:$K$4&lt;H$4),$B189:$K189-$L189:$U189))),2)</f>
        <v>0</v>
      </c>
      <c r="AC189" s="39" t="n">
        <f aca="false">ROUND(I189-S189-MIN(I189-S189,MAX(0,$AF189-SUMPRODUCT(--($B$4:$K$4&lt;I$4),$B189:$K189-$L189:$U189))),2)</f>
        <v>0</v>
      </c>
      <c r="AD189" s="39" t="n">
        <f aca="false">ROUND(J189-T189-MIN(J189-T189,MAX(0,$AF189-SUMPRODUCT(--($B$4:$K$4&lt;J$4),$B189:$K189-$L189:$U189))),2)</f>
        <v>0</v>
      </c>
      <c r="AE189" s="39" t="n">
        <f aca="false">ROUND(K189-U189-MIN(K189-U189,MAX(0,$AF189-SUMPRODUCT(--($B$4:$K$4&lt;K$4),$B189:$K189-$L189:$U189))),2)</f>
        <v>0</v>
      </c>
      <c r="AF189" s="39" t="n">
        <f aca="false">MAX(0,'Start Here'!$C$5-SUM($L189:$U189))</f>
        <v>1200</v>
      </c>
      <c r="AG189" s="39" t="n">
        <f aca="false">SUM(V189:AE189)</f>
        <v>0</v>
      </c>
      <c r="AH189" s="39" t="n">
        <f aca="false">SUM(B189:K189)-AG188</f>
        <v>0</v>
      </c>
    </row>
    <row r="190" customFormat="false" ht="15" hidden="false" customHeight="false" outlineLevel="0" collapsed="false">
      <c r="A190" s="40" t="n">
        <f aca="false">DATE(YEAR('Start Here'!$C$6),MONTH('Start Here'!$C$6)+183,1)</f>
        <v>51867</v>
      </c>
      <c r="B190" s="39" t="n">
        <f aca="false">ROUND(V189*(1+N('My Debts'!$D$6)/12),2)</f>
        <v>0</v>
      </c>
      <c r="C190" s="39" t="n">
        <f aca="false">ROUND(W189*(1+N('My Debts'!$D$7)/12),2)</f>
        <v>0</v>
      </c>
      <c r="D190" s="39" t="n">
        <f aca="false">ROUND(X189*(1+N('My Debts'!$D$8)/12),2)</f>
        <v>0</v>
      </c>
      <c r="E190" s="39" t="n">
        <f aca="false">ROUND(Y189*(1+N('My Debts'!$D$9)/12),2)</f>
        <v>0</v>
      </c>
      <c r="F190" s="39" t="n">
        <f aca="false">ROUND(Z189*(1+N('My Debts'!$D$10)/12),2)</f>
        <v>0</v>
      </c>
      <c r="G190" s="39" t="n">
        <f aca="false">ROUND(AA189*(1+N('My Debts'!$D$11)/12),2)</f>
        <v>0</v>
      </c>
      <c r="H190" s="39" t="n">
        <f aca="false">ROUND(AB189*(1+N('My Debts'!$D$12)/12),2)</f>
        <v>0</v>
      </c>
      <c r="I190" s="39" t="n">
        <f aca="false">ROUND(AC189*(1+N('My Debts'!$D$13)/12),2)</f>
        <v>0</v>
      </c>
      <c r="J190" s="39" t="n">
        <f aca="false">ROUND(AD189*(1+N('My Debts'!$D$14)/12),2)</f>
        <v>0</v>
      </c>
      <c r="K190" s="39" t="n">
        <f aca="false">ROUND(AE189*(1+N('My Debts'!$D$15)/12),2)</f>
        <v>0</v>
      </c>
      <c r="L190" s="39" t="n">
        <f aca="false">MIN(N('My Debts'!$E$6),B190)</f>
        <v>0</v>
      </c>
      <c r="M190" s="39" t="n">
        <f aca="false">MIN(N('My Debts'!$E$7),C190)</f>
        <v>0</v>
      </c>
      <c r="N190" s="39" t="n">
        <f aca="false">MIN(N('My Debts'!$E$8),D190)</f>
        <v>0</v>
      </c>
      <c r="O190" s="39" t="n">
        <f aca="false">MIN(N('My Debts'!$E$9),E190)</f>
        <v>0</v>
      </c>
      <c r="P190" s="39" t="n">
        <f aca="false">MIN(N('My Debts'!$E$10),F190)</f>
        <v>0</v>
      </c>
      <c r="Q190" s="39" t="n">
        <f aca="false">MIN(N('My Debts'!$E$11),G190)</f>
        <v>0</v>
      </c>
      <c r="R190" s="39" t="n">
        <f aca="false">MIN(N('My Debts'!$E$12),H190)</f>
        <v>0</v>
      </c>
      <c r="S190" s="39" t="n">
        <f aca="false">MIN(N('My Debts'!$E$13),I190)</f>
        <v>0</v>
      </c>
      <c r="T190" s="39" t="n">
        <f aca="false">MIN(N('My Debts'!$E$14),J190)</f>
        <v>0</v>
      </c>
      <c r="U190" s="39" t="n">
        <f aca="false">MIN(N('My Debts'!$E$15),K190)</f>
        <v>0</v>
      </c>
      <c r="V190" s="39" t="n">
        <f aca="false">ROUND(B190-L190-MIN(B190-L190,MAX(0,$AF190-SUMPRODUCT(--($B$4:$K$4&lt;B$4),$B190:$K190-$L190:$U190))),2)</f>
        <v>0</v>
      </c>
      <c r="W190" s="39" t="n">
        <f aca="false">ROUND(C190-M190-MIN(C190-M190,MAX(0,$AF190-SUMPRODUCT(--($B$4:$K$4&lt;C$4),$B190:$K190-$L190:$U190))),2)</f>
        <v>0</v>
      </c>
      <c r="X190" s="39" t="n">
        <f aca="false">ROUND(D190-N190-MIN(D190-N190,MAX(0,$AF190-SUMPRODUCT(--($B$4:$K$4&lt;D$4),$B190:$K190-$L190:$U190))),2)</f>
        <v>0</v>
      </c>
      <c r="Y190" s="39" t="n">
        <f aca="false">ROUND(E190-O190-MIN(E190-O190,MAX(0,$AF190-SUMPRODUCT(--($B$4:$K$4&lt;E$4),$B190:$K190-$L190:$U190))),2)</f>
        <v>0</v>
      </c>
      <c r="Z190" s="39" t="n">
        <f aca="false">ROUND(F190-P190-MIN(F190-P190,MAX(0,$AF190-SUMPRODUCT(--($B$4:$K$4&lt;F$4),$B190:$K190-$L190:$U190))),2)</f>
        <v>0</v>
      </c>
      <c r="AA190" s="39" t="n">
        <f aca="false">ROUND(G190-Q190-MIN(G190-Q190,MAX(0,$AF190-SUMPRODUCT(--($B$4:$K$4&lt;G$4),$B190:$K190-$L190:$U190))),2)</f>
        <v>0</v>
      </c>
      <c r="AB190" s="39" t="n">
        <f aca="false">ROUND(H190-R190-MIN(H190-R190,MAX(0,$AF190-SUMPRODUCT(--($B$4:$K$4&lt;H$4),$B190:$K190-$L190:$U190))),2)</f>
        <v>0</v>
      </c>
      <c r="AC190" s="39" t="n">
        <f aca="false">ROUND(I190-S190-MIN(I190-S190,MAX(0,$AF190-SUMPRODUCT(--($B$4:$K$4&lt;I$4),$B190:$K190-$L190:$U190))),2)</f>
        <v>0</v>
      </c>
      <c r="AD190" s="39" t="n">
        <f aca="false">ROUND(J190-T190-MIN(J190-T190,MAX(0,$AF190-SUMPRODUCT(--($B$4:$K$4&lt;J$4),$B190:$K190-$L190:$U190))),2)</f>
        <v>0</v>
      </c>
      <c r="AE190" s="39" t="n">
        <f aca="false">ROUND(K190-U190-MIN(K190-U190,MAX(0,$AF190-SUMPRODUCT(--($B$4:$K$4&lt;K$4),$B190:$K190-$L190:$U190))),2)</f>
        <v>0</v>
      </c>
      <c r="AF190" s="39" t="n">
        <f aca="false">MAX(0,'Start Here'!$C$5-SUM($L190:$U190))</f>
        <v>1200</v>
      </c>
      <c r="AG190" s="39" t="n">
        <f aca="false">SUM(V190:AE190)</f>
        <v>0</v>
      </c>
      <c r="AH190" s="39" t="n">
        <f aca="false">SUM(B190:K190)-AG189</f>
        <v>0</v>
      </c>
    </row>
    <row r="191" customFormat="false" ht="15" hidden="false" customHeight="false" outlineLevel="0" collapsed="false">
      <c r="A191" s="40" t="n">
        <f aca="false">DATE(YEAR('Start Here'!$C$6),MONTH('Start Here'!$C$6)+184,1)</f>
        <v>51898</v>
      </c>
      <c r="B191" s="39" t="n">
        <f aca="false">ROUND(V190*(1+N('My Debts'!$D$6)/12),2)</f>
        <v>0</v>
      </c>
      <c r="C191" s="39" t="n">
        <f aca="false">ROUND(W190*(1+N('My Debts'!$D$7)/12),2)</f>
        <v>0</v>
      </c>
      <c r="D191" s="39" t="n">
        <f aca="false">ROUND(X190*(1+N('My Debts'!$D$8)/12),2)</f>
        <v>0</v>
      </c>
      <c r="E191" s="39" t="n">
        <f aca="false">ROUND(Y190*(1+N('My Debts'!$D$9)/12),2)</f>
        <v>0</v>
      </c>
      <c r="F191" s="39" t="n">
        <f aca="false">ROUND(Z190*(1+N('My Debts'!$D$10)/12),2)</f>
        <v>0</v>
      </c>
      <c r="G191" s="39" t="n">
        <f aca="false">ROUND(AA190*(1+N('My Debts'!$D$11)/12),2)</f>
        <v>0</v>
      </c>
      <c r="H191" s="39" t="n">
        <f aca="false">ROUND(AB190*(1+N('My Debts'!$D$12)/12),2)</f>
        <v>0</v>
      </c>
      <c r="I191" s="39" t="n">
        <f aca="false">ROUND(AC190*(1+N('My Debts'!$D$13)/12),2)</f>
        <v>0</v>
      </c>
      <c r="J191" s="39" t="n">
        <f aca="false">ROUND(AD190*(1+N('My Debts'!$D$14)/12),2)</f>
        <v>0</v>
      </c>
      <c r="K191" s="39" t="n">
        <f aca="false">ROUND(AE190*(1+N('My Debts'!$D$15)/12),2)</f>
        <v>0</v>
      </c>
      <c r="L191" s="39" t="n">
        <f aca="false">MIN(N('My Debts'!$E$6),B191)</f>
        <v>0</v>
      </c>
      <c r="M191" s="39" t="n">
        <f aca="false">MIN(N('My Debts'!$E$7),C191)</f>
        <v>0</v>
      </c>
      <c r="N191" s="39" t="n">
        <f aca="false">MIN(N('My Debts'!$E$8),D191)</f>
        <v>0</v>
      </c>
      <c r="O191" s="39" t="n">
        <f aca="false">MIN(N('My Debts'!$E$9),E191)</f>
        <v>0</v>
      </c>
      <c r="P191" s="39" t="n">
        <f aca="false">MIN(N('My Debts'!$E$10),F191)</f>
        <v>0</v>
      </c>
      <c r="Q191" s="39" t="n">
        <f aca="false">MIN(N('My Debts'!$E$11),G191)</f>
        <v>0</v>
      </c>
      <c r="R191" s="39" t="n">
        <f aca="false">MIN(N('My Debts'!$E$12),H191)</f>
        <v>0</v>
      </c>
      <c r="S191" s="39" t="n">
        <f aca="false">MIN(N('My Debts'!$E$13),I191)</f>
        <v>0</v>
      </c>
      <c r="T191" s="39" t="n">
        <f aca="false">MIN(N('My Debts'!$E$14),J191)</f>
        <v>0</v>
      </c>
      <c r="U191" s="39" t="n">
        <f aca="false">MIN(N('My Debts'!$E$15),K191)</f>
        <v>0</v>
      </c>
      <c r="V191" s="39" t="n">
        <f aca="false">ROUND(B191-L191-MIN(B191-L191,MAX(0,$AF191-SUMPRODUCT(--($B$4:$K$4&lt;B$4),$B191:$K191-$L191:$U191))),2)</f>
        <v>0</v>
      </c>
      <c r="W191" s="39" t="n">
        <f aca="false">ROUND(C191-M191-MIN(C191-M191,MAX(0,$AF191-SUMPRODUCT(--($B$4:$K$4&lt;C$4),$B191:$K191-$L191:$U191))),2)</f>
        <v>0</v>
      </c>
      <c r="X191" s="39" t="n">
        <f aca="false">ROUND(D191-N191-MIN(D191-N191,MAX(0,$AF191-SUMPRODUCT(--($B$4:$K$4&lt;D$4),$B191:$K191-$L191:$U191))),2)</f>
        <v>0</v>
      </c>
      <c r="Y191" s="39" t="n">
        <f aca="false">ROUND(E191-O191-MIN(E191-O191,MAX(0,$AF191-SUMPRODUCT(--($B$4:$K$4&lt;E$4),$B191:$K191-$L191:$U191))),2)</f>
        <v>0</v>
      </c>
      <c r="Z191" s="39" t="n">
        <f aca="false">ROUND(F191-P191-MIN(F191-P191,MAX(0,$AF191-SUMPRODUCT(--($B$4:$K$4&lt;F$4),$B191:$K191-$L191:$U191))),2)</f>
        <v>0</v>
      </c>
      <c r="AA191" s="39" t="n">
        <f aca="false">ROUND(G191-Q191-MIN(G191-Q191,MAX(0,$AF191-SUMPRODUCT(--($B$4:$K$4&lt;G$4),$B191:$K191-$L191:$U191))),2)</f>
        <v>0</v>
      </c>
      <c r="AB191" s="39" t="n">
        <f aca="false">ROUND(H191-R191-MIN(H191-R191,MAX(0,$AF191-SUMPRODUCT(--($B$4:$K$4&lt;H$4),$B191:$K191-$L191:$U191))),2)</f>
        <v>0</v>
      </c>
      <c r="AC191" s="39" t="n">
        <f aca="false">ROUND(I191-S191-MIN(I191-S191,MAX(0,$AF191-SUMPRODUCT(--($B$4:$K$4&lt;I$4),$B191:$K191-$L191:$U191))),2)</f>
        <v>0</v>
      </c>
      <c r="AD191" s="39" t="n">
        <f aca="false">ROUND(J191-T191-MIN(J191-T191,MAX(0,$AF191-SUMPRODUCT(--($B$4:$K$4&lt;J$4),$B191:$K191-$L191:$U191))),2)</f>
        <v>0</v>
      </c>
      <c r="AE191" s="39" t="n">
        <f aca="false">ROUND(K191-U191-MIN(K191-U191,MAX(0,$AF191-SUMPRODUCT(--($B$4:$K$4&lt;K$4),$B191:$K191-$L191:$U191))),2)</f>
        <v>0</v>
      </c>
      <c r="AF191" s="39" t="n">
        <f aca="false">MAX(0,'Start Here'!$C$5-SUM($L191:$U191))</f>
        <v>1200</v>
      </c>
      <c r="AG191" s="39" t="n">
        <f aca="false">SUM(V191:AE191)</f>
        <v>0</v>
      </c>
      <c r="AH191" s="39" t="n">
        <f aca="false">SUM(B191:K191)-AG190</f>
        <v>0</v>
      </c>
    </row>
    <row r="192" customFormat="false" ht="15" hidden="false" customHeight="false" outlineLevel="0" collapsed="false">
      <c r="A192" s="40" t="n">
        <f aca="false">DATE(YEAR('Start Here'!$C$6),MONTH('Start Here'!$C$6)+185,1)</f>
        <v>51926</v>
      </c>
      <c r="B192" s="39" t="n">
        <f aca="false">ROUND(V191*(1+N('My Debts'!$D$6)/12),2)</f>
        <v>0</v>
      </c>
      <c r="C192" s="39" t="n">
        <f aca="false">ROUND(W191*(1+N('My Debts'!$D$7)/12),2)</f>
        <v>0</v>
      </c>
      <c r="D192" s="39" t="n">
        <f aca="false">ROUND(X191*(1+N('My Debts'!$D$8)/12),2)</f>
        <v>0</v>
      </c>
      <c r="E192" s="39" t="n">
        <f aca="false">ROUND(Y191*(1+N('My Debts'!$D$9)/12),2)</f>
        <v>0</v>
      </c>
      <c r="F192" s="39" t="n">
        <f aca="false">ROUND(Z191*(1+N('My Debts'!$D$10)/12),2)</f>
        <v>0</v>
      </c>
      <c r="G192" s="39" t="n">
        <f aca="false">ROUND(AA191*(1+N('My Debts'!$D$11)/12),2)</f>
        <v>0</v>
      </c>
      <c r="H192" s="39" t="n">
        <f aca="false">ROUND(AB191*(1+N('My Debts'!$D$12)/12),2)</f>
        <v>0</v>
      </c>
      <c r="I192" s="39" t="n">
        <f aca="false">ROUND(AC191*(1+N('My Debts'!$D$13)/12),2)</f>
        <v>0</v>
      </c>
      <c r="J192" s="39" t="n">
        <f aca="false">ROUND(AD191*(1+N('My Debts'!$D$14)/12),2)</f>
        <v>0</v>
      </c>
      <c r="K192" s="39" t="n">
        <f aca="false">ROUND(AE191*(1+N('My Debts'!$D$15)/12),2)</f>
        <v>0</v>
      </c>
      <c r="L192" s="39" t="n">
        <f aca="false">MIN(N('My Debts'!$E$6),B192)</f>
        <v>0</v>
      </c>
      <c r="M192" s="39" t="n">
        <f aca="false">MIN(N('My Debts'!$E$7),C192)</f>
        <v>0</v>
      </c>
      <c r="N192" s="39" t="n">
        <f aca="false">MIN(N('My Debts'!$E$8),D192)</f>
        <v>0</v>
      </c>
      <c r="O192" s="39" t="n">
        <f aca="false">MIN(N('My Debts'!$E$9),E192)</f>
        <v>0</v>
      </c>
      <c r="P192" s="39" t="n">
        <f aca="false">MIN(N('My Debts'!$E$10),F192)</f>
        <v>0</v>
      </c>
      <c r="Q192" s="39" t="n">
        <f aca="false">MIN(N('My Debts'!$E$11),G192)</f>
        <v>0</v>
      </c>
      <c r="R192" s="39" t="n">
        <f aca="false">MIN(N('My Debts'!$E$12),H192)</f>
        <v>0</v>
      </c>
      <c r="S192" s="39" t="n">
        <f aca="false">MIN(N('My Debts'!$E$13),I192)</f>
        <v>0</v>
      </c>
      <c r="T192" s="39" t="n">
        <f aca="false">MIN(N('My Debts'!$E$14),J192)</f>
        <v>0</v>
      </c>
      <c r="U192" s="39" t="n">
        <f aca="false">MIN(N('My Debts'!$E$15),K192)</f>
        <v>0</v>
      </c>
      <c r="V192" s="39" t="n">
        <f aca="false">ROUND(B192-L192-MIN(B192-L192,MAX(0,$AF192-SUMPRODUCT(--($B$4:$K$4&lt;B$4),$B192:$K192-$L192:$U192))),2)</f>
        <v>0</v>
      </c>
      <c r="W192" s="39" t="n">
        <f aca="false">ROUND(C192-M192-MIN(C192-M192,MAX(0,$AF192-SUMPRODUCT(--($B$4:$K$4&lt;C$4),$B192:$K192-$L192:$U192))),2)</f>
        <v>0</v>
      </c>
      <c r="X192" s="39" t="n">
        <f aca="false">ROUND(D192-N192-MIN(D192-N192,MAX(0,$AF192-SUMPRODUCT(--($B$4:$K$4&lt;D$4),$B192:$K192-$L192:$U192))),2)</f>
        <v>0</v>
      </c>
      <c r="Y192" s="39" t="n">
        <f aca="false">ROUND(E192-O192-MIN(E192-O192,MAX(0,$AF192-SUMPRODUCT(--($B$4:$K$4&lt;E$4),$B192:$K192-$L192:$U192))),2)</f>
        <v>0</v>
      </c>
      <c r="Z192" s="39" t="n">
        <f aca="false">ROUND(F192-P192-MIN(F192-P192,MAX(0,$AF192-SUMPRODUCT(--($B$4:$K$4&lt;F$4),$B192:$K192-$L192:$U192))),2)</f>
        <v>0</v>
      </c>
      <c r="AA192" s="39" t="n">
        <f aca="false">ROUND(G192-Q192-MIN(G192-Q192,MAX(0,$AF192-SUMPRODUCT(--($B$4:$K$4&lt;G$4),$B192:$K192-$L192:$U192))),2)</f>
        <v>0</v>
      </c>
      <c r="AB192" s="39" t="n">
        <f aca="false">ROUND(H192-R192-MIN(H192-R192,MAX(0,$AF192-SUMPRODUCT(--($B$4:$K$4&lt;H$4),$B192:$K192-$L192:$U192))),2)</f>
        <v>0</v>
      </c>
      <c r="AC192" s="39" t="n">
        <f aca="false">ROUND(I192-S192-MIN(I192-S192,MAX(0,$AF192-SUMPRODUCT(--($B$4:$K$4&lt;I$4),$B192:$K192-$L192:$U192))),2)</f>
        <v>0</v>
      </c>
      <c r="AD192" s="39" t="n">
        <f aca="false">ROUND(J192-T192-MIN(J192-T192,MAX(0,$AF192-SUMPRODUCT(--($B$4:$K$4&lt;J$4),$B192:$K192-$L192:$U192))),2)</f>
        <v>0</v>
      </c>
      <c r="AE192" s="39" t="n">
        <f aca="false">ROUND(K192-U192-MIN(K192-U192,MAX(0,$AF192-SUMPRODUCT(--($B$4:$K$4&lt;K$4),$B192:$K192-$L192:$U192))),2)</f>
        <v>0</v>
      </c>
      <c r="AF192" s="39" t="n">
        <f aca="false">MAX(0,'Start Here'!$C$5-SUM($L192:$U192))</f>
        <v>1200</v>
      </c>
      <c r="AG192" s="39" t="n">
        <f aca="false">SUM(V192:AE192)</f>
        <v>0</v>
      </c>
      <c r="AH192" s="39" t="n">
        <f aca="false">SUM(B192:K192)-AG191</f>
        <v>0</v>
      </c>
    </row>
    <row r="193" customFormat="false" ht="15" hidden="false" customHeight="false" outlineLevel="0" collapsed="false">
      <c r="A193" s="40" t="n">
        <f aca="false">DATE(YEAR('Start Here'!$C$6),MONTH('Start Here'!$C$6)+186,1)</f>
        <v>51957</v>
      </c>
      <c r="B193" s="39" t="n">
        <f aca="false">ROUND(V192*(1+N('My Debts'!$D$6)/12),2)</f>
        <v>0</v>
      </c>
      <c r="C193" s="39" t="n">
        <f aca="false">ROUND(W192*(1+N('My Debts'!$D$7)/12),2)</f>
        <v>0</v>
      </c>
      <c r="D193" s="39" t="n">
        <f aca="false">ROUND(X192*(1+N('My Debts'!$D$8)/12),2)</f>
        <v>0</v>
      </c>
      <c r="E193" s="39" t="n">
        <f aca="false">ROUND(Y192*(1+N('My Debts'!$D$9)/12),2)</f>
        <v>0</v>
      </c>
      <c r="F193" s="39" t="n">
        <f aca="false">ROUND(Z192*(1+N('My Debts'!$D$10)/12),2)</f>
        <v>0</v>
      </c>
      <c r="G193" s="39" t="n">
        <f aca="false">ROUND(AA192*(1+N('My Debts'!$D$11)/12),2)</f>
        <v>0</v>
      </c>
      <c r="H193" s="39" t="n">
        <f aca="false">ROUND(AB192*(1+N('My Debts'!$D$12)/12),2)</f>
        <v>0</v>
      </c>
      <c r="I193" s="39" t="n">
        <f aca="false">ROUND(AC192*(1+N('My Debts'!$D$13)/12),2)</f>
        <v>0</v>
      </c>
      <c r="J193" s="39" t="n">
        <f aca="false">ROUND(AD192*(1+N('My Debts'!$D$14)/12),2)</f>
        <v>0</v>
      </c>
      <c r="K193" s="39" t="n">
        <f aca="false">ROUND(AE192*(1+N('My Debts'!$D$15)/12),2)</f>
        <v>0</v>
      </c>
      <c r="L193" s="39" t="n">
        <f aca="false">MIN(N('My Debts'!$E$6),B193)</f>
        <v>0</v>
      </c>
      <c r="M193" s="39" t="n">
        <f aca="false">MIN(N('My Debts'!$E$7),C193)</f>
        <v>0</v>
      </c>
      <c r="N193" s="39" t="n">
        <f aca="false">MIN(N('My Debts'!$E$8),D193)</f>
        <v>0</v>
      </c>
      <c r="O193" s="39" t="n">
        <f aca="false">MIN(N('My Debts'!$E$9),E193)</f>
        <v>0</v>
      </c>
      <c r="P193" s="39" t="n">
        <f aca="false">MIN(N('My Debts'!$E$10),F193)</f>
        <v>0</v>
      </c>
      <c r="Q193" s="39" t="n">
        <f aca="false">MIN(N('My Debts'!$E$11),G193)</f>
        <v>0</v>
      </c>
      <c r="R193" s="39" t="n">
        <f aca="false">MIN(N('My Debts'!$E$12),H193)</f>
        <v>0</v>
      </c>
      <c r="S193" s="39" t="n">
        <f aca="false">MIN(N('My Debts'!$E$13),I193)</f>
        <v>0</v>
      </c>
      <c r="T193" s="39" t="n">
        <f aca="false">MIN(N('My Debts'!$E$14),J193)</f>
        <v>0</v>
      </c>
      <c r="U193" s="39" t="n">
        <f aca="false">MIN(N('My Debts'!$E$15),K193)</f>
        <v>0</v>
      </c>
      <c r="V193" s="39" t="n">
        <f aca="false">ROUND(B193-L193-MIN(B193-L193,MAX(0,$AF193-SUMPRODUCT(--($B$4:$K$4&lt;B$4),$B193:$K193-$L193:$U193))),2)</f>
        <v>0</v>
      </c>
      <c r="W193" s="39" t="n">
        <f aca="false">ROUND(C193-M193-MIN(C193-M193,MAX(0,$AF193-SUMPRODUCT(--($B$4:$K$4&lt;C$4),$B193:$K193-$L193:$U193))),2)</f>
        <v>0</v>
      </c>
      <c r="X193" s="39" t="n">
        <f aca="false">ROUND(D193-N193-MIN(D193-N193,MAX(0,$AF193-SUMPRODUCT(--($B$4:$K$4&lt;D$4),$B193:$K193-$L193:$U193))),2)</f>
        <v>0</v>
      </c>
      <c r="Y193" s="39" t="n">
        <f aca="false">ROUND(E193-O193-MIN(E193-O193,MAX(0,$AF193-SUMPRODUCT(--($B$4:$K$4&lt;E$4),$B193:$K193-$L193:$U193))),2)</f>
        <v>0</v>
      </c>
      <c r="Z193" s="39" t="n">
        <f aca="false">ROUND(F193-P193-MIN(F193-P193,MAX(0,$AF193-SUMPRODUCT(--($B$4:$K$4&lt;F$4),$B193:$K193-$L193:$U193))),2)</f>
        <v>0</v>
      </c>
      <c r="AA193" s="39" t="n">
        <f aca="false">ROUND(G193-Q193-MIN(G193-Q193,MAX(0,$AF193-SUMPRODUCT(--($B$4:$K$4&lt;G$4),$B193:$K193-$L193:$U193))),2)</f>
        <v>0</v>
      </c>
      <c r="AB193" s="39" t="n">
        <f aca="false">ROUND(H193-R193-MIN(H193-R193,MAX(0,$AF193-SUMPRODUCT(--($B$4:$K$4&lt;H$4),$B193:$K193-$L193:$U193))),2)</f>
        <v>0</v>
      </c>
      <c r="AC193" s="39" t="n">
        <f aca="false">ROUND(I193-S193-MIN(I193-S193,MAX(0,$AF193-SUMPRODUCT(--($B$4:$K$4&lt;I$4),$B193:$K193-$L193:$U193))),2)</f>
        <v>0</v>
      </c>
      <c r="AD193" s="39" t="n">
        <f aca="false">ROUND(J193-T193-MIN(J193-T193,MAX(0,$AF193-SUMPRODUCT(--($B$4:$K$4&lt;J$4),$B193:$K193-$L193:$U193))),2)</f>
        <v>0</v>
      </c>
      <c r="AE193" s="39" t="n">
        <f aca="false">ROUND(K193-U193-MIN(K193-U193,MAX(0,$AF193-SUMPRODUCT(--($B$4:$K$4&lt;K$4),$B193:$K193-$L193:$U193))),2)</f>
        <v>0</v>
      </c>
      <c r="AF193" s="39" t="n">
        <f aca="false">MAX(0,'Start Here'!$C$5-SUM($L193:$U193))</f>
        <v>1200</v>
      </c>
      <c r="AG193" s="39" t="n">
        <f aca="false">SUM(V193:AE193)</f>
        <v>0</v>
      </c>
      <c r="AH193" s="39" t="n">
        <f aca="false">SUM(B193:K193)-AG192</f>
        <v>0</v>
      </c>
    </row>
    <row r="194" customFormat="false" ht="15" hidden="false" customHeight="false" outlineLevel="0" collapsed="false">
      <c r="A194" s="40" t="n">
        <f aca="false">DATE(YEAR('Start Here'!$C$6),MONTH('Start Here'!$C$6)+187,1)</f>
        <v>51987</v>
      </c>
      <c r="B194" s="39" t="n">
        <f aca="false">ROUND(V193*(1+N('My Debts'!$D$6)/12),2)</f>
        <v>0</v>
      </c>
      <c r="C194" s="39" t="n">
        <f aca="false">ROUND(W193*(1+N('My Debts'!$D$7)/12),2)</f>
        <v>0</v>
      </c>
      <c r="D194" s="39" t="n">
        <f aca="false">ROUND(X193*(1+N('My Debts'!$D$8)/12),2)</f>
        <v>0</v>
      </c>
      <c r="E194" s="39" t="n">
        <f aca="false">ROUND(Y193*(1+N('My Debts'!$D$9)/12),2)</f>
        <v>0</v>
      </c>
      <c r="F194" s="39" t="n">
        <f aca="false">ROUND(Z193*(1+N('My Debts'!$D$10)/12),2)</f>
        <v>0</v>
      </c>
      <c r="G194" s="39" t="n">
        <f aca="false">ROUND(AA193*(1+N('My Debts'!$D$11)/12),2)</f>
        <v>0</v>
      </c>
      <c r="H194" s="39" t="n">
        <f aca="false">ROUND(AB193*(1+N('My Debts'!$D$12)/12),2)</f>
        <v>0</v>
      </c>
      <c r="I194" s="39" t="n">
        <f aca="false">ROUND(AC193*(1+N('My Debts'!$D$13)/12),2)</f>
        <v>0</v>
      </c>
      <c r="J194" s="39" t="n">
        <f aca="false">ROUND(AD193*(1+N('My Debts'!$D$14)/12),2)</f>
        <v>0</v>
      </c>
      <c r="K194" s="39" t="n">
        <f aca="false">ROUND(AE193*(1+N('My Debts'!$D$15)/12),2)</f>
        <v>0</v>
      </c>
      <c r="L194" s="39" t="n">
        <f aca="false">MIN(N('My Debts'!$E$6),B194)</f>
        <v>0</v>
      </c>
      <c r="M194" s="39" t="n">
        <f aca="false">MIN(N('My Debts'!$E$7),C194)</f>
        <v>0</v>
      </c>
      <c r="N194" s="39" t="n">
        <f aca="false">MIN(N('My Debts'!$E$8),D194)</f>
        <v>0</v>
      </c>
      <c r="O194" s="39" t="n">
        <f aca="false">MIN(N('My Debts'!$E$9),E194)</f>
        <v>0</v>
      </c>
      <c r="P194" s="39" t="n">
        <f aca="false">MIN(N('My Debts'!$E$10),F194)</f>
        <v>0</v>
      </c>
      <c r="Q194" s="39" t="n">
        <f aca="false">MIN(N('My Debts'!$E$11),G194)</f>
        <v>0</v>
      </c>
      <c r="R194" s="39" t="n">
        <f aca="false">MIN(N('My Debts'!$E$12),H194)</f>
        <v>0</v>
      </c>
      <c r="S194" s="39" t="n">
        <f aca="false">MIN(N('My Debts'!$E$13),I194)</f>
        <v>0</v>
      </c>
      <c r="T194" s="39" t="n">
        <f aca="false">MIN(N('My Debts'!$E$14),J194)</f>
        <v>0</v>
      </c>
      <c r="U194" s="39" t="n">
        <f aca="false">MIN(N('My Debts'!$E$15),K194)</f>
        <v>0</v>
      </c>
      <c r="V194" s="39" t="n">
        <f aca="false">ROUND(B194-L194-MIN(B194-L194,MAX(0,$AF194-SUMPRODUCT(--($B$4:$K$4&lt;B$4),$B194:$K194-$L194:$U194))),2)</f>
        <v>0</v>
      </c>
      <c r="W194" s="39" t="n">
        <f aca="false">ROUND(C194-M194-MIN(C194-M194,MAX(0,$AF194-SUMPRODUCT(--($B$4:$K$4&lt;C$4),$B194:$K194-$L194:$U194))),2)</f>
        <v>0</v>
      </c>
      <c r="X194" s="39" t="n">
        <f aca="false">ROUND(D194-N194-MIN(D194-N194,MAX(0,$AF194-SUMPRODUCT(--($B$4:$K$4&lt;D$4),$B194:$K194-$L194:$U194))),2)</f>
        <v>0</v>
      </c>
      <c r="Y194" s="39" t="n">
        <f aca="false">ROUND(E194-O194-MIN(E194-O194,MAX(0,$AF194-SUMPRODUCT(--($B$4:$K$4&lt;E$4),$B194:$K194-$L194:$U194))),2)</f>
        <v>0</v>
      </c>
      <c r="Z194" s="39" t="n">
        <f aca="false">ROUND(F194-P194-MIN(F194-P194,MAX(0,$AF194-SUMPRODUCT(--($B$4:$K$4&lt;F$4),$B194:$K194-$L194:$U194))),2)</f>
        <v>0</v>
      </c>
      <c r="AA194" s="39" t="n">
        <f aca="false">ROUND(G194-Q194-MIN(G194-Q194,MAX(0,$AF194-SUMPRODUCT(--($B$4:$K$4&lt;G$4),$B194:$K194-$L194:$U194))),2)</f>
        <v>0</v>
      </c>
      <c r="AB194" s="39" t="n">
        <f aca="false">ROUND(H194-R194-MIN(H194-R194,MAX(0,$AF194-SUMPRODUCT(--($B$4:$K$4&lt;H$4),$B194:$K194-$L194:$U194))),2)</f>
        <v>0</v>
      </c>
      <c r="AC194" s="39" t="n">
        <f aca="false">ROUND(I194-S194-MIN(I194-S194,MAX(0,$AF194-SUMPRODUCT(--($B$4:$K$4&lt;I$4),$B194:$K194-$L194:$U194))),2)</f>
        <v>0</v>
      </c>
      <c r="AD194" s="39" t="n">
        <f aca="false">ROUND(J194-T194-MIN(J194-T194,MAX(0,$AF194-SUMPRODUCT(--($B$4:$K$4&lt;J$4),$B194:$K194-$L194:$U194))),2)</f>
        <v>0</v>
      </c>
      <c r="AE194" s="39" t="n">
        <f aca="false">ROUND(K194-U194-MIN(K194-U194,MAX(0,$AF194-SUMPRODUCT(--($B$4:$K$4&lt;K$4),$B194:$K194-$L194:$U194))),2)</f>
        <v>0</v>
      </c>
      <c r="AF194" s="39" t="n">
        <f aca="false">MAX(0,'Start Here'!$C$5-SUM($L194:$U194))</f>
        <v>1200</v>
      </c>
      <c r="AG194" s="39" t="n">
        <f aca="false">SUM(V194:AE194)</f>
        <v>0</v>
      </c>
      <c r="AH194" s="39" t="n">
        <f aca="false">SUM(B194:K194)-AG193</f>
        <v>0</v>
      </c>
    </row>
    <row r="195" customFormat="false" ht="15" hidden="false" customHeight="false" outlineLevel="0" collapsed="false">
      <c r="A195" s="40" t="n">
        <f aca="false">DATE(YEAR('Start Here'!$C$6),MONTH('Start Here'!$C$6)+188,1)</f>
        <v>52018</v>
      </c>
      <c r="B195" s="39" t="n">
        <f aca="false">ROUND(V194*(1+N('My Debts'!$D$6)/12),2)</f>
        <v>0</v>
      </c>
      <c r="C195" s="39" t="n">
        <f aca="false">ROUND(W194*(1+N('My Debts'!$D$7)/12),2)</f>
        <v>0</v>
      </c>
      <c r="D195" s="39" t="n">
        <f aca="false">ROUND(X194*(1+N('My Debts'!$D$8)/12),2)</f>
        <v>0</v>
      </c>
      <c r="E195" s="39" t="n">
        <f aca="false">ROUND(Y194*(1+N('My Debts'!$D$9)/12),2)</f>
        <v>0</v>
      </c>
      <c r="F195" s="39" t="n">
        <f aca="false">ROUND(Z194*(1+N('My Debts'!$D$10)/12),2)</f>
        <v>0</v>
      </c>
      <c r="G195" s="39" t="n">
        <f aca="false">ROUND(AA194*(1+N('My Debts'!$D$11)/12),2)</f>
        <v>0</v>
      </c>
      <c r="H195" s="39" t="n">
        <f aca="false">ROUND(AB194*(1+N('My Debts'!$D$12)/12),2)</f>
        <v>0</v>
      </c>
      <c r="I195" s="39" t="n">
        <f aca="false">ROUND(AC194*(1+N('My Debts'!$D$13)/12),2)</f>
        <v>0</v>
      </c>
      <c r="J195" s="39" t="n">
        <f aca="false">ROUND(AD194*(1+N('My Debts'!$D$14)/12),2)</f>
        <v>0</v>
      </c>
      <c r="K195" s="39" t="n">
        <f aca="false">ROUND(AE194*(1+N('My Debts'!$D$15)/12),2)</f>
        <v>0</v>
      </c>
      <c r="L195" s="39" t="n">
        <f aca="false">MIN(N('My Debts'!$E$6),B195)</f>
        <v>0</v>
      </c>
      <c r="M195" s="39" t="n">
        <f aca="false">MIN(N('My Debts'!$E$7),C195)</f>
        <v>0</v>
      </c>
      <c r="N195" s="39" t="n">
        <f aca="false">MIN(N('My Debts'!$E$8),D195)</f>
        <v>0</v>
      </c>
      <c r="O195" s="39" t="n">
        <f aca="false">MIN(N('My Debts'!$E$9),E195)</f>
        <v>0</v>
      </c>
      <c r="P195" s="39" t="n">
        <f aca="false">MIN(N('My Debts'!$E$10),F195)</f>
        <v>0</v>
      </c>
      <c r="Q195" s="39" t="n">
        <f aca="false">MIN(N('My Debts'!$E$11),G195)</f>
        <v>0</v>
      </c>
      <c r="R195" s="39" t="n">
        <f aca="false">MIN(N('My Debts'!$E$12),H195)</f>
        <v>0</v>
      </c>
      <c r="S195" s="39" t="n">
        <f aca="false">MIN(N('My Debts'!$E$13),I195)</f>
        <v>0</v>
      </c>
      <c r="T195" s="39" t="n">
        <f aca="false">MIN(N('My Debts'!$E$14),J195)</f>
        <v>0</v>
      </c>
      <c r="U195" s="39" t="n">
        <f aca="false">MIN(N('My Debts'!$E$15),K195)</f>
        <v>0</v>
      </c>
      <c r="V195" s="39" t="n">
        <f aca="false">ROUND(B195-L195-MIN(B195-L195,MAX(0,$AF195-SUMPRODUCT(--($B$4:$K$4&lt;B$4),$B195:$K195-$L195:$U195))),2)</f>
        <v>0</v>
      </c>
      <c r="W195" s="39" t="n">
        <f aca="false">ROUND(C195-M195-MIN(C195-M195,MAX(0,$AF195-SUMPRODUCT(--($B$4:$K$4&lt;C$4),$B195:$K195-$L195:$U195))),2)</f>
        <v>0</v>
      </c>
      <c r="X195" s="39" t="n">
        <f aca="false">ROUND(D195-N195-MIN(D195-N195,MAX(0,$AF195-SUMPRODUCT(--($B$4:$K$4&lt;D$4),$B195:$K195-$L195:$U195))),2)</f>
        <v>0</v>
      </c>
      <c r="Y195" s="39" t="n">
        <f aca="false">ROUND(E195-O195-MIN(E195-O195,MAX(0,$AF195-SUMPRODUCT(--($B$4:$K$4&lt;E$4),$B195:$K195-$L195:$U195))),2)</f>
        <v>0</v>
      </c>
      <c r="Z195" s="39" t="n">
        <f aca="false">ROUND(F195-P195-MIN(F195-P195,MAX(0,$AF195-SUMPRODUCT(--($B$4:$K$4&lt;F$4),$B195:$K195-$L195:$U195))),2)</f>
        <v>0</v>
      </c>
      <c r="AA195" s="39" t="n">
        <f aca="false">ROUND(G195-Q195-MIN(G195-Q195,MAX(0,$AF195-SUMPRODUCT(--($B$4:$K$4&lt;G$4),$B195:$K195-$L195:$U195))),2)</f>
        <v>0</v>
      </c>
      <c r="AB195" s="39" t="n">
        <f aca="false">ROUND(H195-R195-MIN(H195-R195,MAX(0,$AF195-SUMPRODUCT(--($B$4:$K$4&lt;H$4),$B195:$K195-$L195:$U195))),2)</f>
        <v>0</v>
      </c>
      <c r="AC195" s="39" t="n">
        <f aca="false">ROUND(I195-S195-MIN(I195-S195,MAX(0,$AF195-SUMPRODUCT(--($B$4:$K$4&lt;I$4),$B195:$K195-$L195:$U195))),2)</f>
        <v>0</v>
      </c>
      <c r="AD195" s="39" t="n">
        <f aca="false">ROUND(J195-T195-MIN(J195-T195,MAX(0,$AF195-SUMPRODUCT(--($B$4:$K$4&lt;J$4),$B195:$K195-$L195:$U195))),2)</f>
        <v>0</v>
      </c>
      <c r="AE195" s="39" t="n">
        <f aca="false">ROUND(K195-U195-MIN(K195-U195,MAX(0,$AF195-SUMPRODUCT(--($B$4:$K$4&lt;K$4),$B195:$K195-$L195:$U195))),2)</f>
        <v>0</v>
      </c>
      <c r="AF195" s="39" t="n">
        <f aca="false">MAX(0,'Start Here'!$C$5-SUM($L195:$U195))</f>
        <v>1200</v>
      </c>
      <c r="AG195" s="39" t="n">
        <f aca="false">SUM(V195:AE195)</f>
        <v>0</v>
      </c>
      <c r="AH195" s="39" t="n">
        <f aca="false">SUM(B195:K195)-AG194</f>
        <v>0</v>
      </c>
    </row>
    <row r="196" customFormat="false" ht="15" hidden="false" customHeight="false" outlineLevel="0" collapsed="false">
      <c r="A196" s="40" t="n">
        <f aca="false">DATE(YEAR('Start Here'!$C$6),MONTH('Start Here'!$C$6)+189,1)</f>
        <v>52048</v>
      </c>
      <c r="B196" s="39" t="n">
        <f aca="false">ROUND(V195*(1+N('My Debts'!$D$6)/12),2)</f>
        <v>0</v>
      </c>
      <c r="C196" s="39" t="n">
        <f aca="false">ROUND(W195*(1+N('My Debts'!$D$7)/12),2)</f>
        <v>0</v>
      </c>
      <c r="D196" s="39" t="n">
        <f aca="false">ROUND(X195*(1+N('My Debts'!$D$8)/12),2)</f>
        <v>0</v>
      </c>
      <c r="E196" s="39" t="n">
        <f aca="false">ROUND(Y195*(1+N('My Debts'!$D$9)/12),2)</f>
        <v>0</v>
      </c>
      <c r="F196" s="39" t="n">
        <f aca="false">ROUND(Z195*(1+N('My Debts'!$D$10)/12),2)</f>
        <v>0</v>
      </c>
      <c r="G196" s="39" t="n">
        <f aca="false">ROUND(AA195*(1+N('My Debts'!$D$11)/12),2)</f>
        <v>0</v>
      </c>
      <c r="H196" s="39" t="n">
        <f aca="false">ROUND(AB195*(1+N('My Debts'!$D$12)/12),2)</f>
        <v>0</v>
      </c>
      <c r="I196" s="39" t="n">
        <f aca="false">ROUND(AC195*(1+N('My Debts'!$D$13)/12),2)</f>
        <v>0</v>
      </c>
      <c r="J196" s="39" t="n">
        <f aca="false">ROUND(AD195*(1+N('My Debts'!$D$14)/12),2)</f>
        <v>0</v>
      </c>
      <c r="K196" s="39" t="n">
        <f aca="false">ROUND(AE195*(1+N('My Debts'!$D$15)/12),2)</f>
        <v>0</v>
      </c>
      <c r="L196" s="39" t="n">
        <f aca="false">MIN(N('My Debts'!$E$6),B196)</f>
        <v>0</v>
      </c>
      <c r="M196" s="39" t="n">
        <f aca="false">MIN(N('My Debts'!$E$7),C196)</f>
        <v>0</v>
      </c>
      <c r="N196" s="39" t="n">
        <f aca="false">MIN(N('My Debts'!$E$8),D196)</f>
        <v>0</v>
      </c>
      <c r="O196" s="39" t="n">
        <f aca="false">MIN(N('My Debts'!$E$9),E196)</f>
        <v>0</v>
      </c>
      <c r="P196" s="39" t="n">
        <f aca="false">MIN(N('My Debts'!$E$10),F196)</f>
        <v>0</v>
      </c>
      <c r="Q196" s="39" t="n">
        <f aca="false">MIN(N('My Debts'!$E$11),G196)</f>
        <v>0</v>
      </c>
      <c r="R196" s="39" t="n">
        <f aca="false">MIN(N('My Debts'!$E$12),H196)</f>
        <v>0</v>
      </c>
      <c r="S196" s="39" t="n">
        <f aca="false">MIN(N('My Debts'!$E$13),I196)</f>
        <v>0</v>
      </c>
      <c r="T196" s="39" t="n">
        <f aca="false">MIN(N('My Debts'!$E$14),J196)</f>
        <v>0</v>
      </c>
      <c r="U196" s="39" t="n">
        <f aca="false">MIN(N('My Debts'!$E$15),K196)</f>
        <v>0</v>
      </c>
      <c r="V196" s="39" t="n">
        <f aca="false">ROUND(B196-L196-MIN(B196-L196,MAX(0,$AF196-SUMPRODUCT(--($B$4:$K$4&lt;B$4),$B196:$K196-$L196:$U196))),2)</f>
        <v>0</v>
      </c>
      <c r="W196" s="39" t="n">
        <f aca="false">ROUND(C196-M196-MIN(C196-M196,MAX(0,$AF196-SUMPRODUCT(--($B$4:$K$4&lt;C$4),$B196:$K196-$L196:$U196))),2)</f>
        <v>0</v>
      </c>
      <c r="X196" s="39" t="n">
        <f aca="false">ROUND(D196-N196-MIN(D196-N196,MAX(0,$AF196-SUMPRODUCT(--($B$4:$K$4&lt;D$4),$B196:$K196-$L196:$U196))),2)</f>
        <v>0</v>
      </c>
      <c r="Y196" s="39" t="n">
        <f aca="false">ROUND(E196-O196-MIN(E196-O196,MAX(0,$AF196-SUMPRODUCT(--($B$4:$K$4&lt;E$4),$B196:$K196-$L196:$U196))),2)</f>
        <v>0</v>
      </c>
      <c r="Z196" s="39" t="n">
        <f aca="false">ROUND(F196-P196-MIN(F196-P196,MAX(0,$AF196-SUMPRODUCT(--($B$4:$K$4&lt;F$4),$B196:$K196-$L196:$U196))),2)</f>
        <v>0</v>
      </c>
      <c r="AA196" s="39" t="n">
        <f aca="false">ROUND(G196-Q196-MIN(G196-Q196,MAX(0,$AF196-SUMPRODUCT(--($B$4:$K$4&lt;G$4),$B196:$K196-$L196:$U196))),2)</f>
        <v>0</v>
      </c>
      <c r="AB196" s="39" t="n">
        <f aca="false">ROUND(H196-R196-MIN(H196-R196,MAX(0,$AF196-SUMPRODUCT(--($B$4:$K$4&lt;H$4),$B196:$K196-$L196:$U196))),2)</f>
        <v>0</v>
      </c>
      <c r="AC196" s="39" t="n">
        <f aca="false">ROUND(I196-S196-MIN(I196-S196,MAX(0,$AF196-SUMPRODUCT(--($B$4:$K$4&lt;I$4),$B196:$K196-$L196:$U196))),2)</f>
        <v>0</v>
      </c>
      <c r="AD196" s="39" t="n">
        <f aca="false">ROUND(J196-T196-MIN(J196-T196,MAX(0,$AF196-SUMPRODUCT(--($B$4:$K$4&lt;J$4),$B196:$K196-$L196:$U196))),2)</f>
        <v>0</v>
      </c>
      <c r="AE196" s="39" t="n">
        <f aca="false">ROUND(K196-U196-MIN(K196-U196,MAX(0,$AF196-SUMPRODUCT(--($B$4:$K$4&lt;K$4),$B196:$K196-$L196:$U196))),2)</f>
        <v>0</v>
      </c>
      <c r="AF196" s="39" t="n">
        <f aca="false">MAX(0,'Start Here'!$C$5-SUM($L196:$U196))</f>
        <v>1200</v>
      </c>
      <c r="AG196" s="39" t="n">
        <f aca="false">SUM(V196:AE196)</f>
        <v>0</v>
      </c>
      <c r="AH196" s="39" t="n">
        <f aca="false">SUM(B196:K196)-AG195</f>
        <v>0</v>
      </c>
    </row>
    <row r="197" customFormat="false" ht="15" hidden="false" customHeight="false" outlineLevel="0" collapsed="false">
      <c r="A197" s="40" t="n">
        <f aca="false">DATE(YEAR('Start Here'!$C$6),MONTH('Start Here'!$C$6)+190,1)</f>
        <v>52079</v>
      </c>
      <c r="B197" s="39" t="n">
        <f aca="false">ROUND(V196*(1+N('My Debts'!$D$6)/12),2)</f>
        <v>0</v>
      </c>
      <c r="C197" s="39" t="n">
        <f aca="false">ROUND(W196*(1+N('My Debts'!$D$7)/12),2)</f>
        <v>0</v>
      </c>
      <c r="D197" s="39" t="n">
        <f aca="false">ROUND(X196*(1+N('My Debts'!$D$8)/12),2)</f>
        <v>0</v>
      </c>
      <c r="E197" s="39" t="n">
        <f aca="false">ROUND(Y196*(1+N('My Debts'!$D$9)/12),2)</f>
        <v>0</v>
      </c>
      <c r="F197" s="39" t="n">
        <f aca="false">ROUND(Z196*(1+N('My Debts'!$D$10)/12),2)</f>
        <v>0</v>
      </c>
      <c r="G197" s="39" t="n">
        <f aca="false">ROUND(AA196*(1+N('My Debts'!$D$11)/12),2)</f>
        <v>0</v>
      </c>
      <c r="H197" s="39" t="n">
        <f aca="false">ROUND(AB196*(1+N('My Debts'!$D$12)/12),2)</f>
        <v>0</v>
      </c>
      <c r="I197" s="39" t="n">
        <f aca="false">ROUND(AC196*(1+N('My Debts'!$D$13)/12),2)</f>
        <v>0</v>
      </c>
      <c r="J197" s="39" t="n">
        <f aca="false">ROUND(AD196*(1+N('My Debts'!$D$14)/12),2)</f>
        <v>0</v>
      </c>
      <c r="K197" s="39" t="n">
        <f aca="false">ROUND(AE196*(1+N('My Debts'!$D$15)/12),2)</f>
        <v>0</v>
      </c>
      <c r="L197" s="39" t="n">
        <f aca="false">MIN(N('My Debts'!$E$6),B197)</f>
        <v>0</v>
      </c>
      <c r="M197" s="39" t="n">
        <f aca="false">MIN(N('My Debts'!$E$7),C197)</f>
        <v>0</v>
      </c>
      <c r="N197" s="39" t="n">
        <f aca="false">MIN(N('My Debts'!$E$8),D197)</f>
        <v>0</v>
      </c>
      <c r="O197" s="39" t="n">
        <f aca="false">MIN(N('My Debts'!$E$9),E197)</f>
        <v>0</v>
      </c>
      <c r="P197" s="39" t="n">
        <f aca="false">MIN(N('My Debts'!$E$10),F197)</f>
        <v>0</v>
      </c>
      <c r="Q197" s="39" t="n">
        <f aca="false">MIN(N('My Debts'!$E$11),G197)</f>
        <v>0</v>
      </c>
      <c r="R197" s="39" t="n">
        <f aca="false">MIN(N('My Debts'!$E$12),H197)</f>
        <v>0</v>
      </c>
      <c r="S197" s="39" t="n">
        <f aca="false">MIN(N('My Debts'!$E$13),I197)</f>
        <v>0</v>
      </c>
      <c r="T197" s="39" t="n">
        <f aca="false">MIN(N('My Debts'!$E$14),J197)</f>
        <v>0</v>
      </c>
      <c r="U197" s="39" t="n">
        <f aca="false">MIN(N('My Debts'!$E$15),K197)</f>
        <v>0</v>
      </c>
      <c r="V197" s="39" t="n">
        <f aca="false">ROUND(B197-L197-MIN(B197-L197,MAX(0,$AF197-SUMPRODUCT(--($B$4:$K$4&lt;B$4),$B197:$K197-$L197:$U197))),2)</f>
        <v>0</v>
      </c>
      <c r="W197" s="39" t="n">
        <f aca="false">ROUND(C197-M197-MIN(C197-M197,MAX(0,$AF197-SUMPRODUCT(--($B$4:$K$4&lt;C$4),$B197:$K197-$L197:$U197))),2)</f>
        <v>0</v>
      </c>
      <c r="X197" s="39" t="n">
        <f aca="false">ROUND(D197-N197-MIN(D197-N197,MAX(0,$AF197-SUMPRODUCT(--($B$4:$K$4&lt;D$4),$B197:$K197-$L197:$U197))),2)</f>
        <v>0</v>
      </c>
      <c r="Y197" s="39" t="n">
        <f aca="false">ROUND(E197-O197-MIN(E197-O197,MAX(0,$AF197-SUMPRODUCT(--($B$4:$K$4&lt;E$4),$B197:$K197-$L197:$U197))),2)</f>
        <v>0</v>
      </c>
      <c r="Z197" s="39" t="n">
        <f aca="false">ROUND(F197-P197-MIN(F197-P197,MAX(0,$AF197-SUMPRODUCT(--($B$4:$K$4&lt;F$4),$B197:$K197-$L197:$U197))),2)</f>
        <v>0</v>
      </c>
      <c r="AA197" s="39" t="n">
        <f aca="false">ROUND(G197-Q197-MIN(G197-Q197,MAX(0,$AF197-SUMPRODUCT(--($B$4:$K$4&lt;G$4),$B197:$K197-$L197:$U197))),2)</f>
        <v>0</v>
      </c>
      <c r="AB197" s="39" t="n">
        <f aca="false">ROUND(H197-R197-MIN(H197-R197,MAX(0,$AF197-SUMPRODUCT(--($B$4:$K$4&lt;H$4),$B197:$K197-$L197:$U197))),2)</f>
        <v>0</v>
      </c>
      <c r="AC197" s="39" t="n">
        <f aca="false">ROUND(I197-S197-MIN(I197-S197,MAX(0,$AF197-SUMPRODUCT(--($B$4:$K$4&lt;I$4),$B197:$K197-$L197:$U197))),2)</f>
        <v>0</v>
      </c>
      <c r="AD197" s="39" t="n">
        <f aca="false">ROUND(J197-T197-MIN(J197-T197,MAX(0,$AF197-SUMPRODUCT(--($B$4:$K$4&lt;J$4),$B197:$K197-$L197:$U197))),2)</f>
        <v>0</v>
      </c>
      <c r="AE197" s="39" t="n">
        <f aca="false">ROUND(K197-U197-MIN(K197-U197,MAX(0,$AF197-SUMPRODUCT(--($B$4:$K$4&lt;K$4),$B197:$K197-$L197:$U197))),2)</f>
        <v>0</v>
      </c>
      <c r="AF197" s="39" t="n">
        <f aca="false">MAX(0,'Start Here'!$C$5-SUM($L197:$U197))</f>
        <v>1200</v>
      </c>
      <c r="AG197" s="39" t="n">
        <f aca="false">SUM(V197:AE197)</f>
        <v>0</v>
      </c>
      <c r="AH197" s="39" t="n">
        <f aca="false">SUM(B197:K197)-AG196</f>
        <v>0</v>
      </c>
    </row>
    <row r="198" customFormat="false" ht="15" hidden="false" customHeight="false" outlineLevel="0" collapsed="false">
      <c r="A198" s="40" t="n">
        <f aca="false">DATE(YEAR('Start Here'!$C$6),MONTH('Start Here'!$C$6)+191,1)</f>
        <v>52110</v>
      </c>
      <c r="B198" s="39" t="n">
        <f aca="false">ROUND(V197*(1+N('My Debts'!$D$6)/12),2)</f>
        <v>0</v>
      </c>
      <c r="C198" s="39" t="n">
        <f aca="false">ROUND(W197*(1+N('My Debts'!$D$7)/12),2)</f>
        <v>0</v>
      </c>
      <c r="D198" s="39" t="n">
        <f aca="false">ROUND(X197*(1+N('My Debts'!$D$8)/12),2)</f>
        <v>0</v>
      </c>
      <c r="E198" s="39" t="n">
        <f aca="false">ROUND(Y197*(1+N('My Debts'!$D$9)/12),2)</f>
        <v>0</v>
      </c>
      <c r="F198" s="39" t="n">
        <f aca="false">ROUND(Z197*(1+N('My Debts'!$D$10)/12),2)</f>
        <v>0</v>
      </c>
      <c r="G198" s="39" t="n">
        <f aca="false">ROUND(AA197*(1+N('My Debts'!$D$11)/12),2)</f>
        <v>0</v>
      </c>
      <c r="H198" s="39" t="n">
        <f aca="false">ROUND(AB197*(1+N('My Debts'!$D$12)/12),2)</f>
        <v>0</v>
      </c>
      <c r="I198" s="39" t="n">
        <f aca="false">ROUND(AC197*(1+N('My Debts'!$D$13)/12),2)</f>
        <v>0</v>
      </c>
      <c r="J198" s="39" t="n">
        <f aca="false">ROUND(AD197*(1+N('My Debts'!$D$14)/12),2)</f>
        <v>0</v>
      </c>
      <c r="K198" s="39" t="n">
        <f aca="false">ROUND(AE197*(1+N('My Debts'!$D$15)/12),2)</f>
        <v>0</v>
      </c>
      <c r="L198" s="39" t="n">
        <f aca="false">MIN(N('My Debts'!$E$6),B198)</f>
        <v>0</v>
      </c>
      <c r="M198" s="39" t="n">
        <f aca="false">MIN(N('My Debts'!$E$7),C198)</f>
        <v>0</v>
      </c>
      <c r="N198" s="39" t="n">
        <f aca="false">MIN(N('My Debts'!$E$8),D198)</f>
        <v>0</v>
      </c>
      <c r="O198" s="39" t="n">
        <f aca="false">MIN(N('My Debts'!$E$9),E198)</f>
        <v>0</v>
      </c>
      <c r="P198" s="39" t="n">
        <f aca="false">MIN(N('My Debts'!$E$10),F198)</f>
        <v>0</v>
      </c>
      <c r="Q198" s="39" t="n">
        <f aca="false">MIN(N('My Debts'!$E$11),G198)</f>
        <v>0</v>
      </c>
      <c r="R198" s="39" t="n">
        <f aca="false">MIN(N('My Debts'!$E$12),H198)</f>
        <v>0</v>
      </c>
      <c r="S198" s="39" t="n">
        <f aca="false">MIN(N('My Debts'!$E$13),I198)</f>
        <v>0</v>
      </c>
      <c r="T198" s="39" t="n">
        <f aca="false">MIN(N('My Debts'!$E$14),J198)</f>
        <v>0</v>
      </c>
      <c r="U198" s="39" t="n">
        <f aca="false">MIN(N('My Debts'!$E$15),K198)</f>
        <v>0</v>
      </c>
      <c r="V198" s="39" t="n">
        <f aca="false">ROUND(B198-L198-MIN(B198-L198,MAX(0,$AF198-SUMPRODUCT(--($B$4:$K$4&lt;B$4),$B198:$K198-$L198:$U198))),2)</f>
        <v>0</v>
      </c>
      <c r="W198" s="39" t="n">
        <f aca="false">ROUND(C198-M198-MIN(C198-M198,MAX(0,$AF198-SUMPRODUCT(--($B$4:$K$4&lt;C$4),$B198:$K198-$L198:$U198))),2)</f>
        <v>0</v>
      </c>
      <c r="X198" s="39" t="n">
        <f aca="false">ROUND(D198-N198-MIN(D198-N198,MAX(0,$AF198-SUMPRODUCT(--($B$4:$K$4&lt;D$4),$B198:$K198-$L198:$U198))),2)</f>
        <v>0</v>
      </c>
      <c r="Y198" s="39" t="n">
        <f aca="false">ROUND(E198-O198-MIN(E198-O198,MAX(0,$AF198-SUMPRODUCT(--($B$4:$K$4&lt;E$4),$B198:$K198-$L198:$U198))),2)</f>
        <v>0</v>
      </c>
      <c r="Z198" s="39" t="n">
        <f aca="false">ROUND(F198-P198-MIN(F198-P198,MAX(0,$AF198-SUMPRODUCT(--($B$4:$K$4&lt;F$4),$B198:$K198-$L198:$U198))),2)</f>
        <v>0</v>
      </c>
      <c r="AA198" s="39" t="n">
        <f aca="false">ROUND(G198-Q198-MIN(G198-Q198,MAX(0,$AF198-SUMPRODUCT(--($B$4:$K$4&lt;G$4),$B198:$K198-$L198:$U198))),2)</f>
        <v>0</v>
      </c>
      <c r="AB198" s="39" t="n">
        <f aca="false">ROUND(H198-R198-MIN(H198-R198,MAX(0,$AF198-SUMPRODUCT(--($B$4:$K$4&lt;H$4),$B198:$K198-$L198:$U198))),2)</f>
        <v>0</v>
      </c>
      <c r="AC198" s="39" t="n">
        <f aca="false">ROUND(I198-S198-MIN(I198-S198,MAX(0,$AF198-SUMPRODUCT(--($B$4:$K$4&lt;I$4),$B198:$K198-$L198:$U198))),2)</f>
        <v>0</v>
      </c>
      <c r="AD198" s="39" t="n">
        <f aca="false">ROUND(J198-T198-MIN(J198-T198,MAX(0,$AF198-SUMPRODUCT(--($B$4:$K$4&lt;J$4),$B198:$K198-$L198:$U198))),2)</f>
        <v>0</v>
      </c>
      <c r="AE198" s="39" t="n">
        <f aca="false">ROUND(K198-U198-MIN(K198-U198,MAX(0,$AF198-SUMPRODUCT(--($B$4:$K$4&lt;K$4),$B198:$K198-$L198:$U198))),2)</f>
        <v>0</v>
      </c>
      <c r="AF198" s="39" t="n">
        <f aca="false">MAX(0,'Start Here'!$C$5-SUM($L198:$U198))</f>
        <v>1200</v>
      </c>
      <c r="AG198" s="39" t="n">
        <f aca="false">SUM(V198:AE198)</f>
        <v>0</v>
      </c>
      <c r="AH198" s="39" t="n">
        <f aca="false">SUM(B198:K198)-AG197</f>
        <v>0</v>
      </c>
    </row>
    <row r="199" customFormat="false" ht="15" hidden="false" customHeight="false" outlineLevel="0" collapsed="false">
      <c r="A199" s="40" t="n">
        <f aca="false">DATE(YEAR('Start Here'!$C$6),MONTH('Start Here'!$C$6)+192,1)</f>
        <v>52140</v>
      </c>
      <c r="B199" s="39" t="n">
        <f aca="false">ROUND(V198*(1+N('My Debts'!$D$6)/12),2)</f>
        <v>0</v>
      </c>
      <c r="C199" s="39" t="n">
        <f aca="false">ROUND(W198*(1+N('My Debts'!$D$7)/12),2)</f>
        <v>0</v>
      </c>
      <c r="D199" s="39" t="n">
        <f aca="false">ROUND(X198*(1+N('My Debts'!$D$8)/12),2)</f>
        <v>0</v>
      </c>
      <c r="E199" s="39" t="n">
        <f aca="false">ROUND(Y198*(1+N('My Debts'!$D$9)/12),2)</f>
        <v>0</v>
      </c>
      <c r="F199" s="39" t="n">
        <f aca="false">ROUND(Z198*(1+N('My Debts'!$D$10)/12),2)</f>
        <v>0</v>
      </c>
      <c r="G199" s="39" t="n">
        <f aca="false">ROUND(AA198*(1+N('My Debts'!$D$11)/12),2)</f>
        <v>0</v>
      </c>
      <c r="H199" s="39" t="n">
        <f aca="false">ROUND(AB198*(1+N('My Debts'!$D$12)/12),2)</f>
        <v>0</v>
      </c>
      <c r="I199" s="39" t="n">
        <f aca="false">ROUND(AC198*(1+N('My Debts'!$D$13)/12),2)</f>
        <v>0</v>
      </c>
      <c r="J199" s="39" t="n">
        <f aca="false">ROUND(AD198*(1+N('My Debts'!$D$14)/12),2)</f>
        <v>0</v>
      </c>
      <c r="K199" s="39" t="n">
        <f aca="false">ROUND(AE198*(1+N('My Debts'!$D$15)/12),2)</f>
        <v>0</v>
      </c>
      <c r="L199" s="39" t="n">
        <f aca="false">MIN(N('My Debts'!$E$6),B199)</f>
        <v>0</v>
      </c>
      <c r="M199" s="39" t="n">
        <f aca="false">MIN(N('My Debts'!$E$7),C199)</f>
        <v>0</v>
      </c>
      <c r="N199" s="39" t="n">
        <f aca="false">MIN(N('My Debts'!$E$8),D199)</f>
        <v>0</v>
      </c>
      <c r="O199" s="39" t="n">
        <f aca="false">MIN(N('My Debts'!$E$9),E199)</f>
        <v>0</v>
      </c>
      <c r="P199" s="39" t="n">
        <f aca="false">MIN(N('My Debts'!$E$10),F199)</f>
        <v>0</v>
      </c>
      <c r="Q199" s="39" t="n">
        <f aca="false">MIN(N('My Debts'!$E$11),G199)</f>
        <v>0</v>
      </c>
      <c r="R199" s="39" t="n">
        <f aca="false">MIN(N('My Debts'!$E$12),H199)</f>
        <v>0</v>
      </c>
      <c r="S199" s="39" t="n">
        <f aca="false">MIN(N('My Debts'!$E$13),I199)</f>
        <v>0</v>
      </c>
      <c r="T199" s="39" t="n">
        <f aca="false">MIN(N('My Debts'!$E$14),J199)</f>
        <v>0</v>
      </c>
      <c r="U199" s="39" t="n">
        <f aca="false">MIN(N('My Debts'!$E$15),K199)</f>
        <v>0</v>
      </c>
      <c r="V199" s="39" t="n">
        <f aca="false">ROUND(B199-L199-MIN(B199-L199,MAX(0,$AF199-SUMPRODUCT(--($B$4:$K$4&lt;B$4),$B199:$K199-$L199:$U199))),2)</f>
        <v>0</v>
      </c>
      <c r="W199" s="39" t="n">
        <f aca="false">ROUND(C199-M199-MIN(C199-M199,MAX(0,$AF199-SUMPRODUCT(--($B$4:$K$4&lt;C$4),$B199:$K199-$L199:$U199))),2)</f>
        <v>0</v>
      </c>
      <c r="X199" s="39" t="n">
        <f aca="false">ROUND(D199-N199-MIN(D199-N199,MAX(0,$AF199-SUMPRODUCT(--($B$4:$K$4&lt;D$4),$B199:$K199-$L199:$U199))),2)</f>
        <v>0</v>
      </c>
      <c r="Y199" s="39" t="n">
        <f aca="false">ROUND(E199-O199-MIN(E199-O199,MAX(0,$AF199-SUMPRODUCT(--($B$4:$K$4&lt;E$4),$B199:$K199-$L199:$U199))),2)</f>
        <v>0</v>
      </c>
      <c r="Z199" s="39" t="n">
        <f aca="false">ROUND(F199-P199-MIN(F199-P199,MAX(0,$AF199-SUMPRODUCT(--($B$4:$K$4&lt;F$4),$B199:$K199-$L199:$U199))),2)</f>
        <v>0</v>
      </c>
      <c r="AA199" s="39" t="n">
        <f aca="false">ROUND(G199-Q199-MIN(G199-Q199,MAX(0,$AF199-SUMPRODUCT(--($B$4:$K$4&lt;G$4),$B199:$K199-$L199:$U199))),2)</f>
        <v>0</v>
      </c>
      <c r="AB199" s="39" t="n">
        <f aca="false">ROUND(H199-R199-MIN(H199-R199,MAX(0,$AF199-SUMPRODUCT(--($B$4:$K$4&lt;H$4),$B199:$K199-$L199:$U199))),2)</f>
        <v>0</v>
      </c>
      <c r="AC199" s="39" t="n">
        <f aca="false">ROUND(I199-S199-MIN(I199-S199,MAX(0,$AF199-SUMPRODUCT(--($B$4:$K$4&lt;I$4),$B199:$K199-$L199:$U199))),2)</f>
        <v>0</v>
      </c>
      <c r="AD199" s="39" t="n">
        <f aca="false">ROUND(J199-T199-MIN(J199-T199,MAX(0,$AF199-SUMPRODUCT(--($B$4:$K$4&lt;J$4),$B199:$K199-$L199:$U199))),2)</f>
        <v>0</v>
      </c>
      <c r="AE199" s="39" t="n">
        <f aca="false">ROUND(K199-U199-MIN(K199-U199,MAX(0,$AF199-SUMPRODUCT(--($B$4:$K$4&lt;K$4),$B199:$K199-$L199:$U199))),2)</f>
        <v>0</v>
      </c>
      <c r="AF199" s="39" t="n">
        <f aca="false">MAX(0,'Start Here'!$C$5-SUM($L199:$U199))</f>
        <v>1200</v>
      </c>
      <c r="AG199" s="39" t="n">
        <f aca="false">SUM(V199:AE199)</f>
        <v>0</v>
      </c>
      <c r="AH199" s="39" t="n">
        <f aca="false">SUM(B199:K199)-AG198</f>
        <v>0</v>
      </c>
    </row>
    <row r="200" customFormat="false" ht="15" hidden="false" customHeight="false" outlineLevel="0" collapsed="false">
      <c r="A200" s="40" t="n">
        <f aca="false">DATE(YEAR('Start Here'!$C$6),MONTH('Start Here'!$C$6)+193,1)</f>
        <v>52171</v>
      </c>
      <c r="B200" s="39" t="n">
        <f aca="false">ROUND(V199*(1+N('My Debts'!$D$6)/12),2)</f>
        <v>0</v>
      </c>
      <c r="C200" s="39" t="n">
        <f aca="false">ROUND(W199*(1+N('My Debts'!$D$7)/12),2)</f>
        <v>0</v>
      </c>
      <c r="D200" s="39" t="n">
        <f aca="false">ROUND(X199*(1+N('My Debts'!$D$8)/12),2)</f>
        <v>0</v>
      </c>
      <c r="E200" s="39" t="n">
        <f aca="false">ROUND(Y199*(1+N('My Debts'!$D$9)/12),2)</f>
        <v>0</v>
      </c>
      <c r="F200" s="39" t="n">
        <f aca="false">ROUND(Z199*(1+N('My Debts'!$D$10)/12),2)</f>
        <v>0</v>
      </c>
      <c r="G200" s="39" t="n">
        <f aca="false">ROUND(AA199*(1+N('My Debts'!$D$11)/12),2)</f>
        <v>0</v>
      </c>
      <c r="H200" s="39" t="n">
        <f aca="false">ROUND(AB199*(1+N('My Debts'!$D$12)/12),2)</f>
        <v>0</v>
      </c>
      <c r="I200" s="39" t="n">
        <f aca="false">ROUND(AC199*(1+N('My Debts'!$D$13)/12),2)</f>
        <v>0</v>
      </c>
      <c r="J200" s="39" t="n">
        <f aca="false">ROUND(AD199*(1+N('My Debts'!$D$14)/12),2)</f>
        <v>0</v>
      </c>
      <c r="K200" s="39" t="n">
        <f aca="false">ROUND(AE199*(1+N('My Debts'!$D$15)/12),2)</f>
        <v>0</v>
      </c>
      <c r="L200" s="39" t="n">
        <f aca="false">MIN(N('My Debts'!$E$6),B200)</f>
        <v>0</v>
      </c>
      <c r="M200" s="39" t="n">
        <f aca="false">MIN(N('My Debts'!$E$7),C200)</f>
        <v>0</v>
      </c>
      <c r="N200" s="39" t="n">
        <f aca="false">MIN(N('My Debts'!$E$8),D200)</f>
        <v>0</v>
      </c>
      <c r="O200" s="39" t="n">
        <f aca="false">MIN(N('My Debts'!$E$9),E200)</f>
        <v>0</v>
      </c>
      <c r="P200" s="39" t="n">
        <f aca="false">MIN(N('My Debts'!$E$10),F200)</f>
        <v>0</v>
      </c>
      <c r="Q200" s="39" t="n">
        <f aca="false">MIN(N('My Debts'!$E$11),G200)</f>
        <v>0</v>
      </c>
      <c r="R200" s="39" t="n">
        <f aca="false">MIN(N('My Debts'!$E$12),H200)</f>
        <v>0</v>
      </c>
      <c r="S200" s="39" t="n">
        <f aca="false">MIN(N('My Debts'!$E$13),I200)</f>
        <v>0</v>
      </c>
      <c r="T200" s="39" t="n">
        <f aca="false">MIN(N('My Debts'!$E$14),J200)</f>
        <v>0</v>
      </c>
      <c r="U200" s="39" t="n">
        <f aca="false">MIN(N('My Debts'!$E$15),K200)</f>
        <v>0</v>
      </c>
      <c r="V200" s="39" t="n">
        <f aca="false">ROUND(B200-L200-MIN(B200-L200,MAX(0,$AF200-SUMPRODUCT(--($B$4:$K$4&lt;B$4),$B200:$K200-$L200:$U200))),2)</f>
        <v>0</v>
      </c>
      <c r="W200" s="39" t="n">
        <f aca="false">ROUND(C200-M200-MIN(C200-M200,MAX(0,$AF200-SUMPRODUCT(--($B$4:$K$4&lt;C$4),$B200:$K200-$L200:$U200))),2)</f>
        <v>0</v>
      </c>
      <c r="X200" s="39" t="n">
        <f aca="false">ROUND(D200-N200-MIN(D200-N200,MAX(0,$AF200-SUMPRODUCT(--($B$4:$K$4&lt;D$4),$B200:$K200-$L200:$U200))),2)</f>
        <v>0</v>
      </c>
      <c r="Y200" s="39" t="n">
        <f aca="false">ROUND(E200-O200-MIN(E200-O200,MAX(0,$AF200-SUMPRODUCT(--($B$4:$K$4&lt;E$4),$B200:$K200-$L200:$U200))),2)</f>
        <v>0</v>
      </c>
      <c r="Z200" s="39" t="n">
        <f aca="false">ROUND(F200-P200-MIN(F200-P200,MAX(0,$AF200-SUMPRODUCT(--($B$4:$K$4&lt;F$4),$B200:$K200-$L200:$U200))),2)</f>
        <v>0</v>
      </c>
      <c r="AA200" s="39" t="n">
        <f aca="false">ROUND(G200-Q200-MIN(G200-Q200,MAX(0,$AF200-SUMPRODUCT(--($B$4:$K$4&lt;G$4),$B200:$K200-$L200:$U200))),2)</f>
        <v>0</v>
      </c>
      <c r="AB200" s="39" t="n">
        <f aca="false">ROUND(H200-R200-MIN(H200-R200,MAX(0,$AF200-SUMPRODUCT(--($B$4:$K$4&lt;H$4),$B200:$K200-$L200:$U200))),2)</f>
        <v>0</v>
      </c>
      <c r="AC200" s="39" t="n">
        <f aca="false">ROUND(I200-S200-MIN(I200-S200,MAX(0,$AF200-SUMPRODUCT(--($B$4:$K$4&lt;I$4),$B200:$K200-$L200:$U200))),2)</f>
        <v>0</v>
      </c>
      <c r="AD200" s="39" t="n">
        <f aca="false">ROUND(J200-T200-MIN(J200-T200,MAX(0,$AF200-SUMPRODUCT(--($B$4:$K$4&lt;J$4),$B200:$K200-$L200:$U200))),2)</f>
        <v>0</v>
      </c>
      <c r="AE200" s="39" t="n">
        <f aca="false">ROUND(K200-U200-MIN(K200-U200,MAX(0,$AF200-SUMPRODUCT(--($B$4:$K$4&lt;K$4),$B200:$K200-$L200:$U200))),2)</f>
        <v>0</v>
      </c>
      <c r="AF200" s="39" t="n">
        <f aca="false">MAX(0,'Start Here'!$C$5-SUM($L200:$U200))</f>
        <v>1200</v>
      </c>
      <c r="AG200" s="39" t="n">
        <f aca="false">SUM(V200:AE200)</f>
        <v>0</v>
      </c>
      <c r="AH200" s="39" t="n">
        <f aca="false">SUM(B200:K200)-AG199</f>
        <v>0</v>
      </c>
    </row>
    <row r="201" customFormat="false" ht="15" hidden="false" customHeight="false" outlineLevel="0" collapsed="false">
      <c r="A201" s="40" t="n">
        <f aca="false">DATE(YEAR('Start Here'!$C$6),MONTH('Start Here'!$C$6)+194,1)</f>
        <v>52201</v>
      </c>
      <c r="B201" s="39" t="n">
        <f aca="false">ROUND(V200*(1+N('My Debts'!$D$6)/12),2)</f>
        <v>0</v>
      </c>
      <c r="C201" s="39" t="n">
        <f aca="false">ROUND(W200*(1+N('My Debts'!$D$7)/12),2)</f>
        <v>0</v>
      </c>
      <c r="D201" s="39" t="n">
        <f aca="false">ROUND(X200*(1+N('My Debts'!$D$8)/12),2)</f>
        <v>0</v>
      </c>
      <c r="E201" s="39" t="n">
        <f aca="false">ROUND(Y200*(1+N('My Debts'!$D$9)/12),2)</f>
        <v>0</v>
      </c>
      <c r="F201" s="39" t="n">
        <f aca="false">ROUND(Z200*(1+N('My Debts'!$D$10)/12),2)</f>
        <v>0</v>
      </c>
      <c r="G201" s="39" t="n">
        <f aca="false">ROUND(AA200*(1+N('My Debts'!$D$11)/12),2)</f>
        <v>0</v>
      </c>
      <c r="H201" s="39" t="n">
        <f aca="false">ROUND(AB200*(1+N('My Debts'!$D$12)/12),2)</f>
        <v>0</v>
      </c>
      <c r="I201" s="39" t="n">
        <f aca="false">ROUND(AC200*(1+N('My Debts'!$D$13)/12),2)</f>
        <v>0</v>
      </c>
      <c r="J201" s="39" t="n">
        <f aca="false">ROUND(AD200*(1+N('My Debts'!$D$14)/12),2)</f>
        <v>0</v>
      </c>
      <c r="K201" s="39" t="n">
        <f aca="false">ROUND(AE200*(1+N('My Debts'!$D$15)/12),2)</f>
        <v>0</v>
      </c>
      <c r="L201" s="39" t="n">
        <f aca="false">MIN(N('My Debts'!$E$6),B201)</f>
        <v>0</v>
      </c>
      <c r="M201" s="39" t="n">
        <f aca="false">MIN(N('My Debts'!$E$7),C201)</f>
        <v>0</v>
      </c>
      <c r="N201" s="39" t="n">
        <f aca="false">MIN(N('My Debts'!$E$8),D201)</f>
        <v>0</v>
      </c>
      <c r="O201" s="39" t="n">
        <f aca="false">MIN(N('My Debts'!$E$9),E201)</f>
        <v>0</v>
      </c>
      <c r="P201" s="39" t="n">
        <f aca="false">MIN(N('My Debts'!$E$10),F201)</f>
        <v>0</v>
      </c>
      <c r="Q201" s="39" t="n">
        <f aca="false">MIN(N('My Debts'!$E$11),G201)</f>
        <v>0</v>
      </c>
      <c r="R201" s="39" t="n">
        <f aca="false">MIN(N('My Debts'!$E$12),H201)</f>
        <v>0</v>
      </c>
      <c r="S201" s="39" t="n">
        <f aca="false">MIN(N('My Debts'!$E$13),I201)</f>
        <v>0</v>
      </c>
      <c r="T201" s="39" t="n">
        <f aca="false">MIN(N('My Debts'!$E$14),J201)</f>
        <v>0</v>
      </c>
      <c r="U201" s="39" t="n">
        <f aca="false">MIN(N('My Debts'!$E$15),K201)</f>
        <v>0</v>
      </c>
      <c r="V201" s="39" t="n">
        <f aca="false">ROUND(B201-L201-MIN(B201-L201,MAX(0,$AF201-SUMPRODUCT(--($B$4:$K$4&lt;B$4),$B201:$K201-$L201:$U201))),2)</f>
        <v>0</v>
      </c>
      <c r="W201" s="39" t="n">
        <f aca="false">ROUND(C201-M201-MIN(C201-M201,MAX(0,$AF201-SUMPRODUCT(--($B$4:$K$4&lt;C$4),$B201:$K201-$L201:$U201))),2)</f>
        <v>0</v>
      </c>
      <c r="X201" s="39" t="n">
        <f aca="false">ROUND(D201-N201-MIN(D201-N201,MAX(0,$AF201-SUMPRODUCT(--($B$4:$K$4&lt;D$4),$B201:$K201-$L201:$U201))),2)</f>
        <v>0</v>
      </c>
      <c r="Y201" s="39" t="n">
        <f aca="false">ROUND(E201-O201-MIN(E201-O201,MAX(0,$AF201-SUMPRODUCT(--($B$4:$K$4&lt;E$4),$B201:$K201-$L201:$U201))),2)</f>
        <v>0</v>
      </c>
      <c r="Z201" s="39" t="n">
        <f aca="false">ROUND(F201-P201-MIN(F201-P201,MAX(0,$AF201-SUMPRODUCT(--($B$4:$K$4&lt;F$4),$B201:$K201-$L201:$U201))),2)</f>
        <v>0</v>
      </c>
      <c r="AA201" s="39" t="n">
        <f aca="false">ROUND(G201-Q201-MIN(G201-Q201,MAX(0,$AF201-SUMPRODUCT(--($B$4:$K$4&lt;G$4),$B201:$K201-$L201:$U201))),2)</f>
        <v>0</v>
      </c>
      <c r="AB201" s="39" t="n">
        <f aca="false">ROUND(H201-R201-MIN(H201-R201,MAX(0,$AF201-SUMPRODUCT(--($B$4:$K$4&lt;H$4),$B201:$K201-$L201:$U201))),2)</f>
        <v>0</v>
      </c>
      <c r="AC201" s="39" t="n">
        <f aca="false">ROUND(I201-S201-MIN(I201-S201,MAX(0,$AF201-SUMPRODUCT(--($B$4:$K$4&lt;I$4),$B201:$K201-$L201:$U201))),2)</f>
        <v>0</v>
      </c>
      <c r="AD201" s="39" t="n">
        <f aca="false">ROUND(J201-T201-MIN(J201-T201,MAX(0,$AF201-SUMPRODUCT(--($B$4:$K$4&lt;J$4),$B201:$K201-$L201:$U201))),2)</f>
        <v>0</v>
      </c>
      <c r="AE201" s="39" t="n">
        <f aca="false">ROUND(K201-U201-MIN(K201-U201,MAX(0,$AF201-SUMPRODUCT(--($B$4:$K$4&lt;K$4),$B201:$K201-$L201:$U201))),2)</f>
        <v>0</v>
      </c>
      <c r="AF201" s="39" t="n">
        <f aca="false">MAX(0,'Start Here'!$C$5-SUM($L201:$U201))</f>
        <v>1200</v>
      </c>
      <c r="AG201" s="39" t="n">
        <f aca="false">SUM(V201:AE201)</f>
        <v>0</v>
      </c>
      <c r="AH201" s="39" t="n">
        <f aca="false">SUM(B201:K201)-AG200</f>
        <v>0</v>
      </c>
    </row>
    <row r="202" customFormat="false" ht="15" hidden="false" customHeight="false" outlineLevel="0" collapsed="false">
      <c r="A202" s="40" t="n">
        <f aca="false">DATE(YEAR('Start Here'!$C$6),MONTH('Start Here'!$C$6)+195,1)</f>
        <v>52232</v>
      </c>
      <c r="B202" s="39" t="n">
        <f aca="false">ROUND(V201*(1+N('My Debts'!$D$6)/12),2)</f>
        <v>0</v>
      </c>
      <c r="C202" s="39" t="n">
        <f aca="false">ROUND(W201*(1+N('My Debts'!$D$7)/12),2)</f>
        <v>0</v>
      </c>
      <c r="D202" s="39" t="n">
        <f aca="false">ROUND(X201*(1+N('My Debts'!$D$8)/12),2)</f>
        <v>0</v>
      </c>
      <c r="E202" s="39" t="n">
        <f aca="false">ROUND(Y201*(1+N('My Debts'!$D$9)/12),2)</f>
        <v>0</v>
      </c>
      <c r="F202" s="39" t="n">
        <f aca="false">ROUND(Z201*(1+N('My Debts'!$D$10)/12),2)</f>
        <v>0</v>
      </c>
      <c r="G202" s="39" t="n">
        <f aca="false">ROUND(AA201*(1+N('My Debts'!$D$11)/12),2)</f>
        <v>0</v>
      </c>
      <c r="H202" s="39" t="n">
        <f aca="false">ROUND(AB201*(1+N('My Debts'!$D$12)/12),2)</f>
        <v>0</v>
      </c>
      <c r="I202" s="39" t="n">
        <f aca="false">ROUND(AC201*(1+N('My Debts'!$D$13)/12),2)</f>
        <v>0</v>
      </c>
      <c r="J202" s="39" t="n">
        <f aca="false">ROUND(AD201*(1+N('My Debts'!$D$14)/12),2)</f>
        <v>0</v>
      </c>
      <c r="K202" s="39" t="n">
        <f aca="false">ROUND(AE201*(1+N('My Debts'!$D$15)/12),2)</f>
        <v>0</v>
      </c>
      <c r="L202" s="39" t="n">
        <f aca="false">MIN(N('My Debts'!$E$6),B202)</f>
        <v>0</v>
      </c>
      <c r="M202" s="39" t="n">
        <f aca="false">MIN(N('My Debts'!$E$7),C202)</f>
        <v>0</v>
      </c>
      <c r="N202" s="39" t="n">
        <f aca="false">MIN(N('My Debts'!$E$8),D202)</f>
        <v>0</v>
      </c>
      <c r="O202" s="39" t="n">
        <f aca="false">MIN(N('My Debts'!$E$9),E202)</f>
        <v>0</v>
      </c>
      <c r="P202" s="39" t="n">
        <f aca="false">MIN(N('My Debts'!$E$10),F202)</f>
        <v>0</v>
      </c>
      <c r="Q202" s="39" t="n">
        <f aca="false">MIN(N('My Debts'!$E$11),G202)</f>
        <v>0</v>
      </c>
      <c r="R202" s="39" t="n">
        <f aca="false">MIN(N('My Debts'!$E$12),H202)</f>
        <v>0</v>
      </c>
      <c r="S202" s="39" t="n">
        <f aca="false">MIN(N('My Debts'!$E$13),I202)</f>
        <v>0</v>
      </c>
      <c r="T202" s="39" t="n">
        <f aca="false">MIN(N('My Debts'!$E$14),J202)</f>
        <v>0</v>
      </c>
      <c r="U202" s="39" t="n">
        <f aca="false">MIN(N('My Debts'!$E$15),K202)</f>
        <v>0</v>
      </c>
      <c r="V202" s="39" t="n">
        <f aca="false">ROUND(B202-L202-MIN(B202-L202,MAX(0,$AF202-SUMPRODUCT(--($B$4:$K$4&lt;B$4),$B202:$K202-$L202:$U202))),2)</f>
        <v>0</v>
      </c>
      <c r="W202" s="39" t="n">
        <f aca="false">ROUND(C202-M202-MIN(C202-M202,MAX(0,$AF202-SUMPRODUCT(--($B$4:$K$4&lt;C$4),$B202:$K202-$L202:$U202))),2)</f>
        <v>0</v>
      </c>
      <c r="X202" s="39" t="n">
        <f aca="false">ROUND(D202-N202-MIN(D202-N202,MAX(0,$AF202-SUMPRODUCT(--($B$4:$K$4&lt;D$4),$B202:$K202-$L202:$U202))),2)</f>
        <v>0</v>
      </c>
      <c r="Y202" s="39" t="n">
        <f aca="false">ROUND(E202-O202-MIN(E202-O202,MAX(0,$AF202-SUMPRODUCT(--($B$4:$K$4&lt;E$4),$B202:$K202-$L202:$U202))),2)</f>
        <v>0</v>
      </c>
      <c r="Z202" s="39" t="n">
        <f aca="false">ROUND(F202-P202-MIN(F202-P202,MAX(0,$AF202-SUMPRODUCT(--($B$4:$K$4&lt;F$4),$B202:$K202-$L202:$U202))),2)</f>
        <v>0</v>
      </c>
      <c r="AA202" s="39" t="n">
        <f aca="false">ROUND(G202-Q202-MIN(G202-Q202,MAX(0,$AF202-SUMPRODUCT(--($B$4:$K$4&lt;G$4),$B202:$K202-$L202:$U202))),2)</f>
        <v>0</v>
      </c>
      <c r="AB202" s="39" t="n">
        <f aca="false">ROUND(H202-R202-MIN(H202-R202,MAX(0,$AF202-SUMPRODUCT(--($B$4:$K$4&lt;H$4),$B202:$K202-$L202:$U202))),2)</f>
        <v>0</v>
      </c>
      <c r="AC202" s="39" t="n">
        <f aca="false">ROUND(I202-S202-MIN(I202-S202,MAX(0,$AF202-SUMPRODUCT(--($B$4:$K$4&lt;I$4),$B202:$K202-$L202:$U202))),2)</f>
        <v>0</v>
      </c>
      <c r="AD202" s="39" t="n">
        <f aca="false">ROUND(J202-T202-MIN(J202-T202,MAX(0,$AF202-SUMPRODUCT(--($B$4:$K$4&lt;J$4),$B202:$K202-$L202:$U202))),2)</f>
        <v>0</v>
      </c>
      <c r="AE202" s="39" t="n">
        <f aca="false">ROUND(K202-U202-MIN(K202-U202,MAX(0,$AF202-SUMPRODUCT(--($B$4:$K$4&lt;K$4),$B202:$K202-$L202:$U202))),2)</f>
        <v>0</v>
      </c>
      <c r="AF202" s="39" t="n">
        <f aca="false">MAX(0,'Start Here'!$C$5-SUM($L202:$U202))</f>
        <v>1200</v>
      </c>
      <c r="AG202" s="39" t="n">
        <f aca="false">SUM(V202:AE202)</f>
        <v>0</v>
      </c>
      <c r="AH202" s="39" t="n">
        <f aca="false">SUM(B202:K202)-AG201</f>
        <v>0</v>
      </c>
    </row>
    <row r="203" customFormat="false" ht="15" hidden="false" customHeight="false" outlineLevel="0" collapsed="false">
      <c r="A203" s="40" t="n">
        <f aca="false">DATE(YEAR('Start Here'!$C$6),MONTH('Start Here'!$C$6)+196,1)</f>
        <v>52263</v>
      </c>
      <c r="B203" s="39" t="n">
        <f aca="false">ROUND(V202*(1+N('My Debts'!$D$6)/12),2)</f>
        <v>0</v>
      </c>
      <c r="C203" s="39" t="n">
        <f aca="false">ROUND(W202*(1+N('My Debts'!$D$7)/12),2)</f>
        <v>0</v>
      </c>
      <c r="D203" s="39" t="n">
        <f aca="false">ROUND(X202*(1+N('My Debts'!$D$8)/12),2)</f>
        <v>0</v>
      </c>
      <c r="E203" s="39" t="n">
        <f aca="false">ROUND(Y202*(1+N('My Debts'!$D$9)/12),2)</f>
        <v>0</v>
      </c>
      <c r="F203" s="39" t="n">
        <f aca="false">ROUND(Z202*(1+N('My Debts'!$D$10)/12),2)</f>
        <v>0</v>
      </c>
      <c r="G203" s="39" t="n">
        <f aca="false">ROUND(AA202*(1+N('My Debts'!$D$11)/12),2)</f>
        <v>0</v>
      </c>
      <c r="H203" s="39" t="n">
        <f aca="false">ROUND(AB202*(1+N('My Debts'!$D$12)/12),2)</f>
        <v>0</v>
      </c>
      <c r="I203" s="39" t="n">
        <f aca="false">ROUND(AC202*(1+N('My Debts'!$D$13)/12),2)</f>
        <v>0</v>
      </c>
      <c r="J203" s="39" t="n">
        <f aca="false">ROUND(AD202*(1+N('My Debts'!$D$14)/12),2)</f>
        <v>0</v>
      </c>
      <c r="K203" s="39" t="n">
        <f aca="false">ROUND(AE202*(1+N('My Debts'!$D$15)/12),2)</f>
        <v>0</v>
      </c>
      <c r="L203" s="39" t="n">
        <f aca="false">MIN(N('My Debts'!$E$6),B203)</f>
        <v>0</v>
      </c>
      <c r="M203" s="39" t="n">
        <f aca="false">MIN(N('My Debts'!$E$7),C203)</f>
        <v>0</v>
      </c>
      <c r="N203" s="39" t="n">
        <f aca="false">MIN(N('My Debts'!$E$8),D203)</f>
        <v>0</v>
      </c>
      <c r="O203" s="39" t="n">
        <f aca="false">MIN(N('My Debts'!$E$9),E203)</f>
        <v>0</v>
      </c>
      <c r="P203" s="39" t="n">
        <f aca="false">MIN(N('My Debts'!$E$10),F203)</f>
        <v>0</v>
      </c>
      <c r="Q203" s="39" t="n">
        <f aca="false">MIN(N('My Debts'!$E$11),G203)</f>
        <v>0</v>
      </c>
      <c r="R203" s="39" t="n">
        <f aca="false">MIN(N('My Debts'!$E$12),H203)</f>
        <v>0</v>
      </c>
      <c r="S203" s="39" t="n">
        <f aca="false">MIN(N('My Debts'!$E$13),I203)</f>
        <v>0</v>
      </c>
      <c r="T203" s="39" t="n">
        <f aca="false">MIN(N('My Debts'!$E$14),J203)</f>
        <v>0</v>
      </c>
      <c r="U203" s="39" t="n">
        <f aca="false">MIN(N('My Debts'!$E$15),K203)</f>
        <v>0</v>
      </c>
      <c r="V203" s="39" t="n">
        <f aca="false">ROUND(B203-L203-MIN(B203-L203,MAX(0,$AF203-SUMPRODUCT(--($B$4:$K$4&lt;B$4),$B203:$K203-$L203:$U203))),2)</f>
        <v>0</v>
      </c>
      <c r="W203" s="39" t="n">
        <f aca="false">ROUND(C203-M203-MIN(C203-M203,MAX(0,$AF203-SUMPRODUCT(--($B$4:$K$4&lt;C$4),$B203:$K203-$L203:$U203))),2)</f>
        <v>0</v>
      </c>
      <c r="X203" s="39" t="n">
        <f aca="false">ROUND(D203-N203-MIN(D203-N203,MAX(0,$AF203-SUMPRODUCT(--($B$4:$K$4&lt;D$4),$B203:$K203-$L203:$U203))),2)</f>
        <v>0</v>
      </c>
      <c r="Y203" s="39" t="n">
        <f aca="false">ROUND(E203-O203-MIN(E203-O203,MAX(0,$AF203-SUMPRODUCT(--($B$4:$K$4&lt;E$4),$B203:$K203-$L203:$U203))),2)</f>
        <v>0</v>
      </c>
      <c r="Z203" s="39" t="n">
        <f aca="false">ROUND(F203-P203-MIN(F203-P203,MAX(0,$AF203-SUMPRODUCT(--($B$4:$K$4&lt;F$4),$B203:$K203-$L203:$U203))),2)</f>
        <v>0</v>
      </c>
      <c r="AA203" s="39" t="n">
        <f aca="false">ROUND(G203-Q203-MIN(G203-Q203,MAX(0,$AF203-SUMPRODUCT(--($B$4:$K$4&lt;G$4),$B203:$K203-$L203:$U203))),2)</f>
        <v>0</v>
      </c>
      <c r="AB203" s="39" t="n">
        <f aca="false">ROUND(H203-R203-MIN(H203-R203,MAX(0,$AF203-SUMPRODUCT(--($B$4:$K$4&lt;H$4),$B203:$K203-$L203:$U203))),2)</f>
        <v>0</v>
      </c>
      <c r="AC203" s="39" t="n">
        <f aca="false">ROUND(I203-S203-MIN(I203-S203,MAX(0,$AF203-SUMPRODUCT(--($B$4:$K$4&lt;I$4),$B203:$K203-$L203:$U203))),2)</f>
        <v>0</v>
      </c>
      <c r="AD203" s="39" t="n">
        <f aca="false">ROUND(J203-T203-MIN(J203-T203,MAX(0,$AF203-SUMPRODUCT(--($B$4:$K$4&lt;J$4),$B203:$K203-$L203:$U203))),2)</f>
        <v>0</v>
      </c>
      <c r="AE203" s="39" t="n">
        <f aca="false">ROUND(K203-U203-MIN(K203-U203,MAX(0,$AF203-SUMPRODUCT(--($B$4:$K$4&lt;K$4),$B203:$K203-$L203:$U203))),2)</f>
        <v>0</v>
      </c>
      <c r="AF203" s="39" t="n">
        <f aca="false">MAX(0,'Start Here'!$C$5-SUM($L203:$U203))</f>
        <v>1200</v>
      </c>
      <c r="AG203" s="39" t="n">
        <f aca="false">SUM(V203:AE203)</f>
        <v>0</v>
      </c>
      <c r="AH203" s="39" t="n">
        <f aca="false">SUM(B203:K203)-AG202</f>
        <v>0</v>
      </c>
    </row>
    <row r="204" customFormat="false" ht="15" hidden="false" customHeight="false" outlineLevel="0" collapsed="false">
      <c r="A204" s="40" t="n">
        <f aca="false">DATE(YEAR('Start Here'!$C$6),MONTH('Start Here'!$C$6)+197,1)</f>
        <v>52291</v>
      </c>
      <c r="B204" s="39" t="n">
        <f aca="false">ROUND(V203*(1+N('My Debts'!$D$6)/12),2)</f>
        <v>0</v>
      </c>
      <c r="C204" s="39" t="n">
        <f aca="false">ROUND(W203*(1+N('My Debts'!$D$7)/12),2)</f>
        <v>0</v>
      </c>
      <c r="D204" s="39" t="n">
        <f aca="false">ROUND(X203*(1+N('My Debts'!$D$8)/12),2)</f>
        <v>0</v>
      </c>
      <c r="E204" s="39" t="n">
        <f aca="false">ROUND(Y203*(1+N('My Debts'!$D$9)/12),2)</f>
        <v>0</v>
      </c>
      <c r="F204" s="39" t="n">
        <f aca="false">ROUND(Z203*(1+N('My Debts'!$D$10)/12),2)</f>
        <v>0</v>
      </c>
      <c r="G204" s="39" t="n">
        <f aca="false">ROUND(AA203*(1+N('My Debts'!$D$11)/12),2)</f>
        <v>0</v>
      </c>
      <c r="H204" s="39" t="n">
        <f aca="false">ROUND(AB203*(1+N('My Debts'!$D$12)/12),2)</f>
        <v>0</v>
      </c>
      <c r="I204" s="39" t="n">
        <f aca="false">ROUND(AC203*(1+N('My Debts'!$D$13)/12),2)</f>
        <v>0</v>
      </c>
      <c r="J204" s="39" t="n">
        <f aca="false">ROUND(AD203*(1+N('My Debts'!$D$14)/12),2)</f>
        <v>0</v>
      </c>
      <c r="K204" s="39" t="n">
        <f aca="false">ROUND(AE203*(1+N('My Debts'!$D$15)/12),2)</f>
        <v>0</v>
      </c>
      <c r="L204" s="39" t="n">
        <f aca="false">MIN(N('My Debts'!$E$6),B204)</f>
        <v>0</v>
      </c>
      <c r="M204" s="39" t="n">
        <f aca="false">MIN(N('My Debts'!$E$7),C204)</f>
        <v>0</v>
      </c>
      <c r="N204" s="39" t="n">
        <f aca="false">MIN(N('My Debts'!$E$8),D204)</f>
        <v>0</v>
      </c>
      <c r="O204" s="39" t="n">
        <f aca="false">MIN(N('My Debts'!$E$9),E204)</f>
        <v>0</v>
      </c>
      <c r="P204" s="39" t="n">
        <f aca="false">MIN(N('My Debts'!$E$10),F204)</f>
        <v>0</v>
      </c>
      <c r="Q204" s="39" t="n">
        <f aca="false">MIN(N('My Debts'!$E$11),G204)</f>
        <v>0</v>
      </c>
      <c r="R204" s="39" t="n">
        <f aca="false">MIN(N('My Debts'!$E$12),H204)</f>
        <v>0</v>
      </c>
      <c r="S204" s="39" t="n">
        <f aca="false">MIN(N('My Debts'!$E$13),I204)</f>
        <v>0</v>
      </c>
      <c r="T204" s="39" t="n">
        <f aca="false">MIN(N('My Debts'!$E$14),J204)</f>
        <v>0</v>
      </c>
      <c r="U204" s="39" t="n">
        <f aca="false">MIN(N('My Debts'!$E$15),K204)</f>
        <v>0</v>
      </c>
      <c r="V204" s="39" t="n">
        <f aca="false">ROUND(B204-L204-MIN(B204-L204,MAX(0,$AF204-SUMPRODUCT(--($B$4:$K$4&lt;B$4),$B204:$K204-$L204:$U204))),2)</f>
        <v>0</v>
      </c>
      <c r="W204" s="39" t="n">
        <f aca="false">ROUND(C204-M204-MIN(C204-M204,MAX(0,$AF204-SUMPRODUCT(--($B$4:$K$4&lt;C$4),$B204:$K204-$L204:$U204))),2)</f>
        <v>0</v>
      </c>
      <c r="X204" s="39" t="n">
        <f aca="false">ROUND(D204-N204-MIN(D204-N204,MAX(0,$AF204-SUMPRODUCT(--($B$4:$K$4&lt;D$4),$B204:$K204-$L204:$U204))),2)</f>
        <v>0</v>
      </c>
      <c r="Y204" s="39" t="n">
        <f aca="false">ROUND(E204-O204-MIN(E204-O204,MAX(0,$AF204-SUMPRODUCT(--($B$4:$K$4&lt;E$4),$B204:$K204-$L204:$U204))),2)</f>
        <v>0</v>
      </c>
      <c r="Z204" s="39" t="n">
        <f aca="false">ROUND(F204-P204-MIN(F204-P204,MAX(0,$AF204-SUMPRODUCT(--($B$4:$K$4&lt;F$4),$B204:$K204-$L204:$U204))),2)</f>
        <v>0</v>
      </c>
      <c r="AA204" s="39" t="n">
        <f aca="false">ROUND(G204-Q204-MIN(G204-Q204,MAX(0,$AF204-SUMPRODUCT(--($B$4:$K$4&lt;G$4),$B204:$K204-$L204:$U204))),2)</f>
        <v>0</v>
      </c>
      <c r="AB204" s="39" t="n">
        <f aca="false">ROUND(H204-R204-MIN(H204-R204,MAX(0,$AF204-SUMPRODUCT(--($B$4:$K$4&lt;H$4),$B204:$K204-$L204:$U204))),2)</f>
        <v>0</v>
      </c>
      <c r="AC204" s="39" t="n">
        <f aca="false">ROUND(I204-S204-MIN(I204-S204,MAX(0,$AF204-SUMPRODUCT(--($B$4:$K$4&lt;I$4),$B204:$K204-$L204:$U204))),2)</f>
        <v>0</v>
      </c>
      <c r="AD204" s="39" t="n">
        <f aca="false">ROUND(J204-T204-MIN(J204-T204,MAX(0,$AF204-SUMPRODUCT(--($B$4:$K$4&lt;J$4),$B204:$K204-$L204:$U204))),2)</f>
        <v>0</v>
      </c>
      <c r="AE204" s="39" t="n">
        <f aca="false">ROUND(K204-U204-MIN(K204-U204,MAX(0,$AF204-SUMPRODUCT(--($B$4:$K$4&lt;K$4),$B204:$K204-$L204:$U204))),2)</f>
        <v>0</v>
      </c>
      <c r="AF204" s="39" t="n">
        <f aca="false">MAX(0,'Start Here'!$C$5-SUM($L204:$U204))</f>
        <v>1200</v>
      </c>
      <c r="AG204" s="39" t="n">
        <f aca="false">SUM(V204:AE204)</f>
        <v>0</v>
      </c>
      <c r="AH204" s="39" t="n">
        <f aca="false">SUM(B204:K204)-AG203</f>
        <v>0</v>
      </c>
    </row>
    <row r="205" customFormat="false" ht="15" hidden="false" customHeight="false" outlineLevel="0" collapsed="false">
      <c r="A205" s="40" t="n">
        <f aca="false">DATE(YEAR('Start Here'!$C$6),MONTH('Start Here'!$C$6)+198,1)</f>
        <v>52322</v>
      </c>
      <c r="B205" s="39" t="n">
        <f aca="false">ROUND(V204*(1+N('My Debts'!$D$6)/12),2)</f>
        <v>0</v>
      </c>
      <c r="C205" s="39" t="n">
        <f aca="false">ROUND(W204*(1+N('My Debts'!$D$7)/12),2)</f>
        <v>0</v>
      </c>
      <c r="D205" s="39" t="n">
        <f aca="false">ROUND(X204*(1+N('My Debts'!$D$8)/12),2)</f>
        <v>0</v>
      </c>
      <c r="E205" s="39" t="n">
        <f aca="false">ROUND(Y204*(1+N('My Debts'!$D$9)/12),2)</f>
        <v>0</v>
      </c>
      <c r="F205" s="39" t="n">
        <f aca="false">ROUND(Z204*(1+N('My Debts'!$D$10)/12),2)</f>
        <v>0</v>
      </c>
      <c r="G205" s="39" t="n">
        <f aca="false">ROUND(AA204*(1+N('My Debts'!$D$11)/12),2)</f>
        <v>0</v>
      </c>
      <c r="H205" s="39" t="n">
        <f aca="false">ROUND(AB204*(1+N('My Debts'!$D$12)/12),2)</f>
        <v>0</v>
      </c>
      <c r="I205" s="39" t="n">
        <f aca="false">ROUND(AC204*(1+N('My Debts'!$D$13)/12),2)</f>
        <v>0</v>
      </c>
      <c r="J205" s="39" t="n">
        <f aca="false">ROUND(AD204*(1+N('My Debts'!$D$14)/12),2)</f>
        <v>0</v>
      </c>
      <c r="K205" s="39" t="n">
        <f aca="false">ROUND(AE204*(1+N('My Debts'!$D$15)/12),2)</f>
        <v>0</v>
      </c>
      <c r="L205" s="39" t="n">
        <f aca="false">MIN(N('My Debts'!$E$6),B205)</f>
        <v>0</v>
      </c>
      <c r="M205" s="39" t="n">
        <f aca="false">MIN(N('My Debts'!$E$7),C205)</f>
        <v>0</v>
      </c>
      <c r="N205" s="39" t="n">
        <f aca="false">MIN(N('My Debts'!$E$8),D205)</f>
        <v>0</v>
      </c>
      <c r="O205" s="39" t="n">
        <f aca="false">MIN(N('My Debts'!$E$9),E205)</f>
        <v>0</v>
      </c>
      <c r="P205" s="39" t="n">
        <f aca="false">MIN(N('My Debts'!$E$10),F205)</f>
        <v>0</v>
      </c>
      <c r="Q205" s="39" t="n">
        <f aca="false">MIN(N('My Debts'!$E$11),G205)</f>
        <v>0</v>
      </c>
      <c r="R205" s="39" t="n">
        <f aca="false">MIN(N('My Debts'!$E$12),H205)</f>
        <v>0</v>
      </c>
      <c r="S205" s="39" t="n">
        <f aca="false">MIN(N('My Debts'!$E$13),I205)</f>
        <v>0</v>
      </c>
      <c r="T205" s="39" t="n">
        <f aca="false">MIN(N('My Debts'!$E$14),J205)</f>
        <v>0</v>
      </c>
      <c r="U205" s="39" t="n">
        <f aca="false">MIN(N('My Debts'!$E$15),K205)</f>
        <v>0</v>
      </c>
      <c r="V205" s="39" t="n">
        <f aca="false">ROUND(B205-L205-MIN(B205-L205,MAX(0,$AF205-SUMPRODUCT(--($B$4:$K$4&lt;B$4),$B205:$K205-$L205:$U205))),2)</f>
        <v>0</v>
      </c>
      <c r="W205" s="39" t="n">
        <f aca="false">ROUND(C205-M205-MIN(C205-M205,MAX(0,$AF205-SUMPRODUCT(--($B$4:$K$4&lt;C$4),$B205:$K205-$L205:$U205))),2)</f>
        <v>0</v>
      </c>
      <c r="X205" s="39" t="n">
        <f aca="false">ROUND(D205-N205-MIN(D205-N205,MAX(0,$AF205-SUMPRODUCT(--($B$4:$K$4&lt;D$4),$B205:$K205-$L205:$U205))),2)</f>
        <v>0</v>
      </c>
      <c r="Y205" s="39" t="n">
        <f aca="false">ROUND(E205-O205-MIN(E205-O205,MAX(0,$AF205-SUMPRODUCT(--($B$4:$K$4&lt;E$4),$B205:$K205-$L205:$U205))),2)</f>
        <v>0</v>
      </c>
      <c r="Z205" s="39" t="n">
        <f aca="false">ROUND(F205-P205-MIN(F205-P205,MAX(0,$AF205-SUMPRODUCT(--($B$4:$K$4&lt;F$4),$B205:$K205-$L205:$U205))),2)</f>
        <v>0</v>
      </c>
      <c r="AA205" s="39" t="n">
        <f aca="false">ROUND(G205-Q205-MIN(G205-Q205,MAX(0,$AF205-SUMPRODUCT(--($B$4:$K$4&lt;G$4),$B205:$K205-$L205:$U205))),2)</f>
        <v>0</v>
      </c>
      <c r="AB205" s="39" t="n">
        <f aca="false">ROUND(H205-R205-MIN(H205-R205,MAX(0,$AF205-SUMPRODUCT(--($B$4:$K$4&lt;H$4),$B205:$K205-$L205:$U205))),2)</f>
        <v>0</v>
      </c>
      <c r="AC205" s="39" t="n">
        <f aca="false">ROUND(I205-S205-MIN(I205-S205,MAX(0,$AF205-SUMPRODUCT(--($B$4:$K$4&lt;I$4),$B205:$K205-$L205:$U205))),2)</f>
        <v>0</v>
      </c>
      <c r="AD205" s="39" t="n">
        <f aca="false">ROUND(J205-T205-MIN(J205-T205,MAX(0,$AF205-SUMPRODUCT(--($B$4:$K$4&lt;J$4),$B205:$K205-$L205:$U205))),2)</f>
        <v>0</v>
      </c>
      <c r="AE205" s="39" t="n">
        <f aca="false">ROUND(K205-U205-MIN(K205-U205,MAX(0,$AF205-SUMPRODUCT(--($B$4:$K$4&lt;K$4),$B205:$K205-$L205:$U205))),2)</f>
        <v>0</v>
      </c>
      <c r="AF205" s="39" t="n">
        <f aca="false">MAX(0,'Start Here'!$C$5-SUM($L205:$U205))</f>
        <v>1200</v>
      </c>
      <c r="AG205" s="39" t="n">
        <f aca="false">SUM(V205:AE205)</f>
        <v>0</v>
      </c>
      <c r="AH205" s="39" t="n">
        <f aca="false">SUM(B205:K205)-AG204</f>
        <v>0</v>
      </c>
    </row>
    <row r="206" customFormat="false" ht="15" hidden="false" customHeight="false" outlineLevel="0" collapsed="false">
      <c r="A206" s="40" t="n">
        <f aca="false">DATE(YEAR('Start Here'!$C$6),MONTH('Start Here'!$C$6)+199,1)</f>
        <v>52352</v>
      </c>
      <c r="B206" s="39" t="n">
        <f aca="false">ROUND(V205*(1+N('My Debts'!$D$6)/12),2)</f>
        <v>0</v>
      </c>
      <c r="C206" s="39" t="n">
        <f aca="false">ROUND(W205*(1+N('My Debts'!$D$7)/12),2)</f>
        <v>0</v>
      </c>
      <c r="D206" s="39" t="n">
        <f aca="false">ROUND(X205*(1+N('My Debts'!$D$8)/12),2)</f>
        <v>0</v>
      </c>
      <c r="E206" s="39" t="n">
        <f aca="false">ROUND(Y205*(1+N('My Debts'!$D$9)/12),2)</f>
        <v>0</v>
      </c>
      <c r="F206" s="39" t="n">
        <f aca="false">ROUND(Z205*(1+N('My Debts'!$D$10)/12),2)</f>
        <v>0</v>
      </c>
      <c r="G206" s="39" t="n">
        <f aca="false">ROUND(AA205*(1+N('My Debts'!$D$11)/12),2)</f>
        <v>0</v>
      </c>
      <c r="H206" s="39" t="n">
        <f aca="false">ROUND(AB205*(1+N('My Debts'!$D$12)/12),2)</f>
        <v>0</v>
      </c>
      <c r="I206" s="39" t="n">
        <f aca="false">ROUND(AC205*(1+N('My Debts'!$D$13)/12),2)</f>
        <v>0</v>
      </c>
      <c r="J206" s="39" t="n">
        <f aca="false">ROUND(AD205*(1+N('My Debts'!$D$14)/12),2)</f>
        <v>0</v>
      </c>
      <c r="K206" s="39" t="n">
        <f aca="false">ROUND(AE205*(1+N('My Debts'!$D$15)/12),2)</f>
        <v>0</v>
      </c>
      <c r="L206" s="39" t="n">
        <f aca="false">MIN(N('My Debts'!$E$6),B206)</f>
        <v>0</v>
      </c>
      <c r="M206" s="39" t="n">
        <f aca="false">MIN(N('My Debts'!$E$7),C206)</f>
        <v>0</v>
      </c>
      <c r="N206" s="39" t="n">
        <f aca="false">MIN(N('My Debts'!$E$8),D206)</f>
        <v>0</v>
      </c>
      <c r="O206" s="39" t="n">
        <f aca="false">MIN(N('My Debts'!$E$9),E206)</f>
        <v>0</v>
      </c>
      <c r="P206" s="39" t="n">
        <f aca="false">MIN(N('My Debts'!$E$10),F206)</f>
        <v>0</v>
      </c>
      <c r="Q206" s="39" t="n">
        <f aca="false">MIN(N('My Debts'!$E$11),G206)</f>
        <v>0</v>
      </c>
      <c r="R206" s="39" t="n">
        <f aca="false">MIN(N('My Debts'!$E$12),H206)</f>
        <v>0</v>
      </c>
      <c r="S206" s="39" t="n">
        <f aca="false">MIN(N('My Debts'!$E$13),I206)</f>
        <v>0</v>
      </c>
      <c r="T206" s="39" t="n">
        <f aca="false">MIN(N('My Debts'!$E$14),J206)</f>
        <v>0</v>
      </c>
      <c r="U206" s="39" t="n">
        <f aca="false">MIN(N('My Debts'!$E$15),K206)</f>
        <v>0</v>
      </c>
      <c r="V206" s="39" t="n">
        <f aca="false">ROUND(B206-L206-MIN(B206-L206,MAX(0,$AF206-SUMPRODUCT(--($B$4:$K$4&lt;B$4),$B206:$K206-$L206:$U206))),2)</f>
        <v>0</v>
      </c>
      <c r="W206" s="39" t="n">
        <f aca="false">ROUND(C206-M206-MIN(C206-M206,MAX(0,$AF206-SUMPRODUCT(--($B$4:$K$4&lt;C$4),$B206:$K206-$L206:$U206))),2)</f>
        <v>0</v>
      </c>
      <c r="X206" s="39" t="n">
        <f aca="false">ROUND(D206-N206-MIN(D206-N206,MAX(0,$AF206-SUMPRODUCT(--($B$4:$K$4&lt;D$4),$B206:$K206-$L206:$U206))),2)</f>
        <v>0</v>
      </c>
      <c r="Y206" s="39" t="n">
        <f aca="false">ROUND(E206-O206-MIN(E206-O206,MAX(0,$AF206-SUMPRODUCT(--($B$4:$K$4&lt;E$4),$B206:$K206-$L206:$U206))),2)</f>
        <v>0</v>
      </c>
      <c r="Z206" s="39" t="n">
        <f aca="false">ROUND(F206-P206-MIN(F206-P206,MAX(0,$AF206-SUMPRODUCT(--($B$4:$K$4&lt;F$4),$B206:$K206-$L206:$U206))),2)</f>
        <v>0</v>
      </c>
      <c r="AA206" s="39" t="n">
        <f aca="false">ROUND(G206-Q206-MIN(G206-Q206,MAX(0,$AF206-SUMPRODUCT(--($B$4:$K$4&lt;G$4),$B206:$K206-$L206:$U206))),2)</f>
        <v>0</v>
      </c>
      <c r="AB206" s="39" t="n">
        <f aca="false">ROUND(H206-R206-MIN(H206-R206,MAX(0,$AF206-SUMPRODUCT(--($B$4:$K$4&lt;H$4),$B206:$K206-$L206:$U206))),2)</f>
        <v>0</v>
      </c>
      <c r="AC206" s="39" t="n">
        <f aca="false">ROUND(I206-S206-MIN(I206-S206,MAX(0,$AF206-SUMPRODUCT(--($B$4:$K$4&lt;I$4),$B206:$K206-$L206:$U206))),2)</f>
        <v>0</v>
      </c>
      <c r="AD206" s="39" t="n">
        <f aca="false">ROUND(J206-T206-MIN(J206-T206,MAX(0,$AF206-SUMPRODUCT(--($B$4:$K$4&lt;J$4),$B206:$K206-$L206:$U206))),2)</f>
        <v>0</v>
      </c>
      <c r="AE206" s="39" t="n">
        <f aca="false">ROUND(K206-U206-MIN(K206-U206,MAX(0,$AF206-SUMPRODUCT(--($B$4:$K$4&lt;K$4),$B206:$K206-$L206:$U206))),2)</f>
        <v>0</v>
      </c>
      <c r="AF206" s="39" t="n">
        <f aca="false">MAX(0,'Start Here'!$C$5-SUM($L206:$U206))</f>
        <v>1200</v>
      </c>
      <c r="AG206" s="39" t="n">
        <f aca="false">SUM(V206:AE206)</f>
        <v>0</v>
      </c>
      <c r="AH206" s="39" t="n">
        <f aca="false">SUM(B206:K206)-AG205</f>
        <v>0</v>
      </c>
    </row>
    <row r="207" customFormat="false" ht="15" hidden="false" customHeight="false" outlineLevel="0" collapsed="false">
      <c r="A207" s="40" t="n">
        <f aca="false">DATE(YEAR('Start Here'!$C$6),MONTH('Start Here'!$C$6)+200,1)</f>
        <v>52383</v>
      </c>
      <c r="B207" s="39" t="n">
        <f aca="false">ROUND(V206*(1+N('My Debts'!$D$6)/12),2)</f>
        <v>0</v>
      </c>
      <c r="C207" s="39" t="n">
        <f aca="false">ROUND(W206*(1+N('My Debts'!$D$7)/12),2)</f>
        <v>0</v>
      </c>
      <c r="D207" s="39" t="n">
        <f aca="false">ROUND(X206*(1+N('My Debts'!$D$8)/12),2)</f>
        <v>0</v>
      </c>
      <c r="E207" s="39" t="n">
        <f aca="false">ROUND(Y206*(1+N('My Debts'!$D$9)/12),2)</f>
        <v>0</v>
      </c>
      <c r="F207" s="39" t="n">
        <f aca="false">ROUND(Z206*(1+N('My Debts'!$D$10)/12),2)</f>
        <v>0</v>
      </c>
      <c r="G207" s="39" t="n">
        <f aca="false">ROUND(AA206*(1+N('My Debts'!$D$11)/12),2)</f>
        <v>0</v>
      </c>
      <c r="H207" s="39" t="n">
        <f aca="false">ROUND(AB206*(1+N('My Debts'!$D$12)/12),2)</f>
        <v>0</v>
      </c>
      <c r="I207" s="39" t="n">
        <f aca="false">ROUND(AC206*(1+N('My Debts'!$D$13)/12),2)</f>
        <v>0</v>
      </c>
      <c r="J207" s="39" t="n">
        <f aca="false">ROUND(AD206*(1+N('My Debts'!$D$14)/12),2)</f>
        <v>0</v>
      </c>
      <c r="K207" s="39" t="n">
        <f aca="false">ROUND(AE206*(1+N('My Debts'!$D$15)/12),2)</f>
        <v>0</v>
      </c>
      <c r="L207" s="39" t="n">
        <f aca="false">MIN(N('My Debts'!$E$6),B207)</f>
        <v>0</v>
      </c>
      <c r="M207" s="39" t="n">
        <f aca="false">MIN(N('My Debts'!$E$7),C207)</f>
        <v>0</v>
      </c>
      <c r="N207" s="39" t="n">
        <f aca="false">MIN(N('My Debts'!$E$8),D207)</f>
        <v>0</v>
      </c>
      <c r="O207" s="39" t="n">
        <f aca="false">MIN(N('My Debts'!$E$9),E207)</f>
        <v>0</v>
      </c>
      <c r="P207" s="39" t="n">
        <f aca="false">MIN(N('My Debts'!$E$10),F207)</f>
        <v>0</v>
      </c>
      <c r="Q207" s="39" t="n">
        <f aca="false">MIN(N('My Debts'!$E$11),G207)</f>
        <v>0</v>
      </c>
      <c r="R207" s="39" t="n">
        <f aca="false">MIN(N('My Debts'!$E$12),H207)</f>
        <v>0</v>
      </c>
      <c r="S207" s="39" t="n">
        <f aca="false">MIN(N('My Debts'!$E$13),I207)</f>
        <v>0</v>
      </c>
      <c r="T207" s="39" t="n">
        <f aca="false">MIN(N('My Debts'!$E$14),J207)</f>
        <v>0</v>
      </c>
      <c r="U207" s="39" t="n">
        <f aca="false">MIN(N('My Debts'!$E$15),K207)</f>
        <v>0</v>
      </c>
      <c r="V207" s="39" t="n">
        <f aca="false">ROUND(B207-L207-MIN(B207-L207,MAX(0,$AF207-SUMPRODUCT(--($B$4:$K$4&lt;B$4),$B207:$K207-$L207:$U207))),2)</f>
        <v>0</v>
      </c>
      <c r="W207" s="39" t="n">
        <f aca="false">ROUND(C207-M207-MIN(C207-M207,MAX(0,$AF207-SUMPRODUCT(--($B$4:$K$4&lt;C$4),$B207:$K207-$L207:$U207))),2)</f>
        <v>0</v>
      </c>
      <c r="X207" s="39" t="n">
        <f aca="false">ROUND(D207-N207-MIN(D207-N207,MAX(0,$AF207-SUMPRODUCT(--($B$4:$K$4&lt;D$4),$B207:$K207-$L207:$U207))),2)</f>
        <v>0</v>
      </c>
      <c r="Y207" s="39" t="n">
        <f aca="false">ROUND(E207-O207-MIN(E207-O207,MAX(0,$AF207-SUMPRODUCT(--($B$4:$K$4&lt;E$4),$B207:$K207-$L207:$U207))),2)</f>
        <v>0</v>
      </c>
      <c r="Z207" s="39" t="n">
        <f aca="false">ROUND(F207-P207-MIN(F207-P207,MAX(0,$AF207-SUMPRODUCT(--($B$4:$K$4&lt;F$4),$B207:$K207-$L207:$U207))),2)</f>
        <v>0</v>
      </c>
      <c r="AA207" s="39" t="n">
        <f aca="false">ROUND(G207-Q207-MIN(G207-Q207,MAX(0,$AF207-SUMPRODUCT(--($B$4:$K$4&lt;G$4),$B207:$K207-$L207:$U207))),2)</f>
        <v>0</v>
      </c>
      <c r="AB207" s="39" t="n">
        <f aca="false">ROUND(H207-R207-MIN(H207-R207,MAX(0,$AF207-SUMPRODUCT(--($B$4:$K$4&lt;H$4),$B207:$K207-$L207:$U207))),2)</f>
        <v>0</v>
      </c>
      <c r="AC207" s="39" t="n">
        <f aca="false">ROUND(I207-S207-MIN(I207-S207,MAX(0,$AF207-SUMPRODUCT(--($B$4:$K$4&lt;I$4),$B207:$K207-$L207:$U207))),2)</f>
        <v>0</v>
      </c>
      <c r="AD207" s="39" t="n">
        <f aca="false">ROUND(J207-T207-MIN(J207-T207,MAX(0,$AF207-SUMPRODUCT(--($B$4:$K$4&lt;J$4),$B207:$K207-$L207:$U207))),2)</f>
        <v>0</v>
      </c>
      <c r="AE207" s="39" t="n">
        <f aca="false">ROUND(K207-U207-MIN(K207-U207,MAX(0,$AF207-SUMPRODUCT(--($B$4:$K$4&lt;K$4),$B207:$K207-$L207:$U207))),2)</f>
        <v>0</v>
      </c>
      <c r="AF207" s="39" t="n">
        <f aca="false">MAX(0,'Start Here'!$C$5-SUM($L207:$U207))</f>
        <v>1200</v>
      </c>
      <c r="AG207" s="39" t="n">
        <f aca="false">SUM(V207:AE207)</f>
        <v>0</v>
      </c>
      <c r="AH207" s="39" t="n">
        <f aca="false">SUM(B207:K207)-AG206</f>
        <v>0</v>
      </c>
    </row>
    <row r="208" customFormat="false" ht="15" hidden="false" customHeight="false" outlineLevel="0" collapsed="false">
      <c r="A208" s="40" t="n">
        <f aca="false">DATE(YEAR('Start Here'!$C$6),MONTH('Start Here'!$C$6)+201,1)</f>
        <v>52413</v>
      </c>
      <c r="B208" s="39" t="n">
        <f aca="false">ROUND(V207*(1+N('My Debts'!$D$6)/12),2)</f>
        <v>0</v>
      </c>
      <c r="C208" s="39" t="n">
        <f aca="false">ROUND(W207*(1+N('My Debts'!$D$7)/12),2)</f>
        <v>0</v>
      </c>
      <c r="D208" s="39" t="n">
        <f aca="false">ROUND(X207*(1+N('My Debts'!$D$8)/12),2)</f>
        <v>0</v>
      </c>
      <c r="E208" s="39" t="n">
        <f aca="false">ROUND(Y207*(1+N('My Debts'!$D$9)/12),2)</f>
        <v>0</v>
      </c>
      <c r="F208" s="39" t="n">
        <f aca="false">ROUND(Z207*(1+N('My Debts'!$D$10)/12),2)</f>
        <v>0</v>
      </c>
      <c r="G208" s="39" t="n">
        <f aca="false">ROUND(AA207*(1+N('My Debts'!$D$11)/12),2)</f>
        <v>0</v>
      </c>
      <c r="H208" s="39" t="n">
        <f aca="false">ROUND(AB207*(1+N('My Debts'!$D$12)/12),2)</f>
        <v>0</v>
      </c>
      <c r="I208" s="39" t="n">
        <f aca="false">ROUND(AC207*(1+N('My Debts'!$D$13)/12),2)</f>
        <v>0</v>
      </c>
      <c r="J208" s="39" t="n">
        <f aca="false">ROUND(AD207*(1+N('My Debts'!$D$14)/12),2)</f>
        <v>0</v>
      </c>
      <c r="K208" s="39" t="n">
        <f aca="false">ROUND(AE207*(1+N('My Debts'!$D$15)/12),2)</f>
        <v>0</v>
      </c>
      <c r="L208" s="39" t="n">
        <f aca="false">MIN(N('My Debts'!$E$6),B208)</f>
        <v>0</v>
      </c>
      <c r="M208" s="39" t="n">
        <f aca="false">MIN(N('My Debts'!$E$7),C208)</f>
        <v>0</v>
      </c>
      <c r="N208" s="39" t="n">
        <f aca="false">MIN(N('My Debts'!$E$8),D208)</f>
        <v>0</v>
      </c>
      <c r="O208" s="39" t="n">
        <f aca="false">MIN(N('My Debts'!$E$9),E208)</f>
        <v>0</v>
      </c>
      <c r="P208" s="39" t="n">
        <f aca="false">MIN(N('My Debts'!$E$10),F208)</f>
        <v>0</v>
      </c>
      <c r="Q208" s="39" t="n">
        <f aca="false">MIN(N('My Debts'!$E$11),G208)</f>
        <v>0</v>
      </c>
      <c r="R208" s="39" t="n">
        <f aca="false">MIN(N('My Debts'!$E$12),H208)</f>
        <v>0</v>
      </c>
      <c r="S208" s="39" t="n">
        <f aca="false">MIN(N('My Debts'!$E$13),I208)</f>
        <v>0</v>
      </c>
      <c r="T208" s="39" t="n">
        <f aca="false">MIN(N('My Debts'!$E$14),J208)</f>
        <v>0</v>
      </c>
      <c r="U208" s="39" t="n">
        <f aca="false">MIN(N('My Debts'!$E$15),K208)</f>
        <v>0</v>
      </c>
      <c r="V208" s="39" t="n">
        <f aca="false">ROUND(B208-L208-MIN(B208-L208,MAX(0,$AF208-SUMPRODUCT(--($B$4:$K$4&lt;B$4),$B208:$K208-$L208:$U208))),2)</f>
        <v>0</v>
      </c>
      <c r="W208" s="39" t="n">
        <f aca="false">ROUND(C208-M208-MIN(C208-M208,MAX(0,$AF208-SUMPRODUCT(--($B$4:$K$4&lt;C$4),$B208:$K208-$L208:$U208))),2)</f>
        <v>0</v>
      </c>
      <c r="X208" s="39" t="n">
        <f aca="false">ROUND(D208-N208-MIN(D208-N208,MAX(0,$AF208-SUMPRODUCT(--($B$4:$K$4&lt;D$4),$B208:$K208-$L208:$U208))),2)</f>
        <v>0</v>
      </c>
      <c r="Y208" s="39" t="n">
        <f aca="false">ROUND(E208-O208-MIN(E208-O208,MAX(0,$AF208-SUMPRODUCT(--($B$4:$K$4&lt;E$4),$B208:$K208-$L208:$U208))),2)</f>
        <v>0</v>
      </c>
      <c r="Z208" s="39" t="n">
        <f aca="false">ROUND(F208-P208-MIN(F208-P208,MAX(0,$AF208-SUMPRODUCT(--($B$4:$K$4&lt;F$4),$B208:$K208-$L208:$U208))),2)</f>
        <v>0</v>
      </c>
      <c r="AA208" s="39" t="n">
        <f aca="false">ROUND(G208-Q208-MIN(G208-Q208,MAX(0,$AF208-SUMPRODUCT(--($B$4:$K$4&lt;G$4),$B208:$K208-$L208:$U208))),2)</f>
        <v>0</v>
      </c>
      <c r="AB208" s="39" t="n">
        <f aca="false">ROUND(H208-R208-MIN(H208-R208,MAX(0,$AF208-SUMPRODUCT(--($B$4:$K$4&lt;H$4),$B208:$K208-$L208:$U208))),2)</f>
        <v>0</v>
      </c>
      <c r="AC208" s="39" t="n">
        <f aca="false">ROUND(I208-S208-MIN(I208-S208,MAX(0,$AF208-SUMPRODUCT(--($B$4:$K$4&lt;I$4),$B208:$K208-$L208:$U208))),2)</f>
        <v>0</v>
      </c>
      <c r="AD208" s="39" t="n">
        <f aca="false">ROUND(J208-T208-MIN(J208-T208,MAX(0,$AF208-SUMPRODUCT(--($B$4:$K$4&lt;J$4),$B208:$K208-$L208:$U208))),2)</f>
        <v>0</v>
      </c>
      <c r="AE208" s="39" t="n">
        <f aca="false">ROUND(K208-U208-MIN(K208-U208,MAX(0,$AF208-SUMPRODUCT(--($B$4:$K$4&lt;K$4),$B208:$K208-$L208:$U208))),2)</f>
        <v>0</v>
      </c>
      <c r="AF208" s="39" t="n">
        <f aca="false">MAX(0,'Start Here'!$C$5-SUM($L208:$U208))</f>
        <v>1200</v>
      </c>
      <c r="AG208" s="39" t="n">
        <f aca="false">SUM(V208:AE208)</f>
        <v>0</v>
      </c>
      <c r="AH208" s="39" t="n">
        <f aca="false">SUM(B208:K208)-AG207</f>
        <v>0</v>
      </c>
    </row>
    <row r="209" customFormat="false" ht="15" hidden="false" customHeight="false" outlineLevel="0" collapsed="false">
      <c r="A209" s="40" t="n">
        <f aca="false">DATE(YEAR('Start Here'!$C$6),MONTH('Start Here'!$C$6)+202,1)</f>
        <v>52444</v>
      </c>
      <c r="B209" s="39" t="n">
        <f aca="false">ROUND(V208*(1+N('My Debts'!$D$6)/12),2)</f>
        <v>0</v>
      </c>
      <c r="C209" s="39" t="n">
        <f aca="false">ROUND(W208*(1+N('My Debts'!$D$7)/12),2)</f>
        <v>0</v>
      </c>
      <c r="D209" s="39" t="n">
        <f aca="false">ROUND(X208*(1+N('My Debts'!$D$8)/12),2)</f>
        <v>0</v>
      </c>
      <c r="E209" s="39" t="n">
        <f aca="false">ROUND(Y208*(1+N('My Debts'!$D$9)/12),2)</f>
        <v>0</v>
      </c>
      <c r="F209" s="39" t="n">
        <f aca="false">ROUND(Z208*(1+N('My Debts'!$D$10)/12),2)</f>
        <v>0</v>
      </c>
      <c r="G209" s="39" t="n">
        <f aca="false">ROUND(AA208*(1+N('My Debts'!$D$11)/12),2)</f>
        <v>0</v>
      </c>
      <c r="H209" s="39" t="n">
        <f aca="false">ROUND(AB208*(1+N('My Debts'!$D$12)/12),2)</f>
        <v>0</v>
      </c>
      <c r="I209" s="39" t="n">
        <f aca="false">ROUND(AC208*(1+N('My Debts'!$D$13)/12),2)</f>
        <v>0</v>
      </c>
      <c r="J209" s="39" t="n">
        <f aca="false">ROUND(AD208*(1+N('My Debts'!$D$14)/12),2)</f>
        <v>0</v>
      </c>
      <c r="K209" s="39" t="n">
        <f aca="false">ROUND(AE208*(1+N('My Debts'!$D$15)/12),2)</f>
        <v>0</v>
      </c>
      <c r="L209" s="39" t="n">
        <f aca="false">MIN(N('My Debts'!$E$6),B209)</f>
        <v>0</v>
      </c>
      <c r="M209" s="39" t="n">
        <f aca="false">MIN(N('My Debts'!$E$7),C209)</f>
        <v>0</v>
      </c>
      <c r="N209" s="39" t="n">
        <f aca="false">MIN(N('My Debts'!$E$8),D209)</f>
        <v>0</v>
      </c>
      <c r="O209" s="39" t="n">
        <f aca="false">MIN(N('My Debts'!$E$9),E209)</f>
        <v>0</v>
      </c>
      <c r="P209" s="39" t="n">
        <f aca="false">MIN(N('My Debts'!$E$10),F209)</f>
        <v>0</v>
      </c>
      <c r="Q209" s="39" t="n">
        <f aca="false">MIN(N('My Debts'!$E$11),G209)</f>
        <v>0</v>
      </c>
      <c r="R209" s="39" t="n">
        <f aca="false">MIN(N('My Debts'!$E$12),H209)</f>
        <v>0</v>
      </c>
      <c r="S209" s="39" t="n">
        <f aca="false">MIN(N('My Debts'!$E$13),I209)</f>
        <v>0</v>
      </c>
      <c r="T209" s="39" t="n">
        <f aca="false">MIN(N('My Debts'!$E$14),J209)</f>
        <v>0</v>
      </c>
      <c r="U209" s="39" t="n">
        <f aca="false">MIN(N('My Debts'!$E$15),K209)</f>
        <v>0</v>
      </c>
      <c r="V209" s="39" t="n">
        <f aca="false">ROUND(B209-L209-MIN(B209-L209,MAX(0,$AF209-SUMPRODUCT(--($B$4:$K$4&lt;B$4),$B209:$K209-$L209:$U209))),2)</f>
        <v>0</v>
      </c>
      <c r="W209" s="39" t="n">
        <f aca="false">ROUND(C209-M209-MIN(C209-M209,MAX(0,$AF209-SUMPRODUCT(--($B$4:$K$4&lt;C$4),$B209:$K209-$L209:$U209))),2)</f>
        <v>0</v>
      </c>
      <c r="X209" s="39" t="n">
        <f aca="false">ROUND(D209-N209-MIN(D209-N209,MAX(0,$AF209-SUMPRODUCT(--($B$4:$K$4&lt;D$4),$B209:$K209-$L209:$U209))),2)</f>
        <v>0</v>
      </c>
      <c r="Y209" s="39" t="n">
        <f aca="false">ROUND(E209-O209-MIN(E209-O209,MAX(0,$AF209-SUMPRODUCT(--($B$4:$K$4&lt;E$4),$B209:$K209-$L209:$U209))),2)</f>
        <v>0</v>
      </c>
      <c r="Z209" s="39" t="n">
        <f aca="false">ROUND(F209-P209-MIN(F209-P209,MAX(0,$AF209-SUMPRODUCT(--($B$4:$K$4&lt;F$4),$B209:$K209-$L209:$U209))),2)</f>
        <v>0</v>
      </c>
      <c r="AA209" s="39" t="n">
        <f aca="false">ROUND(G209-Q209-MIN(G209-Q209,MAX(0,$AF209-SUMPRODUCT(--($B$4:$K$4&lt;G$4),$B209:$K209-$L209:$U209))),2)</f>
        <v>0</v>
      </c>
      <c r="AB209" s="39" t="n">
        <f aca="false">ROUND(H209-R209-MIN(H209-R209,MAX(0,$AF209-SUMPRODUCT(--($B$4:$K$4&lt;H$4),$B209:$K209-$L209:$U209))),2)</f>
        <v>0</v>
      </c>
      <c r="AC209" s="39" t="n">
        <f aca="false">ROUND(I209-S209-MIN(I209-S209,MAX(0,$AF209-SUMPRODUCT(--($B$4:$K$4&lt;I$4),$B209:$K209-$L209:$U209))),2)</f>
        <v>0</v>
      </c>
      <c r="AD209" s="39" t="n">
        <f aca="false">ROUND(J209-T209-MIN(J209-T209,MAX(0,$AF209-SUMPRODUCT(--($B$4:$K$4&lt;J$4),$B209:$K209-$L209:$U209))),2)</f>
        <v>0</v>
      </c>
      <c r="AE209" s="39" t="n">
        <f aca="false">ROUND(K209-U209-MIN(K209-U209,MAX(0,$AF209-SUMPRODUCT(--($B$4:$K$4&lt;K$4),$B209:$K209-$L209:$U209))),2)</f>
        <v>0</v>
      </c>
      <c r="AF209" s="39" t="n">
        <f aca="false">MAX(0,'Start Here'!$C$5-SUM($L209:$U209))</f>
        <v>1200</v>
      </c>
      <c r="AG209" s="39" t="n">
        <f aca="false">SUM(V209:AE209)</f>
        <v>0</v>
      </c>
      <c r="AH209" s="39" t="n">
        <f aca="false">SUM(B209:K209)-AG208</f>
        <v>0</v>
      </c>
    </row>
    <row r="210" customFormat="false" ht="15" hidden="false" customHeight="false" outlineLevel="0" collapsed="false">
      <c r="A210" s="40" t="n">
        <f aca="false">DATE(YEAR('Start Here'!$C$6),MONTH('Start Here'!$C$6)+203,1)</f>
        <v>52475</v>
      </c>
      <c r="B210" s="39" t="n">
        <f aca="false">ROUND(V209*(1+N('My Debts'!$D$6)/12),2)</f>
        <v>0</v>
      </c>
      <c r="C210" s="39" t="n">
        <f aca="false">ROUND(W209*(1+N('My Debts'!$D$7)/12),2)</f>
        <v>0</v>
      </c>
      <c r="D210" s="39" t="n">
        <f aca="false">ROUND(X209*(1+N('My Debts'!$D$8)/12),2)</f>
        <v>0</v>
      </c>
      <c r="E210" s="39" t="n">
        <f aca="false">ROUND(Y209*(1+N('My Debts'!$D$9)/12),2)</f>
        <v>0</v>
      </c>
      <c r="F210" s="39" t="n">
        <f aca="false">ROUND(Z209*(1+N('My Debts'!$D$10)/12),2)</f>
        <v>0</v>
      </c>
      <c r="G210" s="39" t="n">
        <f aca="false">ROUND(AA209*(1+N('My Debts'!$D$11)/12),2)</f>
        <v>0</v>
      </c>
      <c r="H210" s="39" t="n">
        <f aca="false">ROUND(AB209*(1+N('My Debts'!$D$12)/12),2)</f>
        <v>0</v>
      </c>
      <c r="I210" s="39" t="n">
        <f aca="false">ROUND(AC209*(1+N('My Debts'!$D$13)/12),2)</f>
        <v>0</v>
      </c>
      <c r="J210" s="39" t="n">
        <f aca="false">ROUND(AD209*(1+N('My Debts'!$D$14)/12),2)</f>
        <v>0</v>
      </c>
      <c r="K210" s="39" t="n">
        <f aca="false">ROUND(AE209*(1+N('My Debts'!$D$15)/12),2)</f>
        <v>0</v>
      </c>
      <c r="L210" s="39" t="n">
        <f aca="false">MIN(N('My Debts'!$E$6),B210)</f>
        <v>0</v>
      </c>
      <c r="M210" s="39" t="n">
        <f aca="false">MIN(N('My Debts'!$E$7),C210)</f>
        <v>0</v>
      </c>
      <c r="N210" s="39" t="n">
        <f aca="false">MIN(N('My Debts'!$E$8),D210)</f>
        <v>0</v>
      </c>
      <c r="O210" s="39" t="n">
        <f aca="false">MIN(N('My Debts'!$E$9),E210)</f>
        <v>0</v>
      </c>
      <c r="P210" s="39" t="n">
        <f aca="false">MIN(N('My Debts'!$E$10),F210)</f>
        <v>0</v>
      </c>
      <c r="Q210" s="39" t="n">
        <f aca="false">MIN(N('My Debts'!$E$11),G210)</f>
        <v>0</v>
      </c>
      <c r="R210" s="39" t="n">
        <f aca="false">MIN(N('My Debts'!$E$12),H210)</f>
        <v>0</v>
      </c>
      <c r="S210" s="39" t="n">
        <f aca="false">MIN(N('My Debts'!$E$13),I210)</f>
        <v>0</v>
      </c>
      <c r="T210" s="39" t="n">
        <f aca="false">MIN(N('My Debts'!$E$14),J210)</f>
        <v>0</v>
      </c>
      <c r="U210" s="39" t="n">
        <f aca="false">MIN(N('My Debts'!$E$15),K210)</f>
        <v>0</v>
      </c>
      <c r="V210" s="39" t="n">
        <f aca="false">ROUND(B210-L210-MIN(B210-L210,MAX(0,$AF210-SUMPRODUCT(--($B$4:$K$4&lt;B$4),$B210:$K210-$L210:$U210))),2)</f>
        <v>0</v>
      </c>
      <c r="W210" s="39" t="n">
        <f aca="false">ROUND(C210-M210-MIN(C210-M210,MAX(0,$AF210-SUMPRODUCT(--($B$4:$K$4&lt;C$4),$B210:$K210-$L210:$U210))),2)</f>
        <v>0</v>
      </c>
      <c r="X210" s="39" t="n">
        <f aca="false">ROUND(D210-N210-MIN(D210-N210,MAX(0,$AF210-SUMPRODUCT(--($B$4:$K$4&lt;D$4),$B210:$K210-$L210:$U210))),2)</f>
        <v>0</v>
      </c>
      <c r="Y210" s="39" t="n">
        <f aca="false">ROUND(E210-O210-MIN(E210-O210,MAX(0,$AF210-SUMPRODUCT(--($B$4:$K$4&lt;E$4),$B210:$K210-$L210:$U210))),2)</f>
        <v>0</v>
      </c>
      <c r="Z210" s="39" t="n">
        <f aca="false">ROUND(F210-P210-MIN(F210-P210,MAX(0,$AF210-SUMPRODUCT(--($B$4:$K$4&lt;F$4),$B210:$K210-$L210:$U210))),2)</f>
        <v>0</v>
      </c>
      <c r="AA210" s="39" t="n">
        <f aca="false">ROUND(G210-Q210-MIN(G210-Q210,MAX(0,$AF210-SUMPRODUCT(--($B$4:$K$4&lt;G$4),$B210:$K210-$L210:$U210))),2)</f>
        <v>0</v>
      </c>
      <c r="AB210" s="39" t="n">
        <f aca="false">ROUND(H210-R210-MIN(H210-R210,MAX(0,$AF210-SUMPRODUCT(--($B$4:$K$4&lt;H$4),$B210:$K210-$L210:$U210))),2)</f>
        <v>0</v>
      </c>
      <c r="AC210" s="39" t="n">
        <f aca="false">ROUND(I210-S210-MIN(I210-S210,MAX(0,$AF210-SUMPRODUCT(--($B$4:$K$4&lt;I$4),$B210:$K210-$L210:$U210))),2)</f>
        <v>0</v>
      </c>
      <c r="AD210" s="39" t="n">
        <f aca="false">ROUND(J210-T210-MIN(J210-T210,MAX(0,$AF210-SUMPRODUCT(--($B$4:$K$4&lt;J$4),$B210:$K210-$L210:$U210))),2)</f>
        <v>0</v>
      </c>
      <c r="AE210" s="39" t="n">
        <f aca="false">ROUND(K210-U210-MIN(K210-U210,MAX(0,$AF210-SUMPRODUCT(--($B$4:$K$4&lt;K$4),$B210:$K210-$L210:$U210))),2)</f>
        <v>0</v>
      </c>
      <c r="AF210" s="39" t="n">
        <f aca="false">MAX(0,'Start Here'!$C$5-SUM($L210:$U210))</f>
        <v>1200</v>
      </c>
      <c r="AG210" s="39" t="n">
        <f aca="false">SUM(V210:AE210)</f>
        <v>0</v>
      </c>
      <c r="AH210" s="39" t="n">
        <f aca="false">SUM(B210:K210)-AG209</f>
        <v>0</v>
      </c>
    </row>
    <row r="211" customFormat="false" ht="15" hidden="false" customHeight="false" outlineLevel="0" collapsed="false">
      <c r="A211" s="40" t="n">
        <f aca="false">DATE(YEAR('Start Here'!$C$6),MONTH('Start Here'!$C$6)+204,1)</f>
        <v>52505</v>
      </c>
      <c r="B211" s="39" t="n">
        <f aca="false">ROUND(V210*(1+N('My Debts'!$D$6)/12),2)</f>
        <v>0</v>
      </c>
      <c r="C211" s="39" t="n">
        <f aca="false">ROUND(W210*(1+N('My Debts'!$D$7)/12),2)</f>
        <v>0</v>
      </c>
      <c r="D211" s="39" t="n">
        <f aca="false">ROUND(X210*(1+N('My Debts'!$D$8)/12),2)</f>
        <v>0</v>
      </c>
      <c r="E211" s="39" t="n">
        <f aca="false">ROUND(Y210*(1+N('My Debts'!$D$9)/12),2)</f>
        <v>0</v>
      </c>
      <c r="F211" s="39" t="n">
        <f aca="false">ROUND(Z210*(1+N('My Debts'!$D$10)/12),2)</f>
        <v>0</v>
      </c>
      <c r="G211" s="39" t="n">
        <f aca="false">ROUND(AA210*(1+N('My Debts'!$D$11)/12),2)</f>
        <v>0</v>
      </c>
      <c r="H211" s="39" t="n">
        <f aca="false">ROUND(AB210*(1+N('My Debts'!$D$12)/12),2)</f>
        <v>0</v>
      </c>
      <c r="I211" s="39" t="n">
        <f aca="false">ROUND(AC210*(1+N('My Debts'!$D$13)/12),2)</f>
        <v>0</v>
      </c>
      <c r="J211" s="39" t="n">
        <f aca="false">ROUND(AD210*(1+N('My Debts'!$D$14)/12),2)</f>
        <v>0</v>
      </c>
      <c r="K211" s="39" t="n">
        <f aca="false">ROUND(AE210*(1+N('My Debts'!$D$15)/12),2)</f>
        <v>0</v>
      </c>
      <c r="L211" s="39" t="n">
        <f aca="false">MIN(N('My Debts'!$E$6),B211)</f>
        <v>0</v>
      </c>
      <c r="M211" s="39" t="n">
        <f aca="false">MIN(N('My Debts'!$E$7),C211)</f>
        <v>0</v>
      </c>
      <c r="N211" s="39" t="n">
        <f aca="false">MIN(N('My Debts'!$E$8),D211)</f>
        <v>0</v>
      </c>
      <c r="O211" s="39" t="n">
        <f aca="false">MIN(N('My Debts'!$E$9),E211)</f>
        <v>0</v>
      </c>
      <c r="P211" s="39" t="n">
        <f aca="false">MIN(N('My Debts'!$E$10),F211)</f>
        <v>0</v>
      </c>
      <c r="Q211" s="39" t="n">
        <f aca="false">MIN(N('My Debts'!$E$11),G211)</f>
        <v>0</v>
      </c>
      <c r="R211" s="39" t="n">
        <f aca="false">MIN(N('My Debts'!$E$12),H211)</f>
        <v>0</v>
      </c>
      <c r="S211" s="39" t="n">
        <f aca="false">MIN(N('My Debts'!$E$13),I211)</f>
        <v>0</v>
      </c>
      <c r="T211" s="39" t="n">
        <f aca="false">MIN(N('My Debts'!$E$14),J211)</f>
        <v>0</v>
      </c>
      <c r="U211" s="39" t="n">
        <f aca="false">MIN(N('My Debts'!$E$15),K211)</f>
        <v>0</v>
      </c>
      <c r="V211" s="39" t="n">
        <f aca="false">ROUND(B211-L211-MIN(B211-L211,MAX(0,$AF211-SUMPRODUCT(--($B$4:$K$4&lt;B$4),$B211:$K211-$L211:$U211))),2)</f>
        <v>0</v>
      </c>
      <c r="W211" s="39" t="n">
        <f aca="false">ROUND(C211-M211-MIN(C211-M211,MAX(0,$AF211-SUMPRODUCT(--($B$4:$K$4&lt;C$4),$B211:$K211-$L211:$U211))),2)</f>
        <v>0</v>
      </c>
      <c r="X211" s="39" t="n">
        <f aca="false">ROUND(D211-N211-MIN(D211-N211,MAX(0,$AF211-SUMPRODUCT(--($B$4:$K$4&lt;D$4),$B211:$K211-$L211:$U211))),2)</f>
        <v>0</v>
      </c>
      <c r="Y211" s="39" t="n">
        <f aca="false">ROUND(E211-O211-MIN(E211-O211,MAX(0,$AF211-SUMPRODUCT(--($B$4:$K$4&lt;E$4),$B211:$K211-$L211:$U211))),2)</f>
        <v>0</v>
      </c>
      <c r="Z211" s="39" t="n">
        <f aca="false">ROUND(F211-P211-MIN(F211-P211,MAX(0,$AF211-SUMPRODUCT(--($B$4:$K$4&lt;F$4),$B211:$K211-$L211:$U211))),2)</f>
        <v>0</v>
      </c>
      <c r="AA211" s="39" t="n">
        <f aca="false">ROUND(G211-Q211-MIN(G211-Q211,MAX(0,$AF211-SUMPRODUCT(--($B$4:$K$4&lt;G$4),$B211:$K211-$L211:$U211))),2)</f>
        <v>0</v>
      </c>
      <c r="AB211" s="39" t="n">
        <f aca="false">ROUND(H211-R211-MIN(H211-R211,MAX(0,$AF211-SUMPRODUCT(--($B$4:$K$4&lt;H$4),$B211:$K211-$L211:$U211))),2)</f>
        <v>0</v>
      </c>
      <c r="AC211" s="39" t="n">
        <f aca="false">ROUND(I211-S211-MIN(I211-S211,MAX(0,$AF211-SUMPRODUCT(--($B$4:$K$4&lt;I$4),$B211:$K211-$L211:$U211))),2)</f>
        <v>0</v>
      </c>
      <c r="AD211" s="39" t="n">
        <f aca="false">ROUND(J211-T211-MIN(J211-T211,MAX(0,$AF211-SUMPRODUCT(--($B$4:$K$4&lt;J$4),$B211:$K211-$L211:$U211))),2)</f>
        <v>0</v>
      </c>
      <c r="AE211" s="39" t="n">
        <f aca="false">ROUND(K211-U211-MIN(K211-U211,MAX(0,$AF211-SUMPRODUCT(--($B$4:$K$4&lt;K$4),$B211:$K211-$L211:$U211))),2)</f>
        <v>0</v>
      </c>
      <c r="AF211" s="39" t="n">
        <f aca="false">MAX(0,'Start Here'!$C$5-SUM($L211:$U211))</f>
        <v>1200</v>
      </c>
      <c r="AG211" s="39" t="n">
        <f aca="false">SUM(V211:AE211)</f>
        <v>0</v>
      </c>
      <c r="AH211" s="39" t="n">
        <f aca="false">SUM(B211:K211)-AG210</f>
        <v>0</v>
      </c>
    </row>
    <row r="212" customFormat="false" ht="15" hidden="false" customHeight="false" outlineLevel="0" collapsed="false">
      <c r="A212" s="40" t="n">
        <f aca="false">DATE(YEAR('Start Here'!$C$6),MONTH('Start Here'!$C$6)+205,1)</f>
        <v>52536</v>
      </c>
      <c r="B212" s="39" t="n">
        <f aca="false">ROUND(V211*(1+N('My Debts'!$D$6)/12),2)</f>
        <v>0</v>
      </c>
      <c r="C212" s="39" t="n">
        <f aca="false">ROUND(W211*(1+N('My Debts'!$D$7)/12),2)</f>
        <v>0</v>
      </c>
      <c r="D212" s="39" t="n">
        <f aca="false">ROUND(X211*(1+N('My Debts'!$D$8)/12),2)</f>
        <v>0</v>
      </c>
      <c r="E212" s="39" t="n">
        <f aca="false">ROUND(Y211*(1+N('My Debts'!$D$9)/12),2)</f>
        <v>0</v>
      </c>
      <c r="F212" s="39" t="n">
        <f aca="false">ROUND(Z211*(1+N('My Debts'!$D$10)/12),2)</f>
        <v>0</v>
      </c>
      <c r="G212" s="39" t="n">
        <f aca="false">ROUND(AA211*(1+N('My Debts'!$D$11)/12),2)</f>
        <v>0</v>
      </c>
      <c r="H212" s="39" t="n">
        <f aca="false">ROUND(AB211*(1+N('My Debts'!$D$12)/12),2)</f>
        <v>0</v>
      </c>
      <c r="I212" s="39" t="n">
        <f aca="false">ROUND(AC211*(1+N('My Debts'!$D$13)/12),2)</f>
        <v>0</v>
      </c>
      <c r="J212" s="39" t="n">
        <f aca="false">ROUND(AD211*(1+N('My Debts'!$D$14)/12),2)</f>
        <v>0</v>
      </c>
      <c r="K212" s="39" t="n">
        <f aca="false">ROUND(AE211*(1+N('My Debts'!$D$15)/12),2)</f>
        <v>0</v>
      </c>
      <c r="L212" s="39" t="n">
        <f aca="false">MIN(N('My Debts'!$E$6),B212)</f>
        <v>0</v>
      </c>
      <c r="M212" s="39" t="n">
        <f aca="false">MIN(N('My Debts'!$E$7),C212)</f>
        <v>0</v>
      </c>
      <c r="N212" s="39" t="n">
        <f aca="false">MIN(N('My Debts'!$E$8),D212)</f>
        <v>0</v>
      </c>
      <c r="O212" s="39" t="n">
        <f aca="false">MIN(N('My Debts'!$E$9),E212)</f>
        <v>0</v>
      </c>
      <c r="P212" s="39" t="n">
        <f aca="false">MIN(N('My Debts'!$E$10),F212)</f>
        <v>0</v>
      </c>
      <c r="Q212" s="39" t="n">
        <f aca="false">MIN(N('My Debts'!$E$11),G212)</f>
        <v>0</v>
      </c>
      <c r="R212" s="39" t="n">
        <f aca="false">MIN(N('My Debts'!$E$12),H212)</f>
        <v>0</v>
      </c>
      <c r="S212" s="39" t="n">
        <f aca="false">MIN(N('My Debts'!$E$13),I212)</f>
        <v>0</v>
      </c>
      <c r="T212" s="39" t="n">
        <f aca="false">MIN(N('My Debts'!$E$14),J212)</f>
        <v>0</v>
      </c>
      <c r="U212" s="39" t="n">
        <f aca="false">MIN(N('My Debts'!$E$15),K212)</f>
        <v>0</v>
      </c>
      <c r="V212" s="39" t="n">
        <f aca="false">ROUND(B212-L212-MIN(B212-L212,MAX(0,$AF212-SUMPRODUCT(--($B$4:$K$4&lt;B$4),$B212:$K212-$L212:$U212))),2)</f>
        <v>0</v>
      </c>
      <c r="W212" s="39" t="n">
        <f aca="false">ROUND(C212-M212-MIN(C212-M212,MAX(0,$AF212-SUMPRODUCT(--($B$4:$K$4&lt;C$4),$B212:$K212-$L212:$U212))),2)</f>
        <v>0</v>
      </c>
      <c r="X212" s="39" t="n">
        <f aca="false">ROUND(D212-N212-MIN(D212-N212,MAX(0,$AF212-SUMPRODUCT(--($B$4:$K$4&lt;D$4),$B212:$K212-$L212:$U212))),2)</f>
        <v>0</v>
      </c>
      <c r="Y212" s="39" t="n">
        <f aca="false">ROUND(E212-O212-MIN(E212-O212,MAX(0,$AF212-SUMPRODUCT(--($B$4:$K$4&lt;E$4),$B212:$K212-$L212:$U212))),2)</f>
        <v>0</v>
      </c>
      <c r="Z212" s="39" t="n">
        <f aca="false">ROUND(F212-P212-MIN(F212-P212,MAX(0,$AF212-SUMPRODUCT(--($B$4:$K$4&lt;F$4),$B212:$K212-$L212:$U212))),2)</f>
        <v>0</v>
      </c>
      <c r="AA212" s="39" t="n">
        <f aca="false">ROUND(G212-Q212-MIN(G212-Q212,MAX(0,$AF212-SUMPRODUCT(--($B$4:$K$4&lt;G$4),$B212:$K212-$L212:$U212))),2)</f>
        <v>0</v>
      </c>
      <c r="AB212" s="39" t="n">
        <f aca="false">ROUND(H212-R212-MIN(H212-R212,MAX(0,$AF212-SUMPRODUCT(--($B$4:$K$4&lt;H$4),$B212:$K212-$L212:$U212))),2)</f>
        <v>0</v>
      </c>
      <c r="AC212" s="39" t="n">
        <f aca="false">ROUND(I212-S212-MIN(I212-S212,MAX(0,$AF212-SUMPRODUCT(--($B$4:$K$4&lt;I$4),$B212:$K212-$L212:$U212))),2)</f>
        <v>0</v>
      </c>
      <c r="AD212" s="39" t="n">
        <f aca="false">ROUND(J212-T212-MIN(J212-T212,MAX(0,$AF212-SUMPRODUCT(--($B$4:$K$4&lt;J$4),$B212:$K212-$L212:$U212))),2)</f>
        <v>0</v>
      </c>
      <c r="AE212" s="39" t="n">
        <f aca="false">ROUND(K212-U212-MIN(K212-U212,MAX(0,$AF212-SUMPRODUCT(--($B$4:$K$4&lt;K$4),$B212:$K212-$L212:$U212))),2)</f>
        <v>0</v>
      </c>
      <c r="AF212" s="39" t="n">
        <f aca="false">MAX(0,'Start Here'!$C$5-SUM($L212:$U212))</f>
        <v>1200</v>
      </c>
      <c r="AG212" s="39" t="n">
        <f aca="false">SUM(V212:AE212)</f>
        <v>0</v>
      </c>
      <c r="AH212" s="39" t="n">
        <f aca="false">SUM(B212:K212)-AG211</f>
        <v>0</v>
      </c>
    </row>
    <row r="213" customFormat="false" ht="15" hidden="false" customHeight="false" outlineLevel="0" collapsed="false">
      <c r="A213" s="40" t="n">
        <f aca="false">DATE(YEAR('Start Here'!$C$6),MONTH('Start Here'!$C$6)+206,1)</f>
        <v>52566</v>
      </c>
      <c r="B213" s="39" t="n">
        <f aca="false">ROUND(V212*(1+N('My Debts'!$D$6)/12),2)</f>
        <v>0</v>
      </c>
      <c r="C213" s="39" t="n">
        <f aca="false">ROUND(W212*(1+N('My Debts'!$D$7)/12),2)</f>
        <v>0</v>
      </c>
      <c r="D213" s="39" t="n">
        <f aca="false">ROUND(X212*(1+N('My Debts'!$D$8)/12),2)</f>
        <v>0</v>
      </c>
      <c r="E213" s="39" t="n">
        <f aca="false">ROUND(Y212*(1+N('My Debts'!$D$9)/12),2)</f>
        <v>0</v>
      </c>
      <c r="F213" s="39" t="n">
        <f aca="false">ROUND(Z212*(1+N('My Debts'!$D$10)/12),2)</f>
        <v>0</v>
      </c>
      <c r="G213" s="39" t="n">
        <f aca="false">ROUND(AA212*(1+N('My Debts'!$D$11)/12),2)</f>
        <v>0</v>
      </c>
      <c r="H213" s="39" t="n">
        <f aca="false">ROUND(AB212*(1+N('My Debts'!$D$12)/12),2)</f>
        <v>0</v>
      </c>
      <c r="I213" s="39" t="n">
        <f aca="false">ROUND(AC212*(1+N('My Debts'!$D$13)/12),2)</f>
        <v>0</v>
      </c>
      <c r="J213" s="39" t="n">
        <f aca="false">ROUND(AD212*(1+N('My Debts'!$D$14)/12),2)</f>
        <v>0</v>
      </c>
      <c r="K213" s="39" t="n">
        <f aca="false">ROUND(AE212*(1+N('My Debts'!$D$15)/12),2)</f>
        <v>0</v>
      </c>
      <c r="L213" s="39" t="n">
        <f aca="false">MIN(N('My Debts'!$E$6),B213)</f>
        <v>0</v>
      </c>
      <c r="M213" s="39" t="n">
        <f aca="false">MIN(N('My Debts'!$E$7),C213)</f>
        <v>0</v>
      </c>
      <c r="N213" s="39" t="n">
        <f aca="false">MIN(N('My Debts'!$E$8),D213)</f>
        <v>0</v>
      </c>
      <c r="O213" s="39" t="n">
        <f aca="false">MIN(N('My Debts'!$E$9),E213)</f>
        <v>0</v>
      </c>
      <c r="P213" s="39" t="n">
        <f aca="false">MIN(N('My Debts'!$E$10),F213)</f>
        <v>0</v>
      </c>
      <c r="Q213" s="39" t="n">
        <f aca="false">MIN(N('My Debts'!$E$11),G213)</f>
        <v>0</v>
      </c>
      <c r="R213" s="39" t="n">
        <f aca="false">MIN(N('My Debts'!$E$12),H213)</f>
        <v>0</v>
      </c>
      <c r="S213" s="39" t="n">
        <f aca="false">MIN(N('My Debts'!$E$13),I213)</f>
        <v>0</v>
      </c>
      <c r="T213" s="39" t="n">
        <f aca="false">MIN(N('My Debts'!$E$14),J213)</f>
        <v>0</v>
      </c>
      <c r="U213" s="39" t="n">
        <f aca="false">MIN(N('My Debts'!$E$15),K213)</f>
        <v>0</v>
      </c>
      <c r="V213" s="39" t="n">
        <f aca="false">ROUND(B213-L213-MIN(B213-L213,MAX(0,$AF213-SUMPRODUCT(--($B$4:$K$4&lt;B$4),$B213:$K213-$L213:$U213))),2)</f>
        <v>0</v>
      </c>
      <c r="W213" s="39" t="n">
        <f aca="false">ROUND(C213-M213-MIN(C213-M213,MAX(0,$AF213-SUMPRODUCT(--($B$4:$K$4&lt;C$4),$B213:$K213-$L213:$U213))),2)</f>
        <v>0</v>
      </c>
      <c r="X213" s="39" t="n">
        <f aca="false">ROUND(D213-N213-MIN(D213-N213,MAX(0,$AF213-SUMPRODUCT(--($B$4:$K$4&lt;D$4),$B213:$K213-$L213:$U213))),2)</f>
        <v>0</v>
      </c>
      <c r="Y213" s="39" t="n">
        <f aca="false">ROUND(E213-O213-MIN(E213-O213,MAX(0,$AF213-SUMPRODUCT(--($B$4:$K$4&lt;E$4),$B213:$K213-$L213:$U213))),2)</f>
        <v>0</v>
      </c>
      <c r="Z213" s="39" t="n">
        <f aca="false">ROUND(F213-P213-MIN(F213-P213,MAX(0,$AF213-SUMPRODUCT(--($B$4:$K$4&lt;F$4),$B213:$K213-$L213:$U213))),2)</f>
        <v>0</v>
      </c>
      <c r="AA213" s="39" t="n">
        <f aca="false">ROUND(G213-Q213-MIN(G213-Q213,MAX(0,$AF213-SUMPRODUCT(--($B$4:$K$4&lt;G$4),$B213:$K213-$L213:$U213))),2)</f>
        <v>0</v>
      </c>
      <c r="AB213" s="39" t="n">
        <f aca="false">ROUND(H213-R213-MIN(H213-R213,MAX(0,$AF213-SUMPRODUCT(--($B$4:$K$4&lt;H$4),$B213:$K213-$L213:$U213))),2)</f>
        <v>0</v>
      </c>
      <c r="AC213" s="39" t="n">
        <f aca="false">ROUND(I213-S213-MIN(I213-S213,MAX(0,$AF213-SUMPRODUCT(--($B$4:$K$4&lt;I$4),$B213:$K213-$L213:$U213))),2)</f>
        <v>0</v>
      </c>
      <c r="AD213" s="39" t="n">
        <f aca="false">ROUND(J213-T213-MIN(J213-T213,MAX(0,$AF213-SUMPRODUCT(--($B$4:$K$4&lt;J$4),$B213:$K213-$L213:$U213))),2)</f>
        <v>0</v>
      </c>
      <c r="AE213" s="39" t="n">
        <f aca="false">ROUND(K213-U213-MIN(K213-U213,MAX(0,$AF213-SUMPRODUCT(--($B$4:$K$4&lt;K$4),$B213:$K213-$L213:$U213))),2)</f>
        <v>0</v>
      </c>
      <c r="AF213" s="39" t="n">
        <f aca="false">MAX(0,'Start Here'!$C$5-SUM($L213:$U213))</f>
        <v>1200</v>
      </c>
      <c r="AG213" s="39" t="n">
        <f aca="false">SUM(V213:AE213)</f>
        <v>0</v>
      </c>
      <c r="AH213" s="39" t="n">
        <f aca="false">SUM(B213:K213)-AG212</f>
        <v>0</v>
      </c>
    </row>
    <row r="214" customFormat="false" ht="15" hidden="false" customHeight="false" outlineLevel="0" collapsed="false">
      <c r="A214" s="40" t="n">
        <f aca="false">DATE(YEAR('Start Here'!$C$6),MONTH('Start Here'!$C$6)+207,1)</f>
        <v>52597</v>
      </c>
      <c r="B214" s="39" t="n">
        <f aca="false">ROUND(V213*(1+N('My Debts'!$D$6)/12),2)</f>
        <v>0</v>
      </c>
      <c r="C214" s="39" t="n">
        <f aca="false">ROUND(W213*(1+N('My Debts'!$D$7)/12),2)</f>
        <v>0</v>
      </c>
      <c r="D214" s="39" t="n">
        <f aca="false">ROUND(X213*(1+N('My Debts'!$D$8)/12),2)</f>
        <v>0</v>
      </c>
      <c r="E214" s="39" t="n">
        <f aca="false">ROUND(Y213*(1+N('My Debts'!$D$9)/12),2)</f>
        <v>0</v>
      </c>
      <c r="F214" s="39" t="n">
        <f aca="false">ROUND(Z213*(1+N('My Debts'!$D$10)/12),2)</f>
        <v>0</v>
      </c>
      <c r="G214" s="39" t="n">
        <f aca="false">ROUND(AA213*(1+N('My Debts'!$D$11)/12),2)</f>
        <v>0</v>
      </c>
      <c r="H214" s="39" t="n">
        <f aca="false">ROUND(AB213*(1+N('My Debts'!$D$12)/12),2)</f>
        <v>0</v>
      </c>
      <c r="I214" s="39" t="n">
        <f aca="false">ROUND(AC213*(1+N('My Debts'!$D$13)/12),2)</f>
        <v>0</v>
      </c>
      <c r="J214" s="39" t="n">
        <f aca="false">ROUND(AD213*(1+N('My Debts'!$D$14)/12),2)</f>
        <v>0</v>
      </c>
      <c r="K214" s="39" t="n">
        <f aca="false">ROUND(AE213*(1+N('My Debts'!$D$15)/12),2)</f>
        <v>0</v>
      </c>
      <c r="L214" s="39" t="n">
        <f aca="false">MIN(N('My Debts'!$E$6),B214)</f>
        <v>0</v>
      </c>
      <c r="M214" s="39" t="n">
        <f aca="false">MIN(N('My Debts'!$E$7),C214)</f>
        <v>0</v>
      </c>
      <c r="N214" s="39" t="n">
        <f aca="false">MIN(N('My Debts'!$E$8),D214)</f>
        <v>0</v>
      </c>
      <c r="O214" s="39" t="n">
        <f aca="false">MIN(N('My Debts'!$E$9),E214)</f>
        <v>0</v>
      </c>
      <c r="P214" s="39" t="n">
        <f aca="false">MIN(N('My Debts'!$E$10),F214)</f>
        <v>0</v>
      </c>
      <c r="Q214" s="39" t="n">
        <f aca="false">MIN(N('My Debts'!$E$11),G214)</f>
        <v>0</v>
      </c>
      <c r="R214" s="39" t="n">
        <f aca="false">MIN(N('My Debts'!$E$12),H214)</f>
        <v>0</v>
      </c>
      <c r="S214" s="39" t="n">
        <f aca="false">MIN(N('My Debts'!$E$13),I214)</f>
        <v>0</v>
      </c>
      <c r="T214" s="39" t="n">
        <f aca="false">MIN(N('My Debts'!$E$14),J214)</f>
        <v>0</v>
      </c>
      <c r="U214" s="39" t="n">
        <f aca="false">MIN(N('My Debts'!$E$15),K214)</f>
        <v>0</v>
      </c>
      <c r="V214" s="39" t="n">
        <f aca="false">ROUND(B214-L214-MIN(B214-L214,MAX(0,$AF214-SUMPRODUCT(--($B$4:$K$4&lt;B$4),$B214:$K214-$L214:$U214))),2)</f>
        <v>0</v>
      </c>
      <c r="W214" s="39" t="n">
        <f aca="false">ROUND(C214-M214-MIN(C214-M214,MAX(0,$AF214-SUMPRODUCT(--($B$4:$K$4&lt;C$4),$B214:$K214-$L214:$U214))),2)</f>
        <v>0</v>
      </c>
      <c r="X214" s="39" t="n">
        <f aca="false">ROUND(D214-N214-MIN(D214-N214,MAX(0,$AF214-SUMPRODUCT(--($B$4:$K$4&lt;D$4),$B214:$K214-$L214:$U214))),2)</f>
        <v>0</v>
      </c>
      <c r="Y214" s="39" t="n">
        <f aca="false">ROUND(E214-O214-MIN(E214-O214,MAX(0,$AF214-SUMPRODUCT(--($B$4:$K$4&lt;E$4),$B214:$K214-$L214:$U214))),2)</f>
        <v>0</v>
      </c>
      <c r="Z214" s="39" t="n">
        <f aca="false">ROUND(F214-P214-MIN(F214-P214,MAX(0,$AF214-SUMPRODUCT(--($B$4:$K$4&lt;F$4),$B214:$K214-$L214:$U214))),2)</f>
        <v>0</v>
      </c>
      <c r="AA214" s="39" t="n">
        <f aca="false">ROUND(G214-Q214-MIN(G214-Q214,MAX(0,$AF214-SUMPRODUCT(--($B$4:$K$4&lt;G$4),$B214:$K214-$L214:$U214))),2)</f>
        <v>0</v>
      </c>
      <c r="AB214" s="39" t="n">
        <f aca="false">ROUND(H214-R214-MIN(H214-R214,MAX(0,$AF214-SUMPRODUCT(--($B$4:$K$4&lt;H$4),$B214:$K214-$L214:$U214))),2)</f>
        <v>0</v>
      </c>
      <c r="AC214" s="39" t="n">
        <f aca="false">ROUND(I214-S214-MIN(I214-S214,MAX(0,$AF214-SUMPRODUCT(--($B$4:$K$4&lt;I$4),$B214:$K214-$L214:$U214))),2)</f>
        <v>0</v>
      </c>
      <c r="AD214" s="39" t="n">
        <f aca="false">ROUND(J214-T214-MIN(J214-T214,MAX(0,$AF214-SUMPRODUCT(--($B$4:$K$4&lt;J$4),$B214:$K214-$L214:$U214))),2)</f>
        <v>0</v>
      </c>
      <c r="AE214" s="39" t="n">
        <f aca="false">ROUND(K214-U214-MIN(K214-U214,MAX(0,$AF214-SUMPRODUCT(--($B$4:$K$4&lt;K$4),$B214:$K214-$L214:$U214))),2)</f>
        <v>0</v>
      </c>
      <c r="AF214" s="39" t="n">
        <f aca="false">MAX(0,'Start Here'!$C$5-SUM($L214:$U214))</f>
        <v>1200</v>
      </c>
      <c r="AG214" s="39" t="n">
        <f aca="false">SUM(V214:AE214)</f>
        <v>0</v>
      </c>
      <c r="AH214" s="39" t="n">
        <f aca="false">SUM(B214:K214)-AG213</f>
        <v>0</v>
      </c>
    </row>
    <row r="215" customFormat="false" ht="15" hidden="false" customHeight="false" outlineLevel="0" collapsed="false">
      <c r="A215" s="40" t="n">
        <f aca="false">DATE(YEAR('Start Here'!$C$6),MONTH('Start Here'!$C$6)+208,1)</f>
        <v>52628</v>
      </c>
      <c r="B215" s="39" t="n">
        <f aca="false">ROUND(V214*(1+N('My Debts'!$D$6)/12),2)</f>
        <v>0</v>
      </c>
      <c r="C215" s="39" t="n">
        <f aca="false">ROUND(W214*(1+N('My Debts'!$D$7)/12),2)</f>
        <v>0</v>
      </c>
      <c r="D215" s="39" t="n">
        <f aca="false">ROUND(X214*(1+N('My Debts'!$D$8)/12),2)</f>
        <v>0</v>
      </c>
      <c r="E215" s="39" t="n">
        <f aca="false">ROUND(Y214*(1+N('My Debts'!$D$9)/12),2)</f>
        <v>0</v>
      </c>
      <c r="F215" s="39" t="n">
        <f aca="false">ROUND(Z214*(1+N('My Debts'!$D$10)/12),2)</f>
        <v>0</v>
      </c>
      <c r="G215" s="39" t="n">
        <f aca="false">ROUND(AA214*(1+N('My Debts'!$D$11)/12),2)</f>
        <v>0</v>
      </c>
      <c r="H215" s="39" t="n">
        <f aca="false">ROUND(AB214*(1+N('My Debts'!$D$12)/12),2)</f>
        <v>0</v>
      </c>
      <c r="I215" s="39" t="n">
        <f aca="false">ROUND(AC214*(1+N('My Debts'!$D$13)/12),2)</f>
        <v>0</v>
      </c>
      <c r="J215" s="39" t="n">
        <f aca="false">ROUND(AD214*(1+N('My Debts'!$D$14)/12),2)</f>
        <v>0</v>
      </c>
      <c r="K215" s="39" t="n">
        <f aca="false">ROUND(AE214*(1+N('My Debts'!$D$15)/12),2)</f>
        <v>0</v>
      </c>
      <c r="L215" s="39" t="n">
        <f aca="false">MIN(N('My Debts'!$E$6),B215)</f>
        <v>0</v>
      </c>
      <c r="M215" s="39" t="n">
        <f aca="false">MIN(N('My Debts'!$E$7),C215)</f>
        <v>0</v>
      </c>
      <c r="N215" s="39" t="n">
        <f aca="false">MIN(N('My Debts'!$E$8),D215)</f>
        <v>0</v>
      </c>
      <c r="O215" s="39" t="n">
        <f aca="false">MIN(N('My Debts'!$E$9),E215)</f>
        <v>0</v>
      </c>
      <c r="P215" s="39" t="n">
        <f aca="false">MIN(N('My Debts'!$E$10),F215)</f>
        <v>0</v>
      </c>
      <c r="Q215" s="39" t="n">
        <f aca="false">MIN(N('My Debts'!$E$11),G215)</f>
        <v>0</v>
      </c>
      <c r="R215" s="39" t="n">
        <f aca="false">MIN(N('My Debts'!$E$12),H215)</f>
        <v>0</v>
      </c>
      <c r="S215" s="39" t="n">
        <f aca="false">MIN(N('My Debts'!$E$13),I215)</f>
        <v>0</v>
      </c>
      <c r="T215" s="39" t="n">
        <f aca="false">MIN(N('My Debts'!$E$14),J215)</f>
        <v>0</v>
      </c>
      <c r="U215" s="39" t="n">
        <f aca="false">MIN(N('My Debts'!$E$15),K215)</f>
        <v>0</v>
      </c>
      <c r="V215" s="39" t="n">
        <f aca="false">ROUND(B215-L215-MIN(B215-L215,MAX(0,$AF215-SUMPRODUCT(--($B$4:$K$4&lt;B$4),$B215:$K215-$L215:$U215))),2)</f>
        <v>0</v>
      </c>
      <c r="W215" s="39" t="n">
        <f aca="false">ROUND(C215-M215-MIN(C215-M215,MAX(0,$AF215-SUMPRODUCT(--($B$4:$K$4&lt;C$4),$B215:$K215-$L215:$U215))),2)</f>
        <v>0</v>
      </c>
      <c r="X215" s="39" t="n">
        <f aca="false">ROUND(D215-N215-MIN(D215-N215,MAX(0,$AF215-SUMPRODUCT(--($B$4:$K$4&lt;D$4),$B215:$K215-$L215:$U215))),2)</f>
        <v>0</v>
      </c>
      <c r="Y215" s="39" t="n">
        <f aca="false">ROUND(E215-O215-MIN(E215-O215,MAX(0,$AF215-SUMPRODUCT(--($B$4:$K$4&lt;E$4),$B215:$K215-$L215:$U215))),2)</f>
        <v>0</v>
      </c>
      <c r="Z215" s="39" t="n">
        <f aca="false">ROUND(F215-P215-MIN(F215-P215,MAX(0,$AF215-SUMPRODUCT(--($B$4:$K$4&lt;F$4),$B215:$K215-$L215:$U215))),2)</f>
        <v>0</v>
      </c>
      <c r="AA215" s="39" t="n">
        <f aca="false">ROUND(G215-Q215-MIN(G215-Q215,MAX(0,$AF215-SUMPRODUCT(--($B$4:$K$4&lt;G$4),$B215:$K215-$L215:$U215))),2)</f>
        <v>0</v>
      </c>
      <c r="AB215" s="39" t="n">
        <f aca="false">ROUND(H215-R215-MIN(H215-R215,MAX(0,$AF215-SUMPRODUCT(--($B$4:$K$4&lt;H$4),$B215:$K215-$L215:$U215))),2)</f>
        <v>0</v>
      </c>
      <c r="AC215" s="39" t="n">
        <f aca="false">ROUND(I215-S215-MIN(I215-S215,MAX(0,$AF215-SUMPRODUCT(--($B$4:$K$4&lt;I$4),$B215:$K215-$L215:$U215))),2)</f>
        <v>0</v>
      </c>
      <c r="AD215" s="39" t="n">
        <f aca="false">ROUND(J215-T215-MIN(J215-T215,MAX(0,$AF215-SUMPRODUCT(--($B$4:$K$4&lt;J$4),$B215:$K215-$L215:$U215))),2)</f>
        <v>0</v>
      </c>
      <c r="AE215" s="39" t="n">
        <f aca="false">ROUND(K215-U215-MIN(K215-U215,MAX(0,$AF215-SUMPRODUCT(--($B$4:$K$4&lt;K$4),$B215:$K215-$L215:$U215))),2)</f>
        <v>0</v>
      </c>
      <c r="AF215" s="39" t="n">
        <f aca="false">MAX(0,'Start Here'!$C$5-SUM($L215:$U215))</f>
        <v>1200</v>
      </c>
      <c r="AG215" s="39" t="n">
        <f aca="false">SUM(V215:AE215)</f>
        <v>0</v>
      </c>
      <c r="AH215" s="39" t="n">
        <f aca="false">SUM(B215:K215)-AG214</f>
        <v>0</v>
      </c>
    </row>
    <row r="216" customFormat="false" ht="15" hidden="false" customHeight="false" outlineLevel="0" collapsed="false">
      <c r="A216" s="40" t="n">
        <f aca="false">DATE(YEAR('Start Here'!$C$6),MONTH('Start Here'!$C$6)+209,1)</f>
        <v>52657</v>
      </c>
      <c r="B216" s="39" t="n">
        <f aca="false">ROUND(V215*(1+N('My Debts'!$D$6)/12),2)</f>
        <v>0</v>
      </c>
      <c r="C216" s="39" t="n">
        <f aca="false">ROUND(W215*(1+N('My Debts'!$D$7)/12),2)</f>
        <v>0</v>
      </c>
      <c r="D216" s="39" t="n">
        <f aca="false">ROUND(X215*(1+N('My Debts'!$D$8)/12),2)</f>
        <v>0</v>
      </c>
      <c r="E216" s="39" t="n">
        <f aca="false">ROUND(Y215*(1+N('My Debts'!$D$9)/12),2)</f>
        <v>0</v>
      </c>
      <c r="F216" s="39" t="n">
        <f aca="false">ROUND(Z215*(1+N('My Debts'!$D$10)/12),2)</f>
        <v>0</v>
      </c>
      <c r="G216" s="39" t="n">
        <f aca="false">ROUND(AA215*(1+N('My Debts'!$D$11)/12),2)</f>
        <v>0</v>
      </c>
      <c r="H216" s="39" t="n">
        <f aca="false">ROUND(AB215*(1+N('My Debts'!$D$12)/12),2)</f>
        <v>0</v>
      </c>
      <c r="I216" s="39" t="n">
        <f aca="false">ROUND(AC215*(1+N('My Debts'!$D$13)/12),2)</f>
        <v>0</v>
      </c>
      <c r="J216" s="39" t="n">
        <f aca="false">ROUND(AD215*(1+N('My Debts'!$D$14)/12),2)</f>
        <v>0</v>
      </c>
      <c r="K216" s="39" t="n">
        <f aca="false">ROUND(AE215*(1+N('My Debts'!$D$15)/12),2)</f>
        <v>0</v>
      </c>
      <c r="L216" s="39" t="n">
        <f aca="false">MIN(N('My Debts'!$E$6),B216)</f>
        <v>0</v>
      </c>
      <c r="M216" s="39" t="n">
        <f aca="false">MIN(N('My Debts'!$E$7),C216)</f>
        <v>0</v>
      </c>
      <c r="N216" s="39" t="n">
        <f aca="false">MIN(N('My Debts'!$E$8),D216)</f>
        <v>0</v>
      </c>
      <c r="O216" s="39" t="n">
        <f aca="false">MIN(N('My Debts'!$E$9),E216)</f>
        <v>0</v>
      </c>
      <c r="P216" s="39" t="n">
        <f aca="false">MIN(N('My Debts'!$E$10),F216)</f>
        <v>0</v>
      </c>
      <c r="Q216" s="39" t="n">
        <f aca="false">MIN(N('My Debts'!$E$11),G216)</f>
        <v>0</v>
      </c>
      <c r="R216" s="39" t="n">
        <f aca="false">MIN(N('My Debts'!$E$12),H216)</f>
        <v>0</v>
      </c>
      <c r="S216" s="39" t="n">
        <f aca="false">MIN(N('My Debts'!$E$13),I216)</f>
        <v>0</v>
      </c>
      <c r="T216" s="39" t="n">
        <f aca="false">MIN(N('My Debts'!$E$14),J216)</f>
        <v>0</v>
      </c>
      <c r="U216" s="39" t="n">
        <f aca="false">MIN(N('My Debts'!$E$15),K216)</f>
        <v>0</v>
      </c>
      <c r="V216" s="39" t="n">
        <f aca="false">ROUND(B216-L216-MIN(B216-L216,MAX(0,$AF216-SUMPRODUCT(--($B$4:$K$4&lt;B$4),$B216:$K216-$L216:$U216))),2)</f>
        <v>0</v>
      </c>
      <c r="W216" s="39" t="n">
        <f aca="false">ROUND(C216-M216-MIN(C216-M216,MAX(0,$AF216-SUMPRODUCT(--($B$4:$K$4&lt;C$4),$B216:$K216-$L216:$U216))),2)</f>
        <v>0</v>
      </c>
      <c r="X216" s="39" t="n">
        <f aca="false">ROUND(D216-N216-MIN(D216-N216,MAX(0,$AF216-SUMPRODUCT(--($B$4:$K$4&lt;D$4),$B216:$K216-$L216:$U216))),2)</f>
        <v>0</v>
      </c>
      <c r="Y216" s="39" t="n">
        <f aca="false">ROUND(E216-O216-MIN(E216-O216,MAX(0,$AF216-SUMPRODUCT(--($B$4:$K$4&lt;E$4),$B216:$K216-$L216:$U216))),2)</f>
        <v>0</v>
      </c>
      <c r="Z216" s="39" t="n">
        <f aca="false">ROUND(F216-P216-MIN(F216-P216,MAX(0,$AF216-SUMPRODUCT(--($B$4:$K$4&lt;F$4),$B216:$K216-$L216:$U216))),2)</f>
        <v>0</v>
      </c>
      <c r="AA216" s="39" t="n">
        <f aca="false">ROUND(G216-Q216-MIN(G216-Q216,MAX(0,$AF216-SUMPRODUCT(--($B$4:$K$4&lt;G$4),$B216:$K216-$L216:$U216))),2)</f>
        <v>0</v>
      </c>
      <c r="AB216" s="39" t="n">
        <f aca="false">ROUND(H216-R216-MIN(H216-R216,MAX(0,$AF216-SUMPRODUCT(--($B$4:$K$4&lt;H$4),$B216:$K216-$L216:$U216))),2)</f>
        <v>0</v>
      </c>
      <c r="AC216" s="39" t="n">
        <f aca="false">ROUND(I216-S216-MIN(I216-S216,MAX(0,$AF216-SUMPRODUCT(--($B$4:$K$4&lt;I$4),$B216:$K216-$L216:$U216))),2)</f>
        <v>0</v>
      </c>
      <c r="AD216" s="39" t="n">
        <f aca="false">ROUND(J216-T216-MIN(J216-T216,MAX(0,$AF216-SUMPRODUCT(--($B$4:$K$4&lt;J$4),$B216:$K216-$L216:$U216))),2)</f>
        <v>0</v>
      </c>
      <c r="AE216" s="39" t="n">
        <f aca="false">ROUND(K216-U216-MIN(K216-U216,MAX(0,$AF216-SUMPRODUCT(--($B$4:$K$4&lt;K$4),$B216:$K216-$L216:$U216))),2)</f>
        <v>0</v>
      </c>
      <c r="AF216" s="39" t="n">
        <f aca="false">MAX(0,'Start Here'!$C$5-SUM($L216:$U216))</f>
        <v>1200</v>
      </c>
      <c r="AG216" s="39" t="n">
        <f aca="false">SUM(V216:AE216)</f>
        <v>0</v>
      </c>
      <c r="AH216" s="39" t="n">
        <f aca="false">SUM(B216:K216)-AG215</f>
        <v>0</v>
      </c>
    </row>
    <row r="217" customFormat="false" ht="15" hidden="false" customHeight="false" outlineLevel="0" collapsed="false">
      <c r="A217" s="40" t="n">
        <f aca="false">DATE(YEAR('Start Here'!$C$6),MONTH('Start Here'!$C$6)+210,1)</f>
        <v>52688</v>
      </c>
      <c r="B217" s="39" t="n">
        <f aca="false">ROUND(V216*(1+N('My Debts'!$D$6)/12),2)</f>
        <v>0</v>
      </c>
      <c r="C217" s="39" t="n">
        <f aca="false">ROUND(W216*(1+N('My Debts'!$D$7)/12),2)</f>
        <v>0</v>
      </c>
      <c r="D217" s="39" t="n">
        <f aca="false">ROUND(X216*(1+N('My Debts'!$D$8)/12),2)</f>
        <v>0</v>
      </c>
      <c r="E217" s="39" t="n">
        <f aca="false">ROUND(Y216*(1+N('My Debts'!$D$9)/12),2)</f>
        <v>0</v>
      </c>
      <c r="F217" s="39" t="n">
        <f aca="false">ROUND(Z216*(1+N('My Debts'!$D$10)/12),2)</f>
        <v>0</v>
      </c>
      <c r="G217" s="39" t="n">
        <f aca="false">ROUND(AA216*(1+N('My Debts'!$D$11)/12),2)</f>
        <v>0</v>
      </c>
      <c r="H217" s="39" t="n">
        <f aca="false">ROUND(AB216*(1+N('My Debts'!$D$12)/12),2)</f>
        <v>0</v>
      </c>
      <c r="I217" s="39" t="n">
        <f aca="false">ROUND(AC216*(1+N('My Debts'!$D$13)/12),2)</f>
        <v>0</v>
      </c>
      <c r="J217" s="39" t="n">
        <f aca="false">ROUND(AD216*(1+N('My Debts'!$D$14)/12),2)</f>
        <v>0</v>
      </c>
      <c r="K217" s="39" t="n">
        <f aca="false">ROUND(AE216*(1+N('My Debts'!$D$15)/12),2)</f>
        <v>0</v>
      </c>
      <c r="L217" s="39" t="n">
        <f aca="false">MIN(N('My Debts'!$E$6),B217)</f>
        <v>0</v>
      </c>
      <c r="M217" s="39" t="n">
        <f aca="false">MIN(N('My Debts'!$E$7),C217)</f>
        <v>0</v>
      </c>
      <c r="N217" s="39" t="n">
        <f aca="false">MIN(N('My Debts'!$E$8),D217)</f>
        <v>0</v>
      </c>
      <c r="O217" s="39" t="n">
        <f aca="false">MIN(N('My Debts'!$E$9),E217)</f>
        <v>0</v>
      </c>
      <c r="P217" s="39" t="n">
        <f aca="false">MIN(N('My Debts'!$E$10),F217)</f>
        <v>0</v>
      </c>
      <c r="Q217" s="39" t="n">
        <f aca="false">MIN(N('My Debts'!$E$11),G217)</f>
        <v>0</v>
      </c>
      <c r="R217" s="39" t="n">
        <f aca="false">MIN(N('My Debts'!$E$12),H217)</f>
        <v>0</v>
      </c>
      <c r="S217" s="39" t="n">
        <f aca="false">MIN(N('My Debts'!$E$13),I217)</f>
        <v>0</v>
      </c>
      <c r="T217" s="39" t="n">
        <f aca="false">MIN(N('My Debts'!$E$14),J217)</f>
        <v>0</v>
      </c>
      <c r="U217" s="39" t="n">
        <f aca="false">MIN(N('My Debts'!$E$15),K217)</f>
        <v>0</v>
      </c>
      <c r="V217" s="39" t="n">
        <f aca="false">ROUND(B217-L217-MIN(B217-L217,MAX(0,$AF217-SUMPRODUCT(--($B$4:$K$4&lt;B$4),$B217:$K217-$L217:$U217))),2)</f>
        <v>0</v>
      </c>
      <c r="W217" s="39" t="n">
        <f aca="false">ROUND(C217-M217-MIN(C217-M217,MAX(0,$AF217-SUMPRODUCT(--($B$4:$K$4&lt;C$4),$B217:$K217-$L217:$U217))),2)</f>
        <v>0</v>
      </c>
      <c r="X217" s="39" t="n">
        <f aca="false">ROUND(D217-N217-MIN(D217-N217,MAX(0,$AF217-SUMPRODUCT(--($B$4:$K$4&lt;D$4),$B217:$K217-$L217:$U217))),2)</f>
        <v>0</v>
      </c>
      <c r="Y217" s="39" t="n">
        <f aca="false">ROUND(E217-O217-MIN(E217-O217,MAX(0,$AF217-SUMPRODUCT(--($B$4:$K$4&lt;E$4),$B217:$K217-$L217:$U217))),2)</f>
        <v>0</v>
      </c>
      <c r="Z217" s="39" t="n">
        <f aca="false">ROUND(F217-P217-MIN(F217-P217,MAX(0,$AF217-SUMPRODUCT(--($B$4:$K$4&lt;F$4),$B217:$K217-$L217:$U217))),2)</f>
        <v>0</v>
      </c>
      <c r="AA217" s="39" t="n">
        <f aca="false">ROUND(G217-Q217-MIN(G217-Q217,MAX(0,$AF217-SUMPRODUCT(--($B$4:$K$4&lt;G$4),$B217:$K217-$L217:$U217))),2)</f>
        <v>0</v>
      </c>
      <c r="AB217" s="39" t="n">
        <f aca="false">ROUND(H217-R217-MIN(H217-R217,MAX(0,$AF217-SUMPRODUCT(--($B$4:$K$4&lt;H$4),$B217:$K217-$L217:$U217))),2)</f>
        <v>0</v>
      </c>
      <c r="AC217" s="39" t="n">
        <f aca="false">ROUND(I217-S217-MIN(I217-S217,MAX(0,$AF217-SUMPRODUCT(--($B$4:$K$4&lt;I$4),$B217:$K217-$L217:$U217))),2)</f>
        <v>0</v>
      </c>
      <c r="AD217" s="39" t="n">
        <f aca="false">ROUND(J217-T217-MIN(J217-T217,MAX(0,$AF217-SUMPRODUCT(--($B$4:$K$4&lt;J$4),$B217:$K217-$L217:$U217))),2)</f>
        <v>0</v>
      </c>
      <c r="AE217" s="39" t="n">
        <f aca="false">ROUND(K217-U217-MIN(K217-U217,MAX(0,$AF217-SUMPRODUCT(--($B$4:$K$4&lt;K$4),$B217:$K217-$L217:$U217))),2)</f>
        <v>0</v>
      </c>
      <c r="AF217" s="39" t="n">
        <f aca="false">MAX(0,'Start Here'!$C$5-SUM($L217:$U217))</f>
        <v>1200</v>
      </c>
      <c r="AG217" s="39" t="n">
        <f aca="false">SUM(V217:AE217)</f>
        <v>0</v>
      </c>
      <c r="AH217" s="39" t="n">
        <f aca="false">SUM(B217:K217)-AG216</f>
        <v>0</v>
      </c>
    </row>
    <row r="218" customFormat="false" ht="15" hidden="false" customHeight="false" outlineLevel="0" collapsed="false">
      <c r="A218" s="40" t="n">
        <f aca="false">DATE(YEAR('Start Here'!$C$6),MONTH('Start Here'!$C$6)+211,1)</f>
        <v>52718</v>
      </c>
      <c r="B218" s="39" t="n">
        <f aca="false">ROUND(V217*(1+N('My Debts'!$D$6)/12),2)</f>
        <v>0</v>
      </c>
      <c r="C218" s="39" t="n">
        <f aca="false">ROUND(W217*(1+N('My Debts'!$D$7)/12),2)</f>
        <v>0</v>
      </c>
      <c r="D218" s="39" t="n">
        <f aca="false">ROUND(X217*(1+N('My Debts'!$D$8)/12),2)</f>
        <v>0</v>
      </c>
      <c r="E218" s="39" t="n">
        <f aca="false">ROUND(Y217*(1+N('My Debts'!$D$9)/12),2)</f>
        <v>0</v>
      </c>
      <c r="F218" s="39" t="n">
        <f aca="false">ROUND(Z217*(1+N('My Debts'!$D$10)/12),2)</f>
        <v>0</v>
      </c>
      <c r="G218" s="39" t="n">
        <f aca="false">ROUND(AA217*(1+N('My Debts'!$D$11)/12),2)</f>
        <v>0</v>
      </c>
      <c r="H218" s="39" t="n">
        <f aca="false">ROUND(AB217*(1+N('My Debts'!$D$12)/12),2)</f>
        <v>0</v>
      </c>
      <c r="I218" s="39" t="n">
        <f aca="false">ROUND(AC217*(1+N('My Debts'!$D$13)/12),2)</f>
        <v>0</v>
      </c>
      <c r="J218" s="39" t="n">
        <f aca="false">ROUND(AD217*(1+N('My Debts'!$D$14)/12),2)</f>
        <v>0</v>
      </c>
      <c r="K218" s="39" t="n">
        <f aca="false">ROUND(AE217*(1+N('My Debts'!$D$15)/12),2)</f>
        <v>0</v>
      </c>
      <c r="L218" s="39" t="n">
        <f aca="false">MIN(N('My Debts'!$E$6),B218)</f>
        <v>0</v>
      </c>
      <c r="M218" s="39" t="n">
        <f aca="false">MIN(N('My Debts'!$E$7),C218)</f>
        <v>0</v>
      </c>
      <c r="N218" s="39" t="n">
        <f aca="false">MIN(N('My Debts'!$E$8),D218)</f>
        <v>0</v>
      </c>
      <c r="O218" s="39" t="n">
        <f aca="false">MIN(N('My Debts'!$E$9),E218)</f>
        <v>0</v>
      </c>
      <c r="P218" s="39" t="n">
        <f aca="false">MIN(N('My Debts'!$E$10),F218)</f>
        <v>0</v>
      </c>
      <c r="Q218" s="39" t="n">
        <f aca="false">MIN(N('My Debts'!$E$11),G218)</f>
        <v>0</v>
      </c>
      <c r="R218" s="39" t="n">
        <f aca="false">MIN(N('My Debts'!$E$12),H218)</f>
        <v>0</v>
      </c>
      <c r="S218" s="39" t="n">
        <f aca="false">MIN(N('My Debts'!$E$13),I218)</f>
        <v>0</v>
      </c>
      <c r="T218" s="39" t="n">
        <f aca="false">MIN(N('My Debts'!$E$14),J218)</f>
        <v>0</v>
      </c>
      <c r="U218" s="39" t="n">
        <f aca="false">MIN(N('My Debts'!$E$15),K218)</f>
        <v>0</v>
      </c>
      <c r="V218" s="39" t="n">
        <f aca="false">ROUND(B218-L218-MIN(B218-L218,MAX(0,$AF218-SUMPRODUCT(--($B$4:$K$4&lt;B$4),$B218:$K218-$L218:$U218))),2)</f>
        <v>0</v>
      </c>
      <c r="W218" s="39" t="n">
        <f aca="false">ROUND(C218-M218-MIN(C218-M218,MAX(0,$AF218-SUMPRODUCT(--($B$4:$K$4&lt;C$4),$B218:$K218-$L218:$U218))),2)</f>
        <v>0</v>
      </c>
      <c r="X218" s="39" t="n">
        <f aca="false">ROUND(D218-N218-MIN(D218-N218,MAX(0,$AF218-SUMPRODUCT(--($B$4:$K$4&lt;D$4),$B218:$K218-$L218:$U218))),2)</f>
        <v>0</v>
      </c>
      <c r="Y218" s="39" t="n">
        <f aca="false">ROUND(E218-O218-MIN(E218-O218,MAX(0,$AF218-SUMPRODUCT(--($B$4:$K$4&lt;E$4),$B218:$K218-$L218:$U218))),2)</f>
        <v>0</v>
      </c>
      <c r="Z218" s="39" t="n">
        <f aca="false">ROUND(F218-P218-MIN(F218-P218,MAX(0,$AF218-SUMPRODUCT(--($B$4:$K$4&lt;F$4),$B218:$K218-$L218:$U218))),2)</f>
        <v>0</v>
      </c>
      <c r="AA218" s="39" t="n">
        <f aca="false">ROUND(G218-Q218-MIN(G218-Q218,MAX(0,$AF218-SUMPRODUCT(--($B$4:$K$4&lt;G$4),$B218:$K218-$L218:$U218))),2)</f>
        <v>0</v>
      </c>
      <c r="AB218" s="39" t="n">
        <f aca="false">ROUND(H218-R218-MIN(H218-R218,MAX(0,$AF218-SUMPRODUCT(--($B$4:$K$4&lt;H$4),$B218:$K218-$L218:$U218))),2)</f>
        <v>0</v>
      </c>
      <c r="AC218" s="39" t="n">
        <f aca="false">ROUND(I218-S218-MIN(I218-S218,MAX(0,$AF218-SUMPRODUCT(--($B$4:$K$4&lt;I$4),$B218:$K218-$L218:$U218))),2)</f>
        <v>0</v>
      </c>
      <c r="AD218" s="39" t="n">
        <f aca="false">ROUND(J218-T218-MIN(J218-T218,MAX(0,$AF218-SUMPRODUCT(--($B$4:$K$4&lt;J$4),$B218:$K218-$L218:$U218))),2)</f>
        <v>0</v>
      </c>
      <c r="AE218" s="39" t="n">
        <f aca="false">ROUND(K218-U218-MIN(K218-U218,MAX(0,$AF218-SUMPRODUCT(--($B$4:$K$4&lt;K$4),$B218:$K218-$L218:$U218))),2)</f>
        <v>0</v>
      </c>
      <c r="AF218" s="39" t="n">
        <f aca="false">MAX(0,'Start Here'!$C$5-SUM($L218:$U218))</f>
        <v>1200</v>
      </c>
      <c r="AG218" s="39" t="n">
        <f aca="false">SUM(V218:AE218)</f>
        <v>0</v>
      </c>
      <c r="AH218" s="39" t="n">
        <f aca="false">SUM(B218:K218)-AG217</f>
        <v>0</v>
      </c>
    </row>
    <row r="219" customFormat="false" ht="15" hidden="false" customHeight="false" outlineLevel="0" collapsed="false">
      <c r="A219" s="40" t="n">
        <f aca="false">DATE(YEAR('Start Here'!$C$6),MONTH('Start Here'!$C$6)+212,1)</f>
        <v>52749</v>
      </c>
      <c r="B219" s="39" t="n">
        <f aca="false">ROUND(V218*(1+N('My Debts'!$D$6)/12),2)</f>
        <v>0</v>
      </c>
      <c r="C219" s="39" t="n">
        <f aca="false">ROUND(W218*(1+N('My Debts'!$D$7)/12),2)</f>
        <v>0</v>
      </c>
      <c r="D219" s="39" t="n">
        <f aca="false">ROUND(X218*(1+N('My Debts'!$D$8)/12),2)</f>
        <v>0</v>
      </c>
      <c r="E219" s="39" t="n">
        <f aca="false">ROUND(Y218*(1+N('My Debts'!$D$9)/12),2)</f>
        <v>0</v>
      </c>
      <c r="F219" s="39" t="n">
        <f aca="false">ROUND(Z218*(1+N('My Debts'!$D$10)/12),2)</f>
        <v>0</v>
      </c>
      <c r="G219" s="39" t="n">
        <f aca="false">ROUND(AA218*(1+N('My Debts'!$D$11)/12),2)</f>
        <v>0</v>
      </c>
      <c r="H219" s="39" t="n">
        <f aca="false">ROUND(AB218*(1+N('My Debts'!$D$12)/12),2)</f>
        <v>0</v>
      </c>
      <c r="I219" s="39" t="n">
        <f aca="false">ROUND(AC218*(1+N('My Debts'!$D$13)/12),2)</f>
        <v>0</v>
      </c>
      <c r="J219" s="39" t="n">
        <f aca="false">ROUND(AD218*(1+N('My Debts'!$D$14)/12),2)</f>
        <v>0</v>
      </c>
      <c r="K219" s="39" t="n">
        <f aca="false">ROUND(AE218*(1+N('My Debts'!$D$15)/12),2)</f>
        <v>0</v>
      </c>
      <c r="L219" s="39" t="n">
        <f aca="false">MIN(N('My Debts'!$E$6),B219)</f>
        <v>0</v>
      </c>
      <c r="M219" s="39" t="n">
        <f aca="false">MIN(N('My Debts'!$E$7),C219)</f>
        <v>0</v>
      </c>
      <c r="N219" s="39" t="n">
        <f aca="false">MIN(N('My Debts'!$E$8),D219)</f>
        <v>0</v>
      </c>
      <c r="O219" s="39" t="n">
        <f aca="false">MIN(N('My Debts'!$E$9),E219)</f>
        <v>0</v>
      </c>
      <c r="P219" s="39" t="n">
        <f aca="false">MIN(N('My Debts'!$E$10),F219)</f>
        <v>0</v>
      </c>
      <c r="Q219" s="39" t="n">
        <f aca="false">MIN(N('My Debts'!$E$11),G219)</f>
        <v>0</v>
      </c>
      <c r="R219" s="39" t="n">
        <f aca="false">MIN(N('My Debts'!$E$12),H219)</f>
        <v>0</v>
      </c>
      <c r="S219" s="39" t="n">
        <f aca="false">MIN(N('My Debts'!$E$13),I219)</f>
        <v>0</v>
      </c>
      <c r="T219" s="39" t="n">
        <f aca="false">MIN(N('My Debts'!$E$14),J219)</f>
        <v>0</v>
      </c>
      <c r="U219" s="39" t="n">
        <f aca="false">MIN(N('My Debts'!$E$15),K219)</f>
        <v>0</v>
      </c>
      <c r="V219" s="39" t="n">
        <f aca="false">ROUND(B219-L219-MIN(B219-L219,MAX(0,$AF219-SUMPRODUCT(--($B$4:$K$4&lt;B$4),$B219:$K219-$L219:$U219))),2)</f>
        <v>0</v>
      </c>
      <c r="W219" s="39" t="n">
        <f aca="false">ROUND(C219-M219-MIN(C219-M219,MAX(0,$AF219-SUMPRODUCT(--($B$4:$K$4&lt;C$4),$B219:$K219-$L219:$U219))),2)</f>
        <v>0</v>
      </c>
      <c r="X219" s="39" t="n">
        <f aca="false">ROUND(D219-N219-MIN(D219-N219,MAX(0,$AF219-SUMPRODUCT(--($B$4:$K$4&lt;D$4),$B219:$K219-$L219:$U219))),2)</f>
        <v>0</v>
      </c>
      <c r="Y219" s="39" t="n">
        <f aca="false">ROUND(E219-O219-MIN(E219-O219,MAX(0,$AF219-SUMPRODUCT(--($B$4:$K$4&lt;E$4),$B219:$K219-$L219:$U219))),2)</f>
        <v>0</v>
      </c>
      <c r="Z219" s="39" t="n">
        <f aca="false">ROUND(F219-P219-MIN(F219-P219,MAX(0,$AF219-SUMPRODUCT(--($B$4:$K$4&lt;F$4),$B219:$K219-$L219:$U219))),2)</f>
        <v>0</v>
      </c>
      <c r="AA219" s="39" t="n">
        <f aca="false">ROUND(G219-Q219-MIN(G219-Q219,MAX(0,$AF219-SUMPRODUCT(--($B$4:$K$4&lt;G$4),$B219:$K219-$L219:$U219))),2)</f>
        <v>0</v>
      </c>
      <c r="AB219" s="39" t="n">
        <f aca="false">ROUND(H219-R219-MIN(H219-R219,MAX(0,$AF219-SUMPRODUCT(--($B$4:$K$4&lt;H$4),$B219:$K219-$L219:$U219))),2)</f>
        <v>0</v>
      </c>
      <c r="AC219" s="39" t="n">
        <f aca="false">ROUND(I219-S219-MIN(I219-S219,MAX(0,$AF219-SUMPRODUCT(--($B$4:$K$4&lt;I$4),$B219:$K219-$L219:$U219))),2)</f>
        <v>0</v>
      </c>
      <c r="AD219" s="39" t="n">
        <f aca="false">ROUND(J219-T219-MIN(J219-T219,MAX(0,$AF219-SUMPRODUCT(--($B$4:$K$4&lt;J$4),$B219:$K219-$L219:$U219))),2)</f>
        <v>0</v>
      </c>
      <c r="AE219" s="39" t="n">
        <f aca="false">ROUND(K219-U219-MIN(K219-U219,MAX(0,$AF219-SUMPRODUCT(--($B$4:$K$4&lt;K$4),$B219:$K219-$L219:$U219))),2)</f>
        <v>0</v>
      </c>
      <c r="AF219" s="39" t="n">
        <f aca="false">MAX(0,'Start Here'!$C$5-SUM($L219:$U219))</f>
        <v>1200</v>
      </c>
      <c r="AG219" s="39" t="n">
        <f aca="false">SUM(V219:AE219)</f>
        <v>0</v>
      </c>
      <c r="AH219" s="39" t="n">
        <f aca="false">SUM(B219:K219)-AG218</f>
        <v>0</v>
      </c>
    </row>
    <row r="220" customFormat="false" ht="15" hidden="false" customHeight="false" outlineLevel="0" collapsed="false">
      <c r="A220" s="40" t="n">
        <f aca="false">DATE(YEAR('Start Here'!$C$6),MONTH('Start Here'!$C$6)+213,1)</f>
        <v>52779</v>
      </c>
      <c r="B220" s="39" t="n">
        <f aca="false">ROUND(V219*(1+N('My Debts'!$D$6)/12),2)</f>
        <v>0</v>
      </c>
      <c r="C220" s="39" t="n">
        <f aca="false">ROUND(W219*(1+N('My Debts'!$D$7)/12),2)</f>
        <v>0</v>
      </c>
      <c r="D220" s="39" t="n">
        <f aca="false">ROUND(X219*(1+N('My Debts'!$D$8)/12),2)</f>
        <v>0</v>
      </c>
      <c r="E220" s="39" t="n">
        <f aca="false">ROUND(Y219*(1+N('My Debts'!$D$9)/12),2)</f>
        <v>0</v>
      </c>
      <c r="F220" s="39" t="n">
        <f aca="false">ROUND(Z219*(1+N('My Debts'!$D$10)/12),2)</f>
        <v>0</v>
      </c>
      <c r="G220" s="39" t="n">
        <f aca="false">ROUND(AA219*(1+N('My Debts'!$D$11)/12),2)</f>
        <v>0</v>
      </c>
      <c r="H220" s="39" t="n">
        <f aca="false">ROUND(AB219*(1+N('My Debts'!$D$12)/12),2)</f>
        <v>0</v>
      </c>
      <c r="I220" s="39" t="n">
        <f aca="false">ROUND(AC219*(1+N('My Debts'!$D$13)/12),2)</f>
        <v>0</v>
      </c>
      <c r="J220" s="39" t="n">
        <f aca="false">ROUND(AD219*(1+N('My Debts'!$D$14)/12),2)</f>
        <v>0</v>
      </c>
      <c r="K220" s="39" t="n">
        <f aca="false">ROUND(AE219*(1+N('My Debts'!$D$15)/12),2)</f>
        <v>0</v>
      </c>
      <c r="L220" s="39" t="n">
        <f aca="false">MIN(N('My Debts'!$E$6),B220)</f>
        <v>0</v>
      </c>
      <c r="M220" s="39" t="n">
        <f aca="false">MIN(N('My Debts'!$E$7),C220)</f>
        <v>0</v>
      </c>
      <c r="N220" s="39" t="n">
        <f aca="false">MIN(N('My Debts'!$E$8),D220)</f>
        <v>0</v>
      </c>
      <c r="O220" s="39" t="n">
        <f aca="false">MIN(N('My Debts'!$E$9),E220)</f>
        <v>0</v>
      </c>
      <c r="P220" s="39" t="n">
        <f aca="false">MIN(N('My Debts'!$E$10),F220)</f>
        <v>0</v>
      </c>
      <c r="Q220" s="39" t="n">
        <f aca="false">MIN(N('My Debts'!$E$11),G220)</f>
        <v>0</v>
      </c>
      <c r="R220" s="39" t="n">
        <f aca="false">MIN(N('My Debts'!$E$12),H220)</f>
        <v>0</v>
      </c>
      <c r="S220" s="39" t="n">
        <f aca="false">MIN(N('My Debts'!$E$13),I220)</f>
        <v>0</v>
      </c>
      <c r="T220" s="39" t="n">
        <f aca="false">MIN(N('My Debts'!$E$14),J220)</f>
        <v>0</v>
      </c>
      <c r="U220" s="39" t="n">
        <f aca="false">MIN(N('My Debts'!$E$15),K220)</f>
        <v>0</v>
      </c>
      <c r="V220" s="39" t="n">
        <f aca="false">ROUND(B220-L220-MIN(B220-L220,MAX(0,$AF220-SUMPRODUCT(--($B$4:$K$4&lt;B$4),$B220:$K220-$L220:$U220))),2)</f>
        <v>0</v>
      </c>
      <c r="W220" s="39" t="n">
        <f aca="false">ROUND(C220-M220-MIN(C220-M220,MAX(0,$AF220-SUMPRODUCT(--($B$4:$K$4&lt;C$4),$B220:$K220-$L220:$U220))),2)</f>
        <v>0</v>
      </c>
      <c r="X220" s="39" t="n">
        <f aca="false">ROUND(D220-N220-MIN(D220-N220,MAX(0,$AF220-SUMPRODUCT(--($B$4:$K$4&lt;D$4),$B220:$K220-$L220:$U220))),2)</f>
        <v>0</v>
      </c>
      <c r="Y220" s="39" t="n">
        <f aca="false">ROUND(E220-O220-MIN(E220-O220,MAX(0,$AF220-SUMPRODUCT(--($B$4:$K$4&lt;E$4),$B220:$K220-$L220:$U220))),2)</f>
        <v>0</v>
      </c>
      <c r="Z220" s="39" t="n">
        <f aca="false">ROUND(F220-P220-MIN(F220-P220,MAX(0,$AF220-SUMPRODUCT(--($B$4:$K$4&lt;F$4),$B220:$K220-$L220:$U220))),2)</f>
        <v>0</v>
      </c>
      <c r="AA220" s="39" t="n">
        <f aca="false">ROUND(G220-Q220-MIN(G220-Q220,MAX(0,$AF220-SUMPRODUCT(--($B$4:$K$4&lt;G$4),$B220:$K220-$L220:$U220))),2)</f>
        <v>0</v>
      </c>
      <c r="AB220" s="39" t="n">
        <f aca="false">ROUND(H220-R220-MIN(H220-R220,MAX(0,$AF220-SUMPRODUCT(--($B$4:$K$4&lt;H$4),$B220:$K220-$L220:$U220))),2)</f>
        <v>0</v>
      </c>
      <c r="AC220" s="39" t="n">
        <f aca="false">ROUND(I220-S220-MIN(I220-S220,MAX(0,$AF220-SUMPRODUCT(--($B$4:$K$4&lt;I$4),$B220:$K220-$L220:$U220))),2)</f>
        <v>0</v>
      </c>
      <c r="AD220" s="39" t="n">
        <f aca="false">ROUND(J220-T220-MIN(J220-T220,MAX(0,$AF220-SUMPRODUCT(--($B$4:$K$4&lt;J$4),$B220:$K220-$L220:$U220))),2)</f>
        <v>0</v>
      </c>
      <c r="AE220" s="39" t="n">
        <f aca="false">ROUND(K220-U220-MIN(K220-U220,MAX(0,$AF220-SUMPRODUCT(--($B$4:$K$4&lt;K$4),$B220:$K220-$L220:$U220))),2)</f>
        <v>0</v>
      </c>
      <c r="AF220" s="39" t="n">
        <f aca="false">MAX(0,'Start Here'!$C$5-SUM($L220:$U220))</f>
        <v>1200</v>
      </c>
      <c r="AG220" s="39" t="n">
        <f aca="false">SUM(V220:AE220)</f>
        <v>0</v>
      </c>
      <c r="AH220" s="39" t="n">
        <f aca="false">SUM(B220:K220)-AG219</f>
        <v>0</v>
      </c>
    </row>
    <row r="221" customFormat="false" ht="15" hidden="false" customHeight="false" outlineLevel="0" collapsed="false">
      <c r="A221" s="40" t="n">
        <f aca="false">DATE(YEAR('Start Here'!$C$6),MONTH('Start Here'!$C$6)+214,1)</f>
        <v>52810</v>
      </c>
      <c r="B221" s="39" t="n">
        <f aca="false">ROUND(V220*(1+N('My Debts'!$D$6)/12),2)</f>
        <v>0</v>
      </c>
      <c r="C221" s="39" t="n">
        <f aca="false">ROUND(W220*(1+N('My Debts'!$D$7)/12),2)</f>
        <v>0</v>
      </c>
      <c r="D221" s="39" t="n">
        <f aca="false">ROUND(X220*(1+N('My Debts'!$D$8)/12),2)</f>
        <v>0</v>
      </c>
      <c r="E221" s="39" t="n">
        <f aca="false">ROUND(Y220*(1+N('My Debts'!$D$9)/12),2)</f>
        <v>0</v>
      </c>
      <c r="F221" s="39" t="n">
        <f aca="false">ROUND(Z220*(1+N('My Debts'!$D$10)/12),2)</f>
        <v>0</v>
      </c>
      <c r="G221" s="39" t="n">
        <f aca="false">ROUND(AA220*(1+N('My Debts'!$D$11)/12),2)</f>
        <v>0</v>
      </c>
      <c r="H221" s="39" t="n">
        <f aca="false">ROUND(AB220*(1+N('My Debts'!$D$12)/12),2)</f>
        <v>0</v>
      </c>
      <c r="I221" s="39" t="n">
        <f aca="false">ROUND(AC220*(1+N('My Debts'!$D$13)/12),2)</f>
        <v>0</v>
      </c>
      <c r="J221" s="39" t="n">
        <f aca="false">ROUND(AD220*(1+N('My Debts'!$D$14)/12),2)</f>
        <v>0</v>
      </c>
      <c r="K221" s="39" t="n">
        <f aca="false">ROUND(AE220*(1+N('My Debts'!$D$15)/12),2)</f>
        <v>0</v>
      </c>
      <c r="L221" s="39" t="n">
        <f aca="false">MIN(N('My Debts'!$E$6),B221)</f>
        <v>0</v>
      </c>
      <c r="M221" s="39" t="n">
        <f aca="false">MIN(N('My Debts'!$E$7),C221)</f>
        <v>0</v>
      </c>
      <c r="N221" s="39" t="n">
        <f aca="false">MIN(N('My Debts'!$E$8),D221)</f>
        <v>0</v>
      </c>
      <c r="O221" s="39" t="n">
        <f aca="false">MIN(N('My Debts'!$E$9),E221)</f>
        <v>0</v>
      </c>
      <c r="P221" s="39" t="n">
        <f aca="false">MIN(N('My Debts'!$E$10),F221)</f>
        <v>0</v>
      </c>
      <c r="Q221" s="39" t="n">
        <f aca="false">MIN(N('My Debts'!$E$11),G221)</f>
        <v>0</v>
      </c>
      <c r="R221" s="39" t="n">
        <f aca="false">MIN(N('My Debts'!$E$12),H221)</f>
        <v>0</v>
      </c>
      <c r="S221" s="39" t="n">
        <f aca="false">MIN(N('My Debts'!$E$13),I221)</f>
        <v>0</v>
      </c>
      <c r="T221" s="39" t="n">
        <f aca="false">MIN(N('My Debts'!$E$14),J221)</f>
        <v>0</v>
      </c>
      <c r="U221" s="39" t="n">
        <f aca="false">MIN(N('My Debts'!$E$15),K221)</f>
        <v>0</v>
      </c>
      <c r="V221" s="39" t="n">
        <f aca="false">ROUND(B221-L221-MIN(B221-L221,MAX(0,$AF221-SUMPRODUCT(--($B$4:$K$4&lt;B$4),$B221:$K221-$L221:$U221))),2)</f>
        <v>0</v>
      </c>
      <c r="W221" s="39" t="n">
        <f aca="false">ROUND(C221-M221-MIN(C221-M221,MAX(0,$AF221-SUMPRODUCT(--($B$4:$K$4&lt;C$4),$B221:$K221-$L221:$U221))),2)</f>
        <v>0</v>
      </c>
      <c r="X221" s="39" t="n">
        <f aca="false">ROUND(D221-N221-MIN(D221-N221,MAX(0,$AF221-SUMPRODUCT(--($B$4:$K$4&lt;D$4),$B221:$K221-$L221:$U221))),2)</f>
        <v>0</v>
      </c>
      <c r="Y221" s="39" t="n">
        <f aca="false">ROUND(E221-O221-MIN(E221-O221,MAX(0,$AF221-SUMPRODUCT(--($B$4:$K$4&lt;E$4),$B221:$K221-$L221:$U221))),2)</f>
        <v>0</v>
      </c>
      <c r="Z221" s="39" t="n">
        <f aca="false">ROUND(F221-P221-MIN(F221-P221,MAX(0,$AF221-SUMPRODUCT(--($B$4:$K$4&lt;F$4),$B221:$K221-$L221:$U221))),2)</f>
        <v>0</v>
      </c>
      <c r="AA221" s="39" t="n">
        <f aca="false">ROUND(G221-Q221-MIN(G221-Q221,MAX(0,$AF221-SUMPRODUCT(--($B$4:$K$4&lt;G$4),$B221:$K221-$L221:$U221))),2)</f>
        <v>0</v>
      </c>
      <c r="AB221" s="39" t="n">
        <f aca="false">ROUND(H221-R221-MIN(H221-R221,MAX(0,$AF221-SUMPRODUCT(--($B$4:$K$4&lt;H$4),$B221:$K221-$L221:$U221))),2)</f>
        <v>0</v>
      </c>
      <c r="AC221" s="39" t="n">
        <f aca="false">ROUND(I221-S221-MIN(I221-S221,MAX(0,$AF221-SUMPRODUCT(--($B$4:$K$4&lt;I$4),$B221:$K221-$L221:$U221))),2)</f>
        <v>0</v>
      </c>
      <c r="AD221" s="39" t="n">
        <f aca="false">ROUND(J221-T221-MIN(J221-T221,MAX(0,$AF221-SUMPRODUCT(--($B$4:$K$4&lt;J$4),$B221:$K221-$L221:$U221))),2)</f>
        <v>0</v>
      </c>
      <c r="AE221" s="39" t="n">
        <f aca="false">ROUND(K221-U221-MIN(K221-U221,MAX(0,$AF221-SUMPRODUCT(--($B$4:$K$4&lt;K$4),$B221:$K221-$L221:$U221))),2)</f>
        <v>0</v>
      </c>
      <c r="AF221" s="39" t="n">
        <f aca="false">MAX(0,'Start Here'!$C$5-SUM($L221:$U221))</f>
        <v>1200</v>
      </c>
      <c r="AG221" s="39" t="n">
        <f aca="false">SUM(V221:AE221)</f>
        <v>0</v>
      </c>
      <c r="AH221" s="39" t="n">
        <f aca="false">SUM(B221:K221)-AG220</f>
        <v>0</v>
      </c>
    </row>
    <row r="222" customFormat="false" ht="15" hidden="false" customHeight="false" outlineLevel="0" collapsed="false">
      <c r="A222" s="40" t="n">
        <f aca="false">DATE(YEAR('Start Here'!$C$6),MONTH('Start Here'!$C$6)+215,1)</f>
        <v>52841</v>
      </c>
      <c r="B222" s="39" t="n">
        <f aca="false">ROUND(V221*(1+N('My Debts'!$D$6)/12),2)</f>
        <v>0</v>
      </c>
      <c r="C222" s="39" t="n">
        <f aca="false">ROUND(W221*(1+N('My Debts'!$D$7)/12),2)</f>
        <v>0</v>
      </c>
      <c r="D222" s="39" t="n">
        <f aca="false">ROUND(X221*(1+N('My Debts'!$D$8)/12),2)</f>
        <v>0</v>
      </c>
      <c r="E222" s="39" t="n">
        <f aca="false">ROUND(Y221*(1+N('My Debts'!$D$9)/12),2)</f>
        <v>0</v>
      </c>
      <c r="F222" s="39" t="n">
        <f aca="false">ROUND(Z221*(1+N('My Debts'!$D$10)/12),2)</f>
        <v>0</v>
      </c>
      <c r="G222" s="39" t="n">
        <f aca="false">ROUND(AA221*(1+N('My Debts'!$D$11)/12),2)</f>
        <v>0</v>
      </c>
      <c r="H222" s="39" t="n">
        <f aca="false">ROUND(AB221*(1+N('My Debts'!$D$12)/12),2)</f>
        <v>0</v>
      </c>
      <c r="I222" s="39" t="n">
        <f aca="false">ROUND(AC221*(1+N('My Debts'!$D$13)/12),2)</f>
        <v>0</v>
      </c>
      <c r="J222" s="39" t="n">
        <f aca="false">ROUND(AD221*(1+N('My Debts'!$D$14)/12),2)</f>
        <v>0</v>
      </c>
      <c r="K222" s="39" t="n">
        <f aca="false">ROUND(AE221*(1+N('My Debts'!$D$15)/12),2)</f>
        <v>0</v>
      </c>
      <c r="L222" s="39" t="n">
        <f aca="false">MIN(N('My Debts'!$E$6),B222)</f>
        <v>0</v>
      </c>
      <c r="M222" s="39" t="n">
        <f aca="false">MIN(N('My Debts'!$E$7),C222)</f>
        <v>0</v>
      </c>
      <c r="N222" s="39" t="n">
        <f aca="false">MIN(N('My Debts'!$E$8),D222)</f>
        <v>0</v>
      </c>
      <c r="O222" s="39" t="n">
        <f aca="false">MIN(N('My Debts'!$E$9),E222)</f>
        <v>0</v>
      </c>
      <c r="P222" s="39" t="n">
        <f aca="false">MIN(N('My Debts'!$E$10),F222)</f>
        <v>0</v>
      </c>
      <c r="Q222" s="39" t="n">
        <f aca="false">MIN(N('My Debts'!$E$11),G222)</f>
        <v>0</v>
      </c>
      <c r="R222" s="39" t="n">
        <f aca="false">MIN(N('My Debts'!$E$12),H222)</f>
        <v>0</v>
      </c>
      <c r="S222" s="39" t="n">
        <f aca="false">MIN(N('My Debts'!$E$13),I222)</f>
        <v>0</v>
      </c>
      <c r="T222" s="39" t="n">
        <f aca="false">MIN(N('My Debts'!$E$14),J222)</f>
        <v>0</v>
      </c>
      <c r="U222" s="39" t="n">
        <f aca="false">MIN(N('My Debts'!$E$15),K222)</f>
        <v>0</v>
      </c>
      <c r="V222" s="39" t="n">
        <f aca="false">ROUND(B222-L222-MIN(B222-L222,MAX(0,$AF222-SUMPRODUCT(--($B$4:$K$4&lt;B$4),$B222:$K222-$L222:$U222))),2)</f>
        <v>0</v>
      </c>
      <c r="W222" s="39" t="n">
        <f aca="false">ROUND(C222-M222-MIN(C222-M222,MAX(0,$AF222-SUMPRODUCT(--($B$4:$K$4&lt;C$4),$B222:$K222-$L222:$U222))),2)</f>
        <v>0</v>
      </c>
      <c r="X222" s="39" t="n">
        <f aca="false">ROUND(D222-N222-MIN(D222-N222,MAX(0,$AF222-SUMPRODUCT(--($B$4:$K$4&lt;D$4),$B222:$K222-$L222:$U222))),2)</f>
        <v>0</v>
      </c>
      <c r="Y222" s="39" t="n">
        <f aca="false">ROUND(E222-O222-MIN(E222-O222,MAX(0,$AF222-SUMPRODUCT(--($B$4:$K$4&lt;E$4),$B222:$K222-$L222:$U222))),2)</f>
        <v>0</v>
      </c>
      <c r="Z222" s="39" t="n">
        <f aca="false">ROUND(F222-P222-MIN(F222-P222,MAX(0,$AF222-SUMPRODUCT(--($B$4:$K$4&lt;F$4),$B222:$K222-$L222:$U222))),2)</f>
        <v>0</v>
      </c>
      <c r="AA222" s="39" t="n">
        <f aca="false">ROUND(G222-Q222-MIN(G222-Q222,MAX(0,$AF222-SUMPRODUCT(--($B$4:$K$4&lt;G$4),$B222:$K222-$L222:$U222))),2)</f>
        <v>0</v>
      </c>
      <c r="AB222" s="39" t="n">
        <f aca="false">ROUND(H222-R222-MIN(H222-R222,MAX(0,$AF222-SUMPRODUCT(--($B$4:$K$4&lt;H$4),$B222:$K222-$L222:$U222))),2)</f>
        <v>0</v>
      </c>
      <c r="AC222" s="39" t="n">
        <f aca="false">ROUND(I222-S222-MIN(I222-S222,MAX(0,$AF222-SUMPRODUCT(--($B$4:$K$4&lt;I$4),$B222:$K222-$L222:$U222))),2)</f>
        <v>0</v>
      </c>
      <c r="AD222" s="39" t="n">
        <f aca="false">ROUND(J222-T222-MIN(J222-T222,MAX(0,$AF222-SUMPRODUCT(--($B$4:$K$4&lt;J$4),$B222:$K222-$L222:$U222))),2)</f>
        <v>0</v>
      </c>
      <c r="AE222" s="39" t="n">
        <f aca="false">ROUND(K222-U222-MIN(K222-U222,MAX(0,$AF222-SUMPRODUCT(--($B$4:$K$4&lt;K$4),$B222:$K222-$L222:$U222))),2)</f>
        <v>0</v>
      </c>
      <c r="AF222" s="39" t="n">
        <f aca="false">MAX(0,'Start Here'!$C$5-SUM($L222:$U222))</f>
        <v>1200</v>
      </c>
      <c r="AG222" s="39" t="n">
        <f aca="false">SUM(V222:AE222)</f>
        <v>0</v>
      </c>
      <c r="AH222" s="39" t="n">
        <f aca="false">SUM(B222:K222)-AG221</f>
        <v>0</v>
      </c>
    </row>
    <row r="223" customFormat="false" ht="15" hidden="false" customHeight="false" outlineLevel="0" collapsed="false">
      <c r="A223" s="40" t="n">
        <f aca="false">DATE(YEAR('Start Here'!$C$6),MONTH('Start Here'!$C$6)+216,1)</f>
        <v>52871</v>
      </c>
      <c r="B223" s="39" t="n">
        <f aca="false">ROUND(V222*(1+N('My Debts'!$D$6)/12),2)</f>
        <v>0</v>
      </c>
      <c r="C223" s="39" t="n">
        <f aca="false">ROUND(W222*(1+N('My Debts'!$D$7)/12),2)</f>
        <v>0</v>
      </c>
      <c r="D223" s="39" t="n">
        <f aca="false">ROUND(X222*(1+N('My Debts'!$D$8)/12),2)</f>
        <v>0</v>
      </c>
      <c r="E223" s="39" t="n">
        <f aca="false">ROUND(Y222*(1+N('My Debts'!$D$9)/12),2)</f>
        <v>0</v>
      </c>
      <c r="F223" s="39" t="n">
        <f aca="false">ROUND(Z222*(1+N('My Debts'!$D$10)/12),2)</f>
        <v>0</v>
      </c>
      <c r="G223" s="39" t="n">
        <f aca="false">ROUND(AA222*(1+N('My Debts'!$D$11)/12),2)</f>
        <v>0</v>
      </c>
      <c r="H223" s="39" t="n">
        <f aca="false">ROUND(AB222*(1+N('My Debts'!$D$12)/12),2)</f>
        <v>0</v>
      </c>
      <c r="I223" s="39" t="n">
        <f aca="false">ROUND(AC222*(1+N('My Debts'!$D$13)/12),2)</f>
        <v>0</v>
      </c>
      <c r="J223" s="39" t="n">
        <f aca="false">ROUND(AD222*(1+N('My Debts'!$D$14)/12),2)</f>
        <v>0</v>
      </c>
      <c r="K223" s="39" t="n">
        <f aca="false">ROUND(AE222*(1+N('My Debts'!$D$15)/12),2)</f>
        <v>0</v>
      </c>
      <c r="L223" s="39" t="n">
        <f aca="false">MIN(N('My Debts'!$E$6),B223)</f>
        <v>0</v>
      </c>
      <c r="M223" s="39" t="n">
        <f aca="false">MIN(N('My Debts'!$E$7),C223)</f>
        <v>0</v>
      </c>
      <c r="N223" s="39" t="n">
        <f aca="false">MIN(N('My Debts'!$E$8),D223)</f>
        <v>0</v>
      </c>
      <c r="O223" s="39" t="n">
        <f aca="false">MIN(N('My Debts'!$E$9),E223)</f>
        <v>0</v>
      </c>
      <c r="P223" s="39" t="n">
        <f aca="false">MIN(N('My Debts'!$E$10),F223)</f>
        <v>0</v>
      </c>
      <c r="Q223" s="39" t="n">
        <f aca="false">MIN(N('My Debts'!$E$11),G223)</f>
        <v>0</v>
      </c>
      <c r="R223" s="39" t="n">
        <f aca="false">MIN(N('My Debts'!$E$12),H223)</f>
        <v>0</v>
      </c>
      <c r="S223" s="39" t="n">
        <f aca="false">MIN(N('My Debts'!$E$13),I223)</f>
        <v>0</v>
      </c>
      <c r="T223" s="39" t="n">
        <f aca="false">MIN(N('My Debts'!$E$14),J223)</f>
        <v>0</v>
      </c>
      <c r="U223" s="39" t="n">
        <f aca="false">MIN(N('My Debts'!$E$15),K223)</f>
        <v>0</v>
      </c>
      <c r="V223" s="39" t="n">
        <f aca="false">ROUND(B223-L223-MIN(B223-L223,MAX(0,$AF223-SUMPRODUCT(--($B$4:$K$4&lt;B$4),$B223:$K223-$L223:$U223))),2)</f>
        <v>0</v>
      </c>
      <c r="W223" s="39" t="n">
        <f aca="false">ROUND(C223-M223-MIN(C223-M223,MAX(0,$AF223-SUMPRODUCT(--($B$4:$K$4&lt;C$4),$B223:$K223-$L223:$U223))),2)</f>
        <v>0</v>
      </c>
      <c r="X223" s="39" t="n">
        <f aca="false">ROUND(D223-N223-MIN(D223-N223,MAX(0,$AF223-SUMPRODUCT(--($B$4:$K$4&lt;D$4),$B223:$K223-$L223:$U223))),2)</f>
        <v>0</v>
      </c>
      <c r="Y223" s="39" t="n">
        <f aca="false">ROUND(E223-O223-MIN(E223-O223,MAX(0,$AF223-SUMPRODUCT(--($B$4:$K$4&lt;E$4),$B223:$K223-$L223:$U223))),2)</f>
        <v>0</v>
      </c>
      <c r="Z223" s="39" t="n">
        <f aca="false">ROUND(F223-P223-MIN(F223-P223,MAX(0,$AF223-SUMPRODUCT(--($B$4:$K$4&lt;F$4),$B223:$K223-$L223:$U223))),2)</f>
        <v>0</v>
      </c>
      <c r="AA223" s="39" t="n">
        <f aca="false">ROUND(G223-Q223-MIN(G223-Q223,MAX(0,$AF223-SUMPRODUCT(--($B$4:$K$4&lt;G$4),$B223:$K223-$L223:$U223))),2)</f>
        <v>0</v>
      </c>
      <c r="AB223" s="39" t="n">
        <f aca="false">ROUND(H223-R223-MIN(H223-R223,MAX(0,$AF223-SUMPRODUCT(--($B$4:$K$4&lt;H$4),$B223:$K223-$L223:$U223))),2)</f>
        <v>0</v>
      </c>
      <c r="AC223" s="39" t="n">
        <f aca="false">ROUND(I223-S223-MIN(I223-S223,MAX(0,$AF223-SUMPRODUCT(--($B$4:$K$4&lt;I$4),$B223:$K223-$L223:$U223))),2)</f>
        <v>0</v>
      </c>
      <c r="AD223" s="39" t="n">
        <f aca="false">ROUND(J223-T223-MIN(J223-T223,MAX(0,$AF223-SUMPRODUCT(--($B$4:$K$4&lt;J$4),$B223:$K223-$L223:$U223))),2)</f>
        <v>0</v>
      </c>
      <c r="AE223" s="39" t="n">
        <f aca="false">ROUND(K223-U223-MIN(K223-U223,MAX(0,$AF223-SUMPRODUCT(--($B$4:$K$4&lt;K$4),$B223:$K223-$L223:$U223))),2)</f>
        <v>0</v>
      </c>
      <c r="AF223" s="39" t="n">
        <f aca="false">MAX(0,'Start Here'!$C$5-SUM($L223:$U223))</f>
        <v>1200</v>
      </c>
      <c r="AG223" s="39" t="n">
        <f aca="false">SUM(V223:AE223)</f>
        <v>0</v>
      </c>
      <c r="AH223" s="39" t="n">
        <f aca="false">SUM(B223:K223)-AG222</f>
        <v>0</v>
      </c>
    </row>
    <row r="224" customFormat="false" ht="15" hidden="false" customHeight="false" outlineLevel="0" collapsed="false">
      <c r="A224" s="40" t="n">
        <f aca="false">DATE(YEAR('Start Here'!$C$6),MONTH('Start Here'!$C$6)+217,1)</f>
        <v>52902</v>
      </c>
      <c r="B224" s="39" t="n">
        <f aca="false">ROUND(V223*(1+N('My Debts'!$D$6)/12),2)</f>
        <v>0</v>
      </c>
      <c r="C224" s="39" t="n">
        <f aca="false">ROUND(W223*(1+N('My Debts'!$D$7)/12),2)</f>
        <v>0</v>
      </c>
      <c r="D224" s="39" t="n">
        <f aca="false">ROUND(X223*(1+N('My Debts'!$D$8)/12),2)</f>
        <v>0</v>
      </c>
      <c r="E224" s="39" t="n">
        <f aca="false">ROUND(Y223*(1+N('My Debts'!$D$9)/12),2)</f>
        <v>0</v>
      </c>
      <c r="F224" s="39" t="n">
        <f aca="false">ROUND(Z223*(1+N('My Debts'!$D$10)/12),2)</f>
        <v>0</v>
      </c>
      <c r="G224" s="39" t="n">
        <f aca="false">ROUND(AA223*(1+N('My Debts'!$D$11)/12),2)</f>
        <v>0</v>
      </c>
      <c r="H224" s="39" t="n">
        <f aca="false">ROUND(AB223*(1+N('My Debts'!$D$12)/12),2)</f>
        <v>0</v>
      </c>
      <c r="I224" s="39" t="n">
        <f aca="false">ROUND(AC223*(1+N('My Debts'!$D$13)/12),2)</f>
        <v>0</v>
      </c>
      <c r="J224" s="39" t="n">
        <f aca="false">ROUND(AD223*(1+N('My Debts'!$D$14)/12),2)</f>
        <v>0</v>
      </c>
      <c r="K224" s="39" t="n">
        <f aca="false">ROUND(AE223*(1+N('My Debts'!$D$15)/12),2)</f>
        <v>0</v>
      </c>
      <c r="L224" s="39" t="n">
        <f aca="false">MIN(N('My Debts'!$E$6),B224)</f>
        <v>0</v>
      </c>
      <c r="M224" s="39" t="n">
        <f aca="false">MIN(N('My Debts'!$E$7),C224)</f>
        <v>0</v>
      </c>
      <c r="N224" s="39" t="n">
        <f aca="false">MIN(N('My Debts'!$E$8),D224)</f>
        <v>0</v>
      </c>
      <c r="O224" s="39" t="n">
        <f aca="false">MIN(N('My Debts'!$E$9),E224)</f>
        <v>0</v>
      </c>
      <c r="P224" s="39" t="n">
        <f aca="false">MIN(N('My Debts'!$E$10),F224)</f>
        <v>0</v>
      </c>
      <c r="Q224" s="39" t="n">
        <f aca="false">MIN(N('My Debts'!$E$11),G224)</f>
        <v>0</v>
      </c>
      <c r="R224" s="39" t="n">
        <f aca="false">MIN(N('My Debts'!$E$12),H224)</f>
        <v>0</v>
      </c>
      <c r="S224" s="39" t="n">
        <f aca="false">MIN(N('My Debts'!$E$13),I224)</f>
        <v>0</v>
      </c>
      <c r="T224" s="39" t="n">
        <f aca="false">MIN(N('My Debts'!$E$14),J224)</f>
        <v>0</v>
      </c>
      <c r="U224" s="39" t="n">
        <f aca="false">MIN(N('My Debts'!$E$15),K224)</f>
        <v>0</v>
      </c>
      <c r="V224" s="39" t="n">
        <f aca="false">ROUND(B224-L224-MIN(B224-L224,MAX(0,$AF224-SUMPRODUCT(--($B$4:$K$4&lt;B$4),$B224:$K224-$L224:$U224))),2)</f>
        <v>0</v>
      </c>
      <c r="W224" s="39" t="n">
        <f aca="false">ROUND(C224-M224-MIN(C224-M224,MAX(0,$AF224-SUMPRODUCT(--($B$4:$K$4&lt;C$4),$B224:$K224-$L224:$U224))),2)</f>
        <v>0</v>
      </c>
      <c r="X224" s="39" t="n">
        <f aca="false">ROUND(D224-N224-MIN(D224-N224,MAX(0,$AF224-SUMPRODUCT(--($B$4:$K$4&lt;D$4),$B224:$K224-$L224:$U224))),2)</f>
        <v>0</v>
      </c>
      <c r="Y224" s="39" t="n">
        <f aca="false">ROUND(E224-O224-MIN(E224-O224,MAX(0,$AF224-SUMPRODUCT(--($B$4:$K$4&lt;E$4),$B224:$K224-$L224:$U224))),2)</f>
        <v>0</v>
      </c>
      <c r="Z224" s="39" t="n">
        <f aca="false">ROUND(F224-P224-MIN(F224-P224,MAX(0,$AF224-SUMPRODUCT(--($B$4:$K$4&lt;F$4),$B224:$K224-$L224:$U224))),2)</f>
        <v>0</v>
      </c>
      <c r="AA224" s="39" t="n">
        <f aca="false">ROUND(G224-Q224-MIN(G224-Q224,MAX(0,$AF224-SUMPRODUCT(--($B$4:$K$4&lt;G$4),$B224:$K224-$L224:$U224))),2)</f>
        <v>0</v>
      </c>
      <c r="AB224" s="39" t="n">
        <f aca="false">ROUND(H224-R224-MIN(H224-R224,MAX(0,$AF224-SUMPRODUCT(--($B$4:$K$4&lt;H$4),$B224:$K224-$L224:$U224))),2)</f>
        <v>0</v>
      </c>
      <c r="AC224" s="39" t="n">
        <f aca="false">ROUND(I224-S224-MIN(I224-S224,MAX(0,$AF224-SUMPRODUCT(--($B$4:$K$4&lt;I$4),$B224:$K224-$L224:$U224))),2)</f>
        <v>0</v>
      </c>
      <c r="AD224" s="39" t="n">
        <f aca="false">ROUND(J224-T224-MIN(J224-T224,MAX(0,$AF224-SUMPRODUCT(--($B$4:$K$4&lt;J$4),$B224:$K224-$L224:$U224))),2)</f>
        <v>0</v>
      </c>
      <c r="AE224" s="39" t="n">
        <f aca="false">ROUND(K224-U224-MIN(K224-U224,MAX(0,$AF224-SUMPRODUCT(--($B$4:$K$4&lt;K$4),$B224:$K224-$L224:$U224))),2)</f>
        <v>0</v>
      </c>
      <c r="AF224" s="39" t="n">
        <f aca="false">MAX(0,'Start Here'!$C$5-SUM($L224:$U224))</f>
        <v>1200</v>
      </c>
      <c r="AG224" s="39" t="n">
        <f aca="false">SUM(V224:AE224)</f>
        <v>0</v>
      </c>
      <c r="AH224" s="39" t="n">
        <f aca="false">SUM(B224:K224)-AG223</f>
        <v>0</v>
      </c>
    </row>
    <row r="225" customFormat="false" ht="15" hidden="false" customHeight="false" outlineLevel="0" collapsed="false">
      <c r="A225" s="40" t="n">
        <f aca="false">DATE(YEAR('Start Here'!$C$6),MONTH('Start Here'!$C$6)+218,1)</f>
        <v>52932</v>
      </c>
      <c r="B225" s="39" t="n">
        <f aca="false">ROUND(V224*(1+N('My Debts'!$D$6)/12),2)</f>
        <v>0</v>
      </c>
      <c r="C225" s="39" t="n">
        <f aca="false">ROUND(W224*(1+N('My Debts'!$D$7)/12),2)</f>
        <v>0</v>
      </c>
      <c r="D225" s="39" t="n">
        <f aca="false">ROUND(X224*(1+N('My Debts'!$D$8)/12),2)</f>
        <v>0</v>
      </c>
      <c r="E225" s="39" t="n">
        <f aca="false">ROUND(Y224*(1+N('My Debts'!$D$9)/12),2)</f>
        <v>0</v>
      </c>
      <c r="F225" s="39" t="n">
        <f aca="false">ROUND(Z224*(1+N('My Debts'!$D$10)/12),2)</f>
        <v>0</v>
      </c>
      <c r="G225" s="39" t="n">
        <f aca="false">ROUND(AA224*(1+N('My Debts'!$D$11)/12),2)</f>
        <v>0</v>
      </c>
      <c r="H225" s="39" t="n">
        <f aca="false">ROUND(AB224*(1+N('My Debts'!$D$12)/12),2)</f>
        <v>0</v>
      </c>
      <c r="I225" s="39" t="n">
        <f aca="false">ROUND(AC224*(1+N('My Debts'!$D$13)/12),2)</f>
        <v>0</v>
      </c>
      <c r="J225" s="39" t="n">
        <f aca="false">ROUND(AD224*(1+N('My Debts'!$D$14)/12),2)</f>
        <v>0</v>
      </c>
      <c r="K225" s="39" t="n">
        <f aca="false">ROUND(AE224*(1+N('My Debts'!$D$15)/12),2)</f>
        <v>0</v>
      </c>
      <c r="L225" s="39" t="n">
        <f aca="false">MIN(N('My Debts'!$E$6),B225)</f>
        <v>0</v>
      </c>
      <c r="M225" s="39" t="n">
        <f aca="false">MIN(N('My Debts'!$E$7),C225)</f>
        <v>0</v>
      </c>
      <c r="N225" s="39" t="n">
        <f aca="false">MIN(N('My Debts'!$E$8),D225)</f>
        <v>0</v>
      </c>
      <c r="O225" s="39" t="n">
        <f aca="false">MIN(N('My Debts'!$E$9),E225)</f>
        <v>0</v>
      </c>
      <c r="P225" s="39" t="n">
        <f aca="false">MIN(N('My Debts'!$E$10),F225)</f>
        <v>0</v>
      </c>
      <c r="Q225" s="39" t="n">
        <f aca="false">MIN(N('My Debts'!$E$11),G225)</f>
        <v>0</v>
      </c>
      <c r="R225" s="39" t="n">
        <f aca="false">MIN(N('My Debts'!$E$12),H225)</f>
        <v>0</v>
      </c>
      <c r="S225" s="39" t="n">
        <f aca="false">MIN(N('My Debts'!$E$13),I225)</f>
        <v>0</v>
      </c>
      <c r="T225" s="39" t="n">
        <f aca="false">MIN(N('My Debts'!$E$14),J225)</f>
        <v>0</v>
      </c>
      <c r="U225" s="39" t="n">
        <f aca="false">MIN(N('My Debts'!$E$15),K225)</f>
        <v>0</v>
      </c>
      <c r="V225" s="39" t="n">
        <f aca="false">ROUND(B225-L225-MIN(B225-L225,MAX(0,$AF225-SUMPRODUCT(--($B$4:$K$4&lt;B$4),$B225:$K225-$L225:$U225))),2)</f>
        <v>0</v>
      </c>
      <c r="W225" s="39" t="n">
        <f aca="false">ROUND(C225-M225-MIN(C225-M225,MAX(0,$AF225-SUMPRODUCT(--($B$4:$K$4&lt;C$4),$B225:$K225-$L225:$U225))),2)</f>
        <v>0</v>
      </c>
      <c r="X225" s="39" t="n">
        <f aca="false">ROUND(D225-N225-MIN(D225-N225,MAX(0,$AF225-SUMPRODUCT(--($B$4:$K$4&lt;D$4),$B225:$K225-$L225:$U225))),2)</f>
        <v>0</v>
      </c>
      <c r="Y225" s="39" t="n">
        <f aca="false">ROUND(E225-O225-MIN(E225-O225,MAX(0,$AF225-SUMPRODUCT(--($B$4:$K$4&lt;E$4),$B225:$K225-$L225:$U225))),2)</f>
        <v>0</v>
      </c>
      <c r="Z225" s="39" t="n">
        <f aca="false">ROUND(F225-P225-MIN(F225-P225,MAX(0,$AF225-SUMPRODUCT(--($B$4:$K$4&lt;F$4),$B225:$K225-$L225:$U225))),2)</f>
        <v>0</v>
      </c>
      <c r="AA225" s="39" t="n">
        <f aca="false">ROUND(G225-Q225-MIN(G225-Q225,MAX(0,$AF225-SUMPRODUCT(--($B$4:$K$4&lt;G$4),$B225:$K225-$L225:$U225))),2)</f>
        <v>0</v>
      </c>
      <c r="AB225" s="39" t="n">
        <f aca="false">ROUND(H225-R225-MIN(H225-R225,MAX(0,$AF225-SUMPRODUCT(--($B$4:$K$4&lt;H$4),$B225:$K225-$L225:$U225))),2)</f>
        <v>0</v>
      </c>
      <c r="AC225" s="39" t="n">
        <f aca="false">ROUND(I225-S225-MIN(I225-S225,MAX(0,$AF225-SUMPRODUCT(--($B$4:$K$4&lt;I$4),$B225:$K225-$L225:$U225))),2)</f>
        <v>0</v>
      </c>
      <c r="AD225" s="39" t="n">
        <f aca="false">ROUND(J225-T225-MIN(J225-T225,MAX(0,$AF225-SUMPRODUCT(--($B$4:$K$4&lt;J$4),$B225:$K225-$L225:$U225))),2)</f>
        <v>0</v>
      </c>
      <c r="AE225" s="39" t="n">
        <f aca="false">ROUND(K225-U225-MIN(K225-U225,MAX(0,$AF225-SUMPRODUCT(--($B$4:$K$4&lt;K$4),$B225:$K225-$L225:$U225))),2)</f>
        <v>0</v>
      </c>
      <c r="AF225" s="39" t="n">
        <f aca="false">MAX(0,'Start Here'!$C$5-SUM($L225:$U225))</f>
        <v>1200</v>
      </c>
      <c r="AG225" s="39" t="n">
        <f aca="false">SUM(V225:AE225)</f>
        <v>0</v>
      </c>
      <c r="AH225" s="39" t="n">
        <f aca="false">SUM(B225:K225)-AG224</f>
        <v>0</v>
      </c>
    </row>
    <row r="226" customFormat="false" ht="15" hidden="false" customHeight="false" outlineLevel="0" collapsed="false">
      <c r="A226" s="40" t="n">
        <f aca="false">DATE(YEAR('Start Here'!$C$6),MONTH('Start Here'!$C$6)+219,1)</f>
        <v>52963</v>
      </c>
      <c r="B226" s="39" t="n">
        <f aca="false">ROUND(V225*(1+N('My Debts'!$D$6)/12),2)</f>
        <v>0</v>
      </c>
      <c r="C226" s="39" t="n">
        <f aca="false">ROUND(W225*(1+N('My Debts'!$D$7)/12),2)</f>
        <v>0</v>
      </c>
      <c r="D226" s="39" t="n">
        <f aca="false">ROUND(X225*(1+N('My Debts'!$D$8)/12),2)</f>
        <v>0</v>
      </c>
      <c r="E226" s="39" t="n">
        <f aca="false">ROUND(Y225*(1+N('My Debts'!$D$9)/12),2)</f>
        <v>0</v>
      </c>
      <c r="F226" s="39" t="n">
        <f aca="false">ROUND(Z225*(1+N('My Debts'!$D$10)/12),2)</f>
        <v>0</v>
      </c>
      <c r="G226" s="39" t="n">
        <f aca="false">ROUND(AA225*(1+N('My Debts'!$D$11)/12),2)</f>
        <v>0</v>
      </c>
      <c r="H226" s="39" t="n">
        <f aca="false">ROUND(AB225*(1+N('My Debts'!$D$12)/12),2)</f>
        <v>0</v>
      </c>
      <c r="I226" s="39" t="n">
        <f aca="false">ROUND(AC225*(1+N('My Debts'!$D$13)/12),2)</f>
        <v>0</v>
      </c>
      <c r="J226" s="39" t="n">
        <f aca="false">ROUND(AD225*(1+N('My Debts'!$D$14)/12),2)</f>
        <v>0</v>
      </c>
      <c r="K226" s="39" t="n">
        <f aca="false">ROUND(AE225*(1+N('My Debts'!$D$15)/12),2)</f>
        <v>0</v>
      </c>
      <c r="L226" s="39" t="n">
        <f aca="false">MIN(N('My Debts'!$E$6),B226)</f>
        <v>0</v>
      </c>
      <c r="M226" s="39" t="n">
        <f aca="false">MIN(N('My Debts'!$E$7),C226)</f>
        <v>0</v>
      </c>
      <c r="N226" s="39" t="n">
        <f aca="false">MIN(N('My Debts'!$E$8),D226)</f>
        <v>0</v>
      </c>
      <c r="O226" s="39" t="n">
        <f aca="false">MIN(N('My Debts'!$E$9),E226)</f>
        <v>0</v>
      </c>
      <c r="P226" s="39" t="n">
        <f aca="false">MIN(N('My Debts'!$E$10),F226)</f>
        <v>0</v>
      </c>
      <c r="Q226" s="39" t="n">
        <f aca="false">MIN(N('My Debts'!$E$11),G226)</f>
        <v>0</v>
      </c>
      <c r="R226" s="39" t="n">
        <f aca="false">MIN(N('My Debts'!$E$12),H226)</f>
        <v>0</v>
      </c>
      <c r="S226" s="39" t="n">
        <f aca="false">MIN(N('My Debts'!$E$13),I226)</f>
        <v>0</v>
      </c>
      <c r="T226" s="39" t="n">
        <f aca="false">MIN(N('My Debts'!$E$14),J226)</f>
        <v>0</v>
      </c>
      <c r="U226" s="39" t="n">
        <f aca="false">MIN(N('My Debts'!$E$15),K226)</f>
        <v>0</v>
      </c>
      <c r="V226" s="39" t="n">
        <f aca="false">ROUND(B226-L226-MIN(B226-L226,MAX(0,$AF226-SUMPRODUCT(--($B$4:$K$4&lt;B$4),$B226:$K226-$L226:$U226))),2)</f>
        <v>0</v>
      </c>
      <c r="W226" s="39" t="n">
        <f aca="false">ROUND(C226-M226-MIN(C226-M226,MAX(0,$AF226-SUMPRODUCT(--($B$4:$K$4&lt;C$4),$B226:$K226-$L226:$U226))),2)</f>
        <v>0</v>
      </c>
      <c r="X226" s="39" t="n">
        <f aca="false">ROUND(D226-N226-MIN(D226-N226,MAX(0,$AF226-SUMPRODUCT(--($B$4:$K$4&lt;D$4),$B226:$K226-$L226:$U226))),2)</f>
        <v>0</v>
      </c>
      <c r="Y226" s="39" t="n">
        <f aca="false">ROUND(E226-O226-MIN(E226-O226,MAX(0,$AF226-SUMPRODUCT(--($B$4:$K$4&lt;E$4),$B226:$K226-$L226:$U226))),2)</f>
        <v>0</v>
      </c>
      <c r="Z226" s="39" t="n">
        <f aca="false">ROUND(F226-P226-MIN(F226-P226,MAX(0,$AF226-SUMPRODUCT(--($B$4:$K$4&lt;F$4),$B226:$K226-$L226:$U226))),2)</f>
        <v>0</v>
      </c>
      <c r="AA226" s="39" t="n">
        <f aca="false">ROUND(G226-Q226-MIN(G226-Q226,MAX(0,$AF226-SUMPRODUCT(--($B$4:$K$4&lt;G$4),$B226:$K226-$L226:$U226))),2)</f>
        <v>0</v>
      </c>
      <c r="AB226" s="39" t="n">
        <f aca="false">ROUND(H226-R226-MIN(H226-R226,MAX(0,$AF226-SUMPRODUCT(--($B$4:$K$4&lt;H$4),$B226:$K226-$L226:$U226))),2)</f>
        <v>0</v>
      </c>
      <c r="AC226" s="39" t="n">
        <f aca="false">ROUND(I226-S226-MIN(I226-S226,MAX(0,$AF226-SUMPRODUCT(--($B$4:$K$4&lt;I$4),$B226:$K226-$L226:$U226))),2)</f>
        <v>0</v>
      </c>
      <c r="AD226" s="39" t="n">
        <f aca="false">ROUND(J226-T226-MIN(J226-T226,MAX(0,$AF226-SUMPRODUCT(--($B$4:$K$4&lt;J$4),$B226:$K226-$L226:$U226))),2)</f>
        <v>0</v>
      </c>
      <c r="AE226" s="39" t="n">
        <f aca="false">ROUND(K226-U226-MIN(K226-U226,MAX(0,$AF226-SUMPRODUCT(--($B$4:$K$4&lt;K$4),$B226:$K226-$L226:$U226))),2)</f>
        <v>0</v>
      </c>
      <c r="AF226" s="39" t="n">
        <f aca="false">MAX(0,'Start Here'!$C$5-SUM($L226:$U226))</f>
        <v>1200</v>
      </c>
      <c r="AG226" s="39" t="n">
        <f aca="false">SUM(V226:AE226)</f>
        <v>0</v>
      </c>
      <c r="AH226" s="39" t="n">
        <f aca="false">SUM(B226:K226)-AG225</f>
        <v>0</v>
      </c>
    </row>
    <row r="227" customFormat="false" ht="15" hidden="false" customHeight="false" outlineLevel="0" collapsed="false">
      <c r="A227" s="40" t="n">
        <f aca="false">DATE(YEAR('Start Here'!$C$6),MONTH('Start Here'!$C$6)+220,1)</f>
        <v>52994</v>
      </c>
      <c r="B227" s="39" t="n">
        <f aca="false">ROUND(V226*(1+N('My Debts'!$D$6)/12),2)</f>
        <v>0</v>
      </c>
      <c r="C227" s="39" t="n">
        <f aca="false">ROUND(W226*(1+N('My Debts'!$D$7)/12),2)</f>
        <v>0</v>
      </c>
      <c r="D227" s="39" t="n">
        <f aca="false">ROUND(X226*(1+N('My Debts'!$D$8)/12),2)</f>
        <v>0</v>
      </c>
      <c r="E227" s="39" t="n">
        <f aca="false">ROUND(Y226*(1+N('My Debts'!$D$9)/12),2)</f>
        <v>0</v>
      </c>
      <c r="F227" s="39" t="n">
        <f aca="false">ROUND(Z226*(1+N('My Debts'!$D$10)/12),2)</f>
        <v>0</v>
      </c>
      <c r="G227" s="39" t="n">
        <f aca="false">ROUND(AA226*(1+N('My Debts'!$D$11)/12),2)</f>
        <v>0</v>
      </c>
      <c r="H227" s="39" t="n">
        <f aca="false">ROUND(AB226*(1+N('My Debts'!$D$12)/12),2)</f>
        <v>0</v>
      </c>
      <c r="I227" s="39" t="n">
        <f aca="false">ROUND(AC226*(1+N('My Debts'!$D$13)/12),2)</f>
        <v>0</v>
      </c>
      <c r="J227" s="39" t="n">
        <f aca="false">ROUND(AD226*(1+N('My Debts'!$D$14)/12),2)</f>
        <v>0</v>
      </c>
      <c r="K227" s="39" t="n">
        <f aca="false">ROUND(AE226*(1+N('My Debts'!$D$15)/12),2)</f>
        <v>0</v>
      </c>
      <c r="L227" s="39" t="n">
        <f aca="false">MIN(N('My Debts'!$E$6),B227)</f>
        <v>0</v>
      </c>
      <c r="M227" s="39" t="n">
        <f aca="false">MIN(N('My Debts'!$E$7),C227)</f>
        <v>0</v>
      </c>
      <c r="N227" s="39" t="n">
        <f aca="false">MIN(N('My Debts'!$E$8),D227)</f>
        <v>0</v>
      </c>
      <c r="O227" s="39" t="n">
        <f aca="false">MIN(N('My Debts'!$E$9),E227)</f>
        <v>0</v>
      </c>
      <c r="P227" s="39" t="n">
        <f aca="false">MIN(N('My Debts'!$E$10),F227)</f>
        <v>0</v>
      </c>
      <c r="Q227" s="39" t="n">
        <f aca="false">MIN(N('My Debts'!$E$11),G227)</f>
        <v>0</v>
      </c>
      <c r="R227" s="39" t="n">
        <f aca="false">MIN(N('My Debts'!$E$12),H227)</f>
        <v>0</v>
      </c>
      <c r="S227" s="39" t="n">
        <f aca="false">MIN(N('My Debts'!$E$13),I227)</f>
        <v>0</v>
      </c>
      <c r="T227" s="39" t="n">
        <f aca="false">MIN(N('My Debts'!$E$14),J227)</f>
        <v>0</v>
      </c>
      <c r="U227" s="39" t="n">
        <f aca="false">MIN(N('My Debts'!$E$15),K227)</f>
        <v>0</v>
      </c>
      <c r="V227" s="39" t="n">
        <f aca="false">ROUND(B227-L227-MIN(B227-L227,MAX(0,$AF227-SUMPRODUCT(--($B$4:$K$4&lt;B$4),$B227:$K227-$L227:$U227))),2)</f>
        <v>0</v>
      </c>
      <c r="W227" s="39" t="n">
        <f aca="false">ROUND(C227-M227-MIN(C227-M227,MAX(0,$AF227-SUMPRODUCT(--($B$4:$K$4&lt;C$4),$B227:$K227-$L227:$U227))),2)</f>
        <v>0</v>
      </c>
      <c r="X227" s="39" t="n">
        <f aca="false">ROUND(D227-N227-MIN(D227-N227,MAX(0,$AF227-SUMPRODUCT(--($B$4:$K$4&lt;D$4),$B227:$K227-$L227:$U227))),2)</f>
        <v>0</v>
      </c>
      <c r="Y227" s="39" t="n">
        <f aca="false">ROUND(E227-O227-MIN(E227-O227,MAX(0,$AF227-SUMPRODUCT(--($B$4:$K$4&lt;E$4),$B227:$K227-$L227:$U227))),2)</f>
        <v>0</v>
      </c>
      <c r="Z227" s="39" t="n">
        <f aca="false">ROUND(F227-P227-MIN(F227-P227,MAX(0,$AF227-SUMPRODUCT(--($B$4:$K$4&lt;F$4),$B227:$K227-$L227:$U227))),2)</f>
        <v>0</v>
      </c>
      <c r="AA227" s="39" t="n">
        <f aca="false">ROUND(G227-Q227-MIN(G227-Q227,MAX(0,$AF227-SUMPRODUCT(--($B$4:$K$4&lt;G$4),$B227:$K227-$L227:$U227))),2)</f>
        <v>0</v>
      </c>
      <c r="AB227" s="39" t="n">
        <f aca="false">ROUND(H227-R227-MIN(H227-R227,MAX(0,$AF227-SUMPRODUCT(--($B$4:$K$4&lt;H$4),$B227:$K227-$L227:$U227))),2)</f>
        <v>0</v>
      </c>
      <c r="AC227" s="39" t="n">
        <f aca="false">ROUND(I227-S227-MIN(I227-S227,MAX(0,$AF227-SUMPRODUCT(--($B$4:$K$4&lt;I$4),$B227:$K227-$L227:$U227))),2)</f>
        <v>0</v>
      </c>
      <c r="AD227" s="39" t="n">
        <f aca="false">ROUND(J227-T227-MIN(J227-T227,MAX(0,$AF227-SUMPRODUCT(--($B$4:$K$4&lt;J$4),$B227:$K227-$L227:$U227))),2)</f>
        <v>0</v>
      </c>
      <c r="AE227" s="39" t="n">
        <f aca="false">ROUND(K227-U227-MIN(K227-U227,MAX(0,$AF227-SUMPRODUCT(--($B$4:$K$4&lt;K$4),$B227:$K227-$L227:$U227))),2)</f>
        <v>0</v>
      </c>
      <c r="AF227" s="39" t="n">
        <f aca="false">MAX(0,'Start Here'!$C$5-SUM($L227:$U227))</f>
        <v>1200</v>
      </c>
      <c r="AG227" s="39" t="n">
        <f aca="false">SUM(V227:AE227)</f>
        <v>0</v>
      </c>
      <c r="AH227" s="39" t="n">
        <f aca="false">SUM(B227:K227)-AG226</f>
        <v>0</v>
      </c>
    </row>
    <row r="228" customFormat="false" ht="15" hidden="false" customHeight="false" outlineLevel="0" collapsed="false">
      <c r="A228" s="40" t="n">
        <f aca="false">DATE(YEAR('Start Here'!$C$6),MONTH('Start Here'!$C$6)+221,1)</f>
        <v>53022</v>
      </c>
      <c r="B228" s="39" t="n">
        <f aca="false">ROUND(V227*(1+N('My Debts'!$D$6)/12),2)</f>
        <v>0</v>
      </c>
      <c r="C228" s="39" t="n">
        <f aca="false">ROUND(W227*(1+N('My Debts'!$D$7)/12),2)</f>
        <v>0</v>
      </c>
      <c r="D228" s="39" t="n">
        <f aca="false">ROUND(X227*(1+N('My Debts'!$D$8)/12),2)</f>
        <v>0</v>
      </c>
      <c r="E228" s="39" t="n">
        <f aca="false">ROUND(Y227*(1+N('My Debts'!$D$9)/12),2)</f>
        <v>0</v>
      </c>
      <c r="F228" s="39" t="n">
        <f aca="false">ROUND(Z227*(1+N('My Debts'!$D$10)/12),2)</f>
        <v>0</v>
      </c>
      <c r="G228" s="39" t="n">
        <f aca="false">ROUND(AA227*(1+N('My Debts'!$D$11)/12),2)</f>
        <v>0</v>
      </c>
      <c r="H228" s="39" t="n">
        <f aca="false">ROUND(AB227*(1+N('My Debts'!$D$12)/12),2)</f>
        <v>0</v>
      </c>
      <c r="I228" s="39" t="n">
        <f aca="false">ROUND(AC227*(1+N('My Debts'!$D$13)/12),2)</f>
        <v>0</v>
      </c>
      <c r="J228" s="39" t="n">
        <f aca="false">ROUND(AD227*(1+N('My Debts'!$D$14)/12),2)</f>
        <v>0</v>
      </c>
      <c r="K228" s="39" t="n">
        <f aca="false">ROUND(AE227*(1+N('My Debts'!$D$15)/12),2)</f>
        <v>0</v>
      </c>
      <c r="L228" s="39" t="n">
        <f aca="false">MIN(N('My Debts'!$E$6),B228)</f>
        <v>0</v>
      </c>
      <c r="M228" s="39" t="n">
        <f aca="false">MIN(N('My Debts'!$E$7),C228)</f>
        <v>0</v>
      </c>
      <c r="N228" s="39" t="n">
        <f aca="false">MIN(N('My Debts'!$E$8),D228)</f>
        <v>0</v>
      </c>
      <c r="O228" s="39" t="n">
        <f aca="false">MIN(N('My Debts'!$E$9),E228)</f>
        <v>0</v>
      </c>
      <c r="P228" s="39" t="n">
        <f aca="false">MIN(N('My Debts'!$E$10),F228)</f>
        <v>0</v>
      </c>
      <c r="Q228" s="39" t="n">
        <f aca="false">MIN(N('My Debts'!$E$11),G228)</f>
        <v>0</v>
      </c>
      <c r="R228" s="39" t="n">
        <f aca="false">MIN(N('My Debts'!$E$12),H228)</f>
        <v>0</v>
      </c>
      <c r="S228" s="39" t="n">
        <f aca="false">MIN(N('My Debts'!$E$13),I228)</f>
        <v>0</v>
      </c>
      <c r="T228" s="39" t="n">
        <f aca="false">MIN(N('My Debts'!$E$14),J228)</f>
        <v>0</v>
      </c>
      <c r="U228" s="39" t="n">
        <f aca="false">MIN(N('My Debts'!$E$15),K228)</f>
        <v>0</v>
      </c>
      <c r="V228" s="39" t="n">
        <f aca="false">ROUND(B228-L228-MIN(B228-L228,MAX(0,$AF228-SUMPRODUCT(--($B$4:$K$4&lt;B$4),$B228:$K228-$L228:$U228))),2)</f>
        <v>0</v>
      </c>
      <c r="W228" s="39" t="n">
        <f aca="false">ROUND(C228-M228-MIN(C228-M228,MAX(0,$AF228-SUMPRODUCT(--($B$4:$K$4&lt;C$4),$B228:$K228-$L228:$U228))),2)</f>
        <v>0</v>
      </c>
      <c r="X228" s="39" t="n">
        <f aca="false">ROUND(D228-N228-MIN(D228-N228,MAX(0,$AF228-SUMPRODUCT(--($B$4:$K$4&lt;D$4),$B228:$K228-$L228:$U228))),2)</f>
        <v>0</v>
      </c>
      <c r="Y228" s="39" t="n">
        <f aca="false">ROUND(E228-O228-MIN(E228-O228,MAX(0,$AF228-SUMPRODUCT(--($B$4:$K$4&lt;E$4),$B228:$K228-$L228:$U228))),2)</f>
        <v>0</v>
      </c>
      <c r="Z228" s="39" t="n">
        <f aca="false">ROUND(F228-P228-MIN(F228-P228,MAX(0,$AF228-SUMPRODUCT(--($B$4:$K$4&lt;F$4),$B228:$K228-$L228:$U228))),2)</f>
        <v>0</v>
      </c>
      <c r="AA228" s="39" t="n">
        <f aca="false">ROUND(G228-Q228-MIN(G228-Q228,MAX(0,$AF228-SUMPRODUCT(--($B$4:$K$4&lt;G$4),$B228:$K228-$L228:$U228))),2)</f>
        <v>0</v>
      </c>
      <c r="AB228" s="39" t="n">
        <f aca="false">ROUND(H228-R228-MIN(H228-R228,MAX(0,$AF228-SUMPRODUCT(--($B$4:$K$4&lt;H$4),$B228:$K228-$L228:$U228))),2)</f>
        <v>0</v>
      </c>
      <c r="AC228" s="39" t="n">
        <f aca="false">ROUND(I228-S228-MIN(I228-S228,MAX(0,$AF228-SUMPRODUCT(--($B$4:$K$4&lt;I$4),$B228:$K228-$L228:$U228))),2)</f>
        <v>0</v>
      </c>
      <c r="AD228" s="39" t="n">
        <f aca="false">ROUND(J228-T228-MIN(J228-T228,MAX(0,$AF228-SUMPRODUCT(--($B$4:$K$4&lt;J$4),$B228:$K228-$L228:$U228))),2)</f>
        <v>0</v>
      </c>
      <c r="AE228" s="39" t="n">
        <f aca="false">ROUND(K228-U228-MIN(K228-U228,MAX(0,$AF228-SUMPRODUCT(--($B$4:$K$4&lt;K$4),$B228:$K228-$L228:$U228))),2)</f>
        <v>0</v>
      </c>
      <c r="AF228" s="39" t="n">
        <f aca="false">MAX(0,'Start Here'!$C$5-SUM($L228:$U228))</f>
        <v>1200</v>
      </c>
      <c r="AG228" s="39" t="n">
        <f aca="false">SUM(V228:AE228)</f>
        <v>0</v>
      </c>
      <c r="AH228" s="39" t="n">
        <f aca="false">SUM(B228:K228)-AG227</f>
        <v>0</v>
      </c>
    </row>
    <row r="229" customFormat="false" ht="15" hidden="false" customHeight="false" outlineLevel="0" collapsed="false">
      <c r="A229" s="40" t="n">
        <f aca="false">DATE(YEAR('Start Here'!$C$6),MONTH('Start Here'!$C$6)+222,1)</f>
        <v>53053</v>
      </c>
      <c r="B229" s="39" t="n">
        <f aca="false">ROUND(V228*(1+N('My Debts'!$D$6)/12),2)</f>
        <v>0</v>
      </c>
      <c r="C229" s="39" t="n">
        <f aca="false">ROUND(W228*(1+N('My Debts'!$D$7)/12),2)</f>
        <v>0</v>
      </c>
      <c r="D229" s="39" t="n">
        <f aca="false">ROUND(X228*(1+N('My Debts'!$D$8)/12),2)</f>
        <v>0</v>
      </c>
      <c r="E229" s="39" t="n">
        <f aca="false">ROUND(Y228*(1+N('My Debts'!$D$9)/12),2)</f>
        <v>0</v>
      </c>
      <c r="F229" s="39" t="n">
        <f aca="false">ROUND(Z228*(1+N('My Debts'!$D$10)/12),2)</f>
        <v>0</v>
      </c>
      <c r="G229" s="39" t="n">
        <f aca="false">ROUND(AA228*(1+N('My Debts'!$D$11)/12),2)</f>
        <v>0</v>
      </c>
      <c r="H229" s="39" t="n">
        <f aca="false">ROUND(AB228*(1+N('My Debts'!$D$12)/12),2)</f>
        <v>0</v>
      </c>
      <c r="I229" s="39" t="n">
        <f aca="false">ROUND(AC228*(1+N('My Debts'!$D$13)/12),2)</f>
        <v>0</v>
      </c>
      <c r="J229" s="39" t="n">
        <f aca="false">ROUND(AD228*(1+N('My Debts'!$D$14)/12),2)</f>
        <v>0</v>
      </c>
      <c r="K229" s="39" t="n">
        <f aca="false">ROUND(AE228*(1+N('My Debts'!$D$15)/12),2)</f>
        <v>0</v>
      </c>
      <c r="L229" s="39" t="n">
        <f aca="false">MIN(N('My Debts'!$E$6),B229)</f>
        <v>0</v>
      </c>
      <c r="M229" s="39" t="n">
        <f aca="false">MIN(N('My Debts'!$E$7),C229)</f>
        <v>0</v>
      </c>
      <c r="N229" s="39" t="n">
        <f aca="false">MIN(N('My Debts'!$E$8),D229)</f>
        <v>0</v>
      </c>
      <c r="O229" s="39" t="n">
        <f aca="false">MIN(N('My Debts'!$E$9),E229)</f>
        <v>0</v>
      </c>
      <c r="P229" s="39" t="n">
        <f aca="false">MIN(N('My Debts'!$E$10),F229)</f>
        <v>0</v>
      </c>
      <c r="Q229" s="39" t="n">
        <f aca="false">MIN(N('My Debts'!$E$11),G229)</f>
        <v>0</v>
      </c>
      <c r="R229" s="39" t="n">
        <f aca="false">MIN(N('My Debts'!$E$12),H229)</f>
        <v>0</v>
      </c>
      <c r="S229" s="39" t="n">
        <f aca="false">MIN(N('My Debts'!$E$13),I229)</f>
        <v>0</v>
      </c>
      <c r="T229" s="39" t="n">
        <f aca="false">MIN(N('My Debts'!$E$14),J229)</f>
        <v>0</v>
      </c>
      <c r="U229" s="39" t="n">
        <f aca="false">MIN(N('My Debts'!$E$15),K229)</f>
        <v>0</v>
      </c>
      <c r="V229" s="39" t="n">
        <f aca="false">ROUND(B229-L229-MIN(B229-L229,MAX(0,$AF229-SUMPRODUCT(--($B$4:$K$4&lt;B$4),$B229:$K229-$L229:$U229))),2)</f>
        <v>0</v>
      </c>
      <c r="W229" s="39" t="n">
        <f aca="false">ROUND(C229-M229-MIN(C229-M229,MAX(0,$AF229-SUMPRODUCT(--($B$4:$K$4&lt;C$4),$B229:$K229-$L229:$U229))),2)</f>
        <v>0</v>
      </c>
      <c r="X229" s="39" t="n">
        <f aca="false">ROUND(D229-N229-MIN(D229-N229,MAX(0,$AF229-SUMPRODUCT(--($B$4:$K$4&lt;D$4),$B229:$K229-$L229:$U229))),2)</f>
        <v>0</v>
      </c>
      <c r="Y229" s="39" t="n">
        <f aca="false">ROUND(E229-O229-MIN(E229-O229,MAX(0,$AF229-SUMPRODUCT(--($B$4:$K$4&lt;E$4),$B229:$K229-$L229:$U229))),2)</f>
        <v>0</v>
      </c>
      <c r="Z229" s="39" t="n">
        <f aca="false">ROUND(F229-P229-MIN(F229-P229,MAX(0,$AF229-SUMPRODUCT(--($B$4:$K$4&lt;F$4),$B229:$K229-$L229:$U229))),2)</f>
        <v>0</v>
      </c>
      <c r="AA229" s="39" t="n">
        <f aca="false">ROUND(G229-Q229-MIN(G229-Q229,MAX(0,$AF229-SUMPRODUCT(--($B$4:$K$4&lt;G$4),$B229:$K229-$L229:$U229))),2)</f>
        <v>0</v>
      </c>
      <c r="AB229" s="39" t="n">
        <f aca="false">ROUND(H229-R229-MIN(H229-R229,MAX(0,$AF229-SUMPRODUCT(--($B$4:$K$4&lt;H$4),$B229:$K229-$L229:$U229))),2)</f>
        <v>0</v>
      </c>
      <c r="AC229" s="39" t="n">
        <f aca="false">ROUND(I229-S229-MIN(I229-S229,MAX(0,$AF229-SUMPRODUCT(--($B$4:$K$4&lt;I$4),$B229:$K229-$L229:$U229))),2)</f>
        <v>0</v>
      </c>
      <c r="AD229" s="39" t="n">
        <f aca="false">ROUND(J229-T229-MIN(J229-T229,MAX(0,$AF229-SUMPRODUCT(--($B$4:$K$4&lt;J$4),$B229:$K229-$L229:$U229))),2)</f>
        <v>0</v>
      </c>
      <c r="AE229" s="39" t="n">
        <f aca="false">ROUND(K229-U229-MIN(K229-U229,MAX(0,$AF229-SUMPRODUCT(--($B$4:$K$4&lt;K$4),$B229:$K229-$L229:$U229))),2)</f>
        <v>0</v>
      </c>
      <c r="AF229" s="39" t="n">
        <f aca="false">MAX(0,'Start Here'!$C$5-SUM($L229:$U229))</f>
        <v>1200</v>
      </c>
      <c r="AG229" s="39" t="n">
        <f aca="false">SUM(V229:AE229)</f>
        <v>0</v>
      </c>
      <c r="AH229" s="39" t="n">
        <f aca="false">SUM(B229:K229)-AG228</f>
        <v>0</v>
      </c>
    </row>
    <row r="230" customFormat="false" ht="15" hidden="false" customHeight="false" outlineLevel="0" collapsed="false">
      <c r="A230" s="40" t="n">
        <f aca="false">DATE(YEAR('Start Here'!$C$6),MONTH('Start Here'!$C$6)+223,1)</f>
        <v>53083</v>
      </c>
      <c r="B230" s="39" t="n">
        <f aca="false">ROUND(V229*(1+N('My Debts'!$D$6)/12),2)</f>
        <v>0</v>
      </c>
      <c r="C230" s="39" t="n">
        <f aca="false">ROUND(W229*(1+N('My Debts'!$D$7)/12),2)</f>
        <v>0</v>
      </c>
      <c r="D230" s="39" t="n">
        <f aca="false">ROUND(X229*(1+N('My Debts'!$D$8)/12),2)</f>
        <v>0</v>
      </c>
      <c r="E230" s="39" t="n">
        <f aca="false">ROUND(Y229*(1+N('My Debts'!$D$9)/12),2)</f>
        <v>0</v>
      </c>
      <c r="F230" s="39" t="n">
        <f aca="false">ROUND(Z229*(1+N('My Debts'!$D$10)/12),2)</f>
        <v>0</v>
      </c>
      <c r="G230" s="39" t="n">
        <f aca="false">ROUND(AA229*(1+N('My Debts'!$D$11)/12),2)</f>
        <v>0</v>
      </c>
      <c r="H230" s="39" t="n">
        <f aca="false">ROUND(AB229*(1+N('My Debts'!$D$12)/12),2)</f>
        <v>0</v>
      </c>
      <c r="I230" s="39" t="n">
        <f aca="false">ROUND(AC229*(1+N('My Debts'!$D$13)/12),2)</f>
        <v>0</v>
      </c>
      <c r="J230" s="39" t="n">
        <f aca="false">ROUND(AD229*(1+N('My Debts'!$D$14)/12),2)</f>
        <v>0</v>
      </c>
      <c r="K230" s="39" t="n">
        <f aca="false">ROUND(AE229*(1+N('My Debts'!$D$15)/12),2)</f>
        <v>0</v>
      </c>
      <c r="L230" s="39" t="n">
        <f aca="false">MIN(N('My Debts'!$E$6),B230)</f>
        <v>0</v>
      </c>
      <c r="M230" s="39" t="n">
        <f aca="false">MIN(N('My Debts'!$E$7),C230)</f>
        <v>0</v>
      </c>
      <c r="N230" s="39" t="n">
        <f aca="false">MIN(N('My Debts'!$E$8),D230)</f>
        <v>0</v>
      </c>
      <c r="O230" s="39" t="n">
        <f aca="false">MIN(N('My Debts'!$E$9),E230)</f>
        <v>0</v>
      </c>
      <c r="P230" s="39" t="n">
        <f aca="false">MIN(N('My Debts'!$E$10),F230)</f>
        <v>0</v>
      </c>
      <c r="Q230" s="39" t="n">
        <f aca="false">MIN(N('My Debts'!$E$11),G230)</f>
        <v>0</v>
      </c>
      <c r="R230" s="39" t="n">
        <f aca="false">MIN(N('My Debts'!$E$12),H230)</f>
        <v>0</v>
      </c>
      <c r="S230" s="39" t="n">
        <f aca="false">MIN(N('My Debts'!$E$13),I230)</f>
        <v>0</v>
      </c>
      <c r="T230" s="39" t="n">
        <f aca="false">MIN(N('My Debts'!$E$14),J230)</f>
        <v>0</v>
      </c>
      <c r="U230" s="39" t="n">
        <f aca="false">MIN(N('My Debts'!$E$15),K230)</f>
        <v>0</v>
      </c>
      <c r="V230" s="39" t="n">
        <f aca="false">ROUND(B230-L230-MIN(B230-L230,MAX(0,$AF230-SUMPRODUCT(--($B$4:$K$4&lt;B$4),$B230:$K230-$L230:$U230))),2)</f>
        <v>0</v>
      </c>
      <c r="W230" s="39" t="n">
        <f aca="false">ROUND(C230-M230-MIN(C230-M230,MAX(0,$AF230-SUMPRODUCT(--($B$4:$K$4&lt;C$4),$B230:$K230-$L230:$U230))),2)</f>
        <v>0</v>
      </c>
      <c r="X230" s="39" t="n">
        <f aca="false">ROUND(D230-N230-MIN(D230-N230,MAX(0,$AF230-SUMPRODUCT(--($B$4:$K$4&lt;D$4),$B230:$K230-$L230:$U230))),2)</f>
        <v>0</v>
      </c>
      <c r="Y230" s="39" t="n">
        <f aca="false">ROUND(E230-O230-MIN(E230-O230,MAX(0,$AF230-SUMPRODUCT(--($B$4:$K$4&lt;E$4),$B230:$K230-$L230:$U230))),2)</f>
        <v>0</v>
      </c>
      <c r="Z230" s="39" t="n">
        <f aca="false">ROUND(F230-P230-MIN(F230-P230,MAX(0,$AF230-SUMPRODUCT(--($B$4:$K$4&lt;F$4),$B230:$K230-$L230:$U230))),2)</f>
        <v>0</v>
      </c>
      <c r="AA230" s="39" t="n">
        <f aca="false">ROUND(G230-Q230-MIN(G230-Q230,MAX(0,$AF230-SUMPRODUCT(--($B$4:$K$4&lt;G$4),$B230:$K230-$L230:$U230))),2)</f>
        <v>0</v>
      </c>
      <c r="AB230" s="39" t="n">
        <f aca="false">ROUND(H230-R230-MIN(H230-R230,MAX(0,$AF230-SUMPRODUCT(--($B$4:$K$4&lt;H$4),$B230:$K230-$L230:$U230))),2)</f>
        <v>0</v>
      </c>
      <c r="AC230" s="39" t="n">
        <f aca="false">ROUND(I230-S230-MIN(I230-S230,MAX(0,$AF230-SUMPRODUCT(--($B$4:$K$4&lt;I$4),$B230:$K230-$L230:$U230))),2)</f>
        <v>0</v>
      </c>
      <c r="AD230" s="39" t="n">
        <f aca="false">ROUND(J230-T230-MIN(J230-T230,MAX(0,$AF230-SUMPRODUCT(--($B$4:$K$4&lt;J$4),$B230:$K230-$L230:$U230))),2)</f>
        <v>0</v>
      </c>
      <c r="AE230" s="39" t="n">
        <f aca="false">ROUND(K230-U230-MIN(K230-U230,MAX(0,$AF230-SUMPRODUCT(--($B$4:$K$4&lt;K$4),$B230:$K230-$L230:$U230))),2)</f>
        <v>0</v>
      </c>
      <c r="AF230" s="39" t="n">
        <f aca="false">MAX(0,'Start Here'!$C$5-SUM($L230:$U230))</f>
        <v>1200</v>
      </c>
      <c r="AG230" s="39" t="n">
        <f aca="false">SUM(V230:AE230)</f>
        <v>0</v>
      </c>
      <c r="AH230" s="39" t="n">
        <f aca="false">SUM(B230:K230)-AG229</f>
        <v>0</v>
      </c>
    </row>
    <row r="231" customFormat="false" ht="15" hidden="false" customHeight="false" outlineLevel="0" collapsed="false">
      <c r="A231" s="40" t="n">
        <f aca="false">DATE(YEAR('Start Here'!$C$6),MONTH('Start Here'!$C$6)+224,1)</f>
        <v>53114</v>
      </c>
      <c r="B231" s="39" t="n">
        <f aca="false">ROUND(V230*(1+N('My Debts'!$D$6)/12),2)</f>
        <v>0</v>
      </c>
      <c r="C231" s="39" t="n">
        <f aca="false">ROUND(W230*(1+N('My Debts'!$D$7)/12),2)</f>
        <v>0</v>
      </c>
      <c r="D231" s="39" t="n">
        <f aca="false">ROUND(X230*(1+N('My Debts'!$D$8)/12),2)</f>
        <v>0</v>
      </c>
      <c r="E231" s="39" t="n">
        <f aca="false">ROUND(Y230*(1+N('My Debts'!$D$9)/12),2)</f>
        <v>0</v>
      </c>
      <c r="F231" s="39" t="n">
        <f aca="false">ROUND(Z230*(1+N('My Debts'!$D$10)/12),2)</f>
        <v>0</v>
      </c>
      <c r="G231" s="39" t="n">
        <f aca="false">ROUND(AA230*(1+N('My Debts'!$D$11)/12),2)</f>
        <v>0</v>
      </c>
      <c r="H231" s="39" t="n">
        <f aca="false">ROUND(AB230*(1+N('My Debts'!$D$12)/12),2)</f>
        <v>0</v>
      </c>
      <c r="I231" s="39" t="n">
        <f aca="false">ROUND(AC230*(1+N('My Debts'!$D$13)/12),2)</f>
        <v>0</v>
      </c>
      <c r="J231" s="39" t="n">
        <f aca="false">ROUND(AD230*(1+N('My Debts'!$D$14)/12),2)</f>
        <v>0</v>
      </c>
      <c r="K231" s="39" t="n">
        <f aca="false">ROUND(AE230*(1+N('My Debts'!$D$15)/12),2)</f>
        <v>0</v>
      </c>
      <c r="L231" s="39" t="n">
        <f aca="false">MIN(N('My Debts'!$E$6),B231)</f>
        <v>0</v>
      </c>
      <c r="M231" s="39" t="n">
        <f aca="false">MIN(N('My Debts'!$E$7),C231)</f>
        <v>0</v>
      </c>
      <c r="N231" s="39" t="n">
        <f aca="false">MIN(N('My Debts'!$E$8),D231)</f>
        <v>0</v>
      </c>
      <c r="O231" s="39" t="n">
        <f aca="false">MIN(N('My Debts'!$E$9),E231)</f>
        <v>0</v>
      </c>
      <c r="P231" s="39" t="n">
        <f aca="false">MIN(N('My Debts'!$E$10),F231)</f>
        <v>0</v>
      </c>
      <c r="Q231" s="39" t="n">
        <f aca="false">MIN(N('My Debts'!$E$11),G231)</f>
        <v>0</v>
      </c>
      <c r="R231" s="39" t="n">
        <f aca="false">MIN(N('My Debts'!$E$12),H231)</f>
        <v>0</v>
      </c>
      <c r="S231" s="39" t="n">
        <f aca="false">MIN(N('My Debts'!$E$13),I231)</f>
        <v>0</v>
      </c>
      <c r="T231" s="39" t="n">
        <f aca="false">MIN(N('My Debts'!$E$14),J231)</f>
        <v>0</v>
      </c>
      <c r="U231" s="39" t="n">
        <f aca="false">MIN(N('My Debts'!$E$15),K231)</f>
        <v>0</v>
      </c>
      <c r="V231" s="39" t="n">
        <f aca="false">ROUND(B231-L231-MIN(B231-L231,MAX(0,$AF231-SUMPRODUCT(--($B$4:$K$4&lt;B$4),$B231:$K231-$L231:$U231))),2)</f>
        <v>0</v>
      </c>
      <c r="W231" s="39" t="n">
        <f aca="false">ROUND(C231-M231-MIN(C231-M231,MAX(0,$AF231-SUMPRODUCT(--($B$4:$K$4&lt;C$4),$B231:$K231-$L231:$U231))),2)</f>
        <v>0</v>
      </c>
      <c r="X231" s="39" t="n">
        <f aca="false">ROUND(D231-N231-MIN(D231-N231,MAX(0,$AF231-SUMPRODUCT(--($B$4:$K$4&lt;D$4),$B231:$K231-$L231:$U231))),2)</f>
        <v>0</v>
      </c>
      <c r="Y231" s="39" t="n">
        <f aca="false">ROUND(E231-O231-MIN(E231-O231,MAX(0,$AF231-SUMPRODUCT(--($B$4:$K$4&lt;E$4),$B231:$K231-$L231:$U231))),2)</f>
        <v>0</v>
      </c>
      <c r="Z231" s="39" t="n">
        <f aca="false">ROUND(F231-P231-MIN(F231-P231,MAX(0,$AF231-SUMPRODUCT(--($B$4:$K$4&lt;F$4),$B231:$K231-$L231:$U231))),2)</f>
        <v>0</v>
      </c>
      <c r="AA231" s="39" t="n">
        <f aca="false">ROUND(G231-Q231-MIN(G231-Q231,MAX(0,$AF231-SUMPRODUCT(--($B$4:$K$4&lt;G$4),$B231:$K231-$L231:$U231))),2)</f>
        <v>0</v>
      </c>
      <c r="AB231" s="39" t="n">
        <f aca="false">ROUND(H231-R231-MIN(H231-R231,MAX(0,$AF231-SUMPRODUCT(--($B$4:$K$4&lt;H$4),$B231:$K231-$L231:$U231))),2)</f>
        <v>0</v>
      </c>
      <c r="AC231" s="39" t="n">
        <f aca="false">ROUND(I231-S231-MIN(I231-S231,MAX(0,$AF231-SUMPRODUCT(--($B$4:$K$4&lt;I$4),$B231:$K231-$L231:$U231))),2)</f>
        <v>0</v>
      </c>
      <c r="AD231" s="39" t="n">
        <f aca="false">ROUND(J231-T231-MIN(J231-T231,MAX(0,$AF231-SUMPRODUCT(--($B$4:$K$4&lt;J$4),$B231:$K231-$L231:$U231))),2)</f>
        <v>0</v>
      </c>
      <c r="AE231" s="39" t="n">
        <f aca="false">ROUND(K231-U231-MIN(K231-U231,MAX(0,$AF231-SUMPRODUCT(--($B$4:$K$4&lt;K$4),$B231:$K231-$L231:$U231))),2)</f>
        <v>0</v>
      </c>
      <c r="AF231" s="39" t="n">
        <f aca="false">MAX(0,'Start Here'!$C$5-SUM($L231:$U231))</f>
        <v>1200</v>
      </c>
      <c r="AG231" s="39" t="n">
        <f aca="false">SUM(V231:AE231)</f>
        <v>0</v>
      </c>
      <c r="AH231" s="39" t="n">
        <f aca="false">SUM(B231:K231)-AG230</f>
        <v>0</v>
      </c>
    </row>
    <row r="232" customFormat="false" ht="15" hidden="false" customHeight="false" outlineLevel="0" collapsed="false">
      <c r="A232" s="40" t="n">
        <f aca="false">DATE(YEAR('Start Here'!$C$6),MONTH('Start Here'!$C$6)+225,1)</f>
        <v>53144</v>
      </c>
      <c r="B232" s="39" t="n">
        <f aca="false">ROUND(V231*(1+N('My Debts'!$D$6)/12),2)</f>
        <v>0</v>
      </c>
      <c r="C232" s="39" t="n">
        <f aca="false">ROUND(W231*(1+N('My Debts'!$D$7)/12),2)</f>
        <v>0</v>
      </c>
      <c r="D232" s="39" t="n">
        <f aca="false">ROUND(X231*(1+N('My Debts'!$D$8)/12),2)</f>
        <v>0</v>
      </c>
      <c r="E232" s="39" t="n">
        <f aca="false">ROUND(Y231*(1+N('My Debts'!$D$9)/12),2)</f>
        <v>0</v>
      </c>
      <c r="F232" s="39" t="n">
        <f aca="false">ROUND(Z231*(1+N('My Debts'!$D$10)/12),2)</f>
        <v>0</v>
      </c>
      <c r="G232" s="39" t="n">
        <f aca="false">ROUND(AA231*(1+N('My Debts'!$D$11)/12),2)</f>
        <v>0</v>
      </c>
      <c r="H232" s="39" t="n">
        <f aca="false">ROUND(AB231*(1+N('My Debts'!$D$12)/12),2)</f>
        <v>0</v>
      </c>
      <c r="I232" s="39" t="n">
        <f aca="false">ROUND(AC231*(1+N('My Debts'!$D$13)/12),2)</f>
        <v>0</v>
      </c>
      <c r="J232" s="39" t="n">
        <f aca="false">ROUND(AD231*(1+N('My Debts'!$D$14)/12),2)</f>
        <v>0</v>
      </c>
      <c r="K232" s="39" t="n">
        <f aca="false">ROUND(AE231*(1+N('My Debts'!$D$15)/12),2)</f>
        <v>0</v>
      </c>
      <c r="L232" s="39" t="n">
        <f aca="false">MIN(N('My Debts'!$E$6),B232)</f>
        <v>0</v>
      </c>
      <c r="M232" s="39" t="n">
        <f aca="false">MIN(N('My Debts'!$E$7),C232)</f>
        <v>0</v>
      </c>
      <c r="N232" s="39" t="n">
        <f aca="false">MIN(N('My Debts'!$E$8),D232)</f>
        <v>0</v>
      </c>
      <c r="O232" s="39" t="n">
        <f aca="false">MIN(N('My Debts'!$E$9),E232)</f>
        <v>0</v>
      </c>
      <c r="P232" s="39" t="n">
        <f aca="false">MIN(N('My Debts'!$E$10),F232)</f>
        <v>0</v>
      </c>
      <c r="Q232" s="39" t="n">
        <f aca="false">MIN(N('My Debts'!$E$11),G232)</f>
        <v>0</v>
      </c>
      <c r="R232" s="39" t="n">
        <f aca="false">MIN(N('My Debts'!$E$12),H232)</f>
        <v>0</v>
      </c>
      <c r="S232" s="39" t="n">
        <f aca="false">MIN(N('My Debts'!$E$13),I232)</f>
        <v>0</v>
      </c>
      <c r="T232" s="39" t="n">
        <f aca="false">MIN(N('My Debts'!$E$14),J232)</f>
        <v>0</v>
      </c>
      <c r="U232" s="39" t="n">
        <f aca="false">MIN(N('My Debts'!$E$15),K232)</f>
        <v>0</v>
      </c>
      <c r="V232" s="39" t="n">
        <f aca="false">ROUND(B232-L232-MIN(B232-L232,MAX(0,$AF232-SUMPRODUCT(--($B$4:$K$4&lt;B$4),$B232:$K232-$L232:$U232))),2)</f>
        <v>0</v>
      </c>
      <c r="W232" s="39" t="n">
        <f aca="false">ROUND(C232-M232-MIN(C232-M232,MAX(0,$AF232-SUMPRODUCT(--($B$4:$K$4&lt;C$4),$B232:$K232-$L232:$U232))),2)</f>
        <v>0</v>
      </c>
      <c r="X232" s="39" t="n">
        <f aca="false">ROUND(D232-N232-MIN(D232-N232,MAX(0,$AF232-SUMPRODUCT(--($B$4:$K$4&lt;D$4),$B232:$K232-$L232:$U232))),2)</f>
        <v>0</v>
      </c>
      <c r="Y232" s="39" t="n">
        <f aca="false">ROUND(E232-O232-MIN(E232-O232,MAX(0,$AF232-SUMPRODUCT(--($B$4:$K$4&lt;E$4),$B232:$K232-$L232:$U232))),2)</f>
        <v>0</v>
      </c>
      <c r="Z232" s="39" t="n">
        <f aca="false">ROUND(F232-P232-MIN(F232-P232,MAX(0,$AF232-SUMPRODUCT(--($B$4:$K$4&lt;F$4),$B232:$K232-$L232:$U232))),2)</f>
        <v>0</v>
      </c>
      <c r="AA232" s="39" t="n">
        <f aca="false">ROUND(G232-Q232-MIN(G232-Q232,MAX(0,$AF232-SUMPRODUCT(--($B$4:$K$4&lt;G$4),$B232:$K232-$L232:$U232))),2)</f>
        <v>0</v>
      </c>
      <c r="AB232" s="39" t="n">
        <f aca="false">ROUND(H232-R232-MIN(H232-R232,MAX(0,$AF232-SUMPRODUCT(--($B$4:$K$4&lt;H$4),$B232:$K232-$L232:$U232))),2)</f>
        <v>0</v>
      </c>
      <c r="AC232" s="39" t="n">
        <f aca="false">ROUND(I232-S232-MIN(I232-S232,MAX(0,$AF232-SUMPRODUCT(--($B$4:$K$4&lt;I$4),$B232:$K232-$L232:$U232))),2)</f>
        <v>0</v>
      </c>
      <c r="AD232" s="39" t="n">
        <f aca="false">ROUND(J232-T232-MIN(J232-T232,MAX(0,$AF232-SUMPRODUCT(--($B$4:$K$4&lt;J$4),$B232:$K232-$L232:$U232))),2)</f>
        <v>0</v>
      </c>
      <c r="AE232" s="39" t="n">
        <f aca="false">ROUND(K232-U232-MIN(K232-U232,MAX(0,$AF232-SUMPRODUCT(--($B$4:$K$4&lt;K$4),$B232:$K232-$L232:$U232))),2)</f>
        <v>0</v>
      </c>
      <c r="AF232" s="39" t="n">
        <f aca="false">MAX(0,'Start Here'!$C$5-SUM($L232:$U232))</f>
        <v>1200</v>
      </c>
      <c r="AG232" s="39" t="n">
        <f aca="false">SUM(V232:AE232)</f>
        <v>0</v>
      </c>
      <c r="AH232" s="39" t="n">
        <f aca="false">SUM(B232:K232)-AG231</f>
        <v>0</v>
      </c>
    </row>
    <row r="233" customFormat="false" ht="15" hidden="false" customHeight="false" outlineLevel="0" collapsed="false">
      <c r="A233" s="40" t="n">
        <f aca="false">DATE(YEAR('Start Here'!$C$6),MONTH('Start Here'!$C$6)+226,1)</f>
        <v>53175</v>
      </c>
      <c r="B233" s="39" t="n">
        <f aca="false">ROUND(V232*(1+N('My Debts'!$D$6)/12),2)</f>
        <v>0</v>
      </c>
      <c r="C233" s="39" t="n">
        <f aca="false">ROUND(W232*(1+N('My Debts'!$D$7)/12),2)</f>
        <v>0</v>
      </c>
      <c r="D233" s="39" t="n">
        <f aca="false">ROUND(X232*(1+N('My Debts'!$D$8)/12),2)</f>
        <v>0</v>
      </c>
      <c r="E233" s="39" t="n">
        <f aca="false">ROUND(Y232*(1+N('My Debts'!$D$9)/12),2)</f>
        <v>0</v>
      </c>
      <c r="F233" s="39" t="n">
        <f aca="false">ROUND(Z232*(1+N('My Debts'!$D$10)/12),2)</f>
        <v>0</v>
      </c>
      <c r="G233" s="39" t="n">
        <f aca="false">ROUND(AA232*(1+N('My Debts'!$D$11)/12),2)</f>
        <v>0</v>
      </c>
      <c r="H233" s="39" t="n">
        <f aca="false">ROUND(AB232*(1+N('My Debts'!$D$12)/12),2)</f>
        <v>0</v>
      </c>
      <c r="I233" s="39" t="n">
        <f aca="false">ROUND(AC232*(1+N('My Debts'!$D$13)/12),2)</f>
        <v>0</v>
      </c>
      <c r="J233" s="39" t="n">
        <f aca="false">ROUND(AD232*(1+N('My Debts'!$D$14)/12),2)</f>
        <v>0</v>
      </c>
      <c r="K233" s="39" t="n">
        <f aca="false">ROUND(AE232*(1+N('My Debts'!$D$15)/12),2)</f>
        <v>0</v>
      </c>
      <c r="L233" s="39" t="n">
        <f aca="false">MIN(N('My Debts'!$E$6),B233)</f>
        <v>0</v>
      </c>
      <c r="M233" s="39" t="n">
        <f aca="false">MIN(N('My Debts'!$E$7),C233)</f>
        <v>0</v>
      </c>
      <c r="N233" s="39" t="n">
        <f aca="false">MIN(N('My Debts'!$E$8),D233)</f>
        <v>0</v>
      </c>
      <c r="O233" s="39" t="n">
        <f aca="false">MIN(N('My Debts'!$E$9),E233)</f>
        <v>0</v>
      </c>
      <c r="P233" s="39" t="n">
        <f aca="false">MIN(N('My Debts'!$E$10),F233)</f>
        <v>0</v>
      </c>
      <c r="Q233" s="39" t="n">
        <f aca="false">MIN(N('My Debts'!$E$11),G233)</f>
        <v>0</v>
      </c>
      <c r="R233" s="39" t="n">
        <f aca="false">MIN(N('My Debts'!$E$12),H233)</f>
        <v>0</v>
      </c>
      <c r="S233" s="39" t="n">
        <f aca="false">MIN(N('My Debts'!$E$13),I233)</f>
        <v>0</v>
      </c>
      <c r="T233" s="39" t="n">
        <f aca="false">MIN(N('My Debts'!$E$14),J233)</f>
        <v>0</v>
      </c>
      <c r="U233" s="39" t="n">
        <f aca="false">MIN(N('My Debts'!$E$15),K233)</f>
        <v>0</v>
      </c>
      <c r="V233" s="39" t="n">
        <f aca="false">ROUND(B233-L233-MIN(B233-L233,MAX(0,$AF233-SUMPRODUCT(--($B$4:$K$4&lt;B$4),$B233:$K233-$L233:$U233))),2)</f>
        <v>0</v>
      </c>
      <c r="W233" s="39" t="n">
        <f aca="false">ROUND(C233-M233-MIN(C233-M233,MAX(0,$AF233-SUMPRODUCT(--($B$4:$K$4&lt;C$4),$B233:$K233-$L233:$U233))),2)</f>
        <v>0</v>
      </c>
      <c r="X233" s="39" t="n">
        <f aca="false">ROUND(D233-N233-MIN(D233-N233,MAX(0,$AF233-SUMPRODUCT(--($B$4:$K$4&lt;D$4),$B233:$K233-$L233:$U233))),2)</f>
        <v>0</v>
      </c>
      <c r="Y233" s="39" t="n">
        <f aca="false">ROUND(E233-O233-MIN(E233-O233,MAX(0,$AF233-SUMPRODUCT(--($B$4:$K$4&lt;E$4),$B233:$K233-$L233:$U233))),2)</f>
        <v>0</v>
      </c>
      <c r="Z233" s="39" t="n">
        <f aca="false">ROUND(F233-P233-MIN(F233-P233,MAX(0,$AF233-SUMPRODUCT(--($B$4:$K$4&lt;F$4),$B233:$K233-$L233:$U233))),2)</f>
        <v>0</v>
      </c>
      <c r="AA233" s="39" t="n">
        <f aca="false">ROUND(G233-Q233-MIN(G233-Q233,MAX(0,$AF233-SUMPRODUCT(--($B$4:$K$4&lt;G$4),$B233:$K233-$L233:$U233))),2)</f>
        <v>0</v>
      </c>
      <c r="AB233" s="39" t="n">
        <f aca="false">ROUND(H233-R233-MIN(H233-R233,MAX(0,$AF233-SUMPRODUCT(--($B$4:$K$4&lt;H$4),$B233:$K233-$L233:$U233))),2)</f>
        <v>0</v>
      </c>
      <c r="AC233" s="39" t="n">
        <f aca="false">ROUND(I233-S233-MIN(I233-S233,MAX(0,$AF233-SUMPRODUCT(--($B$4:$K$4&lt;I$4),$B233:$K233-$L233:$U233))),2)</f>
        <v>0</v>
      </c>
      <c r="AD233" s="39" t="n">
        <f aca="false">ROUND(J233-T233-MIN(J233-T233,MAX(0,$AF233-SUMPRODUCT(--($B$4:$K$4&lt;J$4),$B233:$K233-$L233:$U233))),2)</f>
        <v>0</v>
      </c>
      <c r="AE233" s="39" t="n">
        <f aca="false">ROUND(K233-U233-MIN(K233-U233,MAX(0,$AF233-SUMPRODUCT(--($B$4:$K$4&lt;K$4),$B233:$K233-$L233:$U233))),2)</f>
        <v>0</v>
      </c>
      <c r="AF233" s="39" t="n">
        <f aca="false">MAX(0,'Start Here'!$C$5-SUM($L233:$U233))</f>
        <v>1200</v>
      </c>
      <c r="AG233" s="39" t="n">
        <f aca="false">SUM(V233:AE233)</f>
        <v>0</v>
      </c>
      <c r="AH233" s="39" t="n">
        <f aca="false">SUM(B233:K233)-AG232</f>
        <v>0</v>
      </c>
    </row>
    <row r="234" customFormat="false" ht="15" hidden="false" customHeight="false" outlineLevel="0" collapsed="false">
      <c r="A234" s="40" t="n">
        <f aca="false">DATE(YEAR('Start Here'!$C$6),MONTH('Start Here'!$C$6)+227,1)</f>
        <v>53206</v>
      </c>
      <c r="B234" s="39" t="n">
        <f aca="false">ROUND(V233*(1+N('My Debts'!$D$6)/12),2)</f>
        <v>0</v>
      </c>
      <c r="C234" s="39" t="n">
        <f aca="false">ROUND(W233*(1+N('My Debts'!$D$7)/12),2)</f>
        <v>0</v>
      </c>
      <c r="D234" s="39" t="n">
        <f aca="false">ROUND(X233*(1+N('My Debts'!$D$8)/12),2)</f>
        <v>0</v>
      </c>
      <c r="E234" s="39" t="n">
        <f aca="false">ROUND(Y233*(1+N('My Debts'!$D$9)/12),2)</f>
        <v>0</v>
      </c>
      <c r="F234" s="39" t="n">
        <f aca="false">ROUND(Z233*(1+N('My Debts'!$D$10)/12),2)</f>
        <v>0</v>
      </c>
      <c r="G234" s="39" t="n">
        <f aca="false">ROUND(AA233*(1+N('My Debts'!$D$11)/12),2)</f>
        <v>0</v>
      </c>
      <c r="H234" s="39" t="n">
        <f aca="false">ROUND(AB233*(1+N('My Debts'!$D$12)/12),2)</f>
        <v>0</v>
      </c>
      <c r="I234" s="39" t="n">
        <f aca="false">ROUND(AC233*(1+N('My Debts'!$D$13)/12),2)</f>
        <v>0</v>
      </c>
      <c r="J234" s="39" t="n">
        <f aca="false">ROUND(AD233*(1+N('My Debts'!$D$14)/12),2)</f>
        <v>0</v>
      </c>
      <c r="K234" s="39" t="n">
        <f aca="false">ROUND(AE233*(1+N('My Debts'!$D$15)/12),2)</f>
        <v>0</v>
      </c>
      <c r="L234" s="39" t="n">
        <f aca="false">MIN(N('My Debts'!$E$6),B234)</f>
        <v>0</v>
      </c>
      <c r="M234" s="39" t="n">
        <f aca="false">MIN(N('My Debts'!$E$7),C234)</f>
        <v>0</v>
      </c>
      <c r="N234" s="39" t="n">
        <f aca="false">MIN(N('My Debts'!$E$8),D234)</f>
        <v>0</v>
      </c>
      <c r="O234" s="39" t="n">
        <f aca="false">MIN(N('My Debts'!$E$9),E234)</f>
        <v>0</v>
      </c>
      <c r="P234" s="39" t="n">
        <f aca="false">MIN(N('My Debts'!$E$10),F234)</f>
        <v>0</v>
      </c>
      <c r="Q234" s="39" t="n">
        <f aca="false">MIN(N('My Debts'!$E$11),G234)</f>
        <v>0</v>
      </c>
      <c r="R234" s="39" t="n">
        <f aca="false">MIN(N('My Debts'!$E$12),H234)</f>
        <v>0</v>
      </c>
      <c r="S234" s="39" t="n">
        <f aca="false">MIN(N('My Debts'!$E$13),I234)</f>
        <v>0</v>
      </c>
      <c r="T234" s="39" t="n">
        <f aca="false">MIN(N('My Debts'!$E$14),J234)</f>
        <v>0</v>
      </c>
      <c r="U234" s="39" t="n">
        <f aca="false">MIN(N('My Debts'!$E$15),K234)</f>
        <v>0</v>
      </c>
      <c r="V234" s="39" t="n">
        <f aca="false">ROUND(B234-L234-MIN(B234-L234,MAX(0,$AF234-SUMPRODUCT(--($B$4:$K$4&lt;B$4),$B234:$K234-$L234:$U234))),2)</f>
        <v>0</v>
      </c>
      <c r="W234" s="39" t="n">
        <f aca="false">ROUND(C234-M234-MIN(C234-M234,MAX(0,$AF234-SUMPRODUCT(--($B$4:$K$4&lt;C$4),$B234:$K234-$L234:$U234))),2)</f>
        <v>0</v>
      </c>
      <c r="X234" s="39" t="n">
        <f aca="false">ROUND(D234-N234-MIN(D234-N234,MAX(0,$AF234-SUMPRODUCT(--($B$4:$K$4&lt;D$4),$B234:$K234-$L234:$U234))),2)</f>
        <v>0</v>
      </c>
      <c r="Y234" s="39" t="n">
        <f aca="false">ROUND(E234-O234-MIN(E234-O234,MAX(0,$AF234-SUMPRODUCT(--($B$4:$K$4&lt;E$4),$B234:$K234-$L234:$U234))),2)</f>
        <v>0</v>
      </c>
      <c r="Z234" s="39" t="n">
        <f aca="false">ROUND(F234-P234-MIN(F234-P234,MAX(0,$AF234-SUMPRODUCT(--($B$4:$K$4&lt;F$4),$B234:$K234-$L234:$U234))),2)</f>
        <v>0</v>
      </c>
      <c r="AA234" s="39" t="n">
        <f aca="false">ROUND(G234-Q234-MIN(G234-Q234,MAX(0,$AF234-SUMPRODUCT(--($B$4:$K$4&lt;G$4),$B234:$K234-$L234:$U234))),2)</f>
        <v>0</v>
      </c>
      <c r="AB234" s="39" t="n">
        <f aca="false">ROUND(H234-R234-MIN(H234-R234,MAX(0,$AF234-SUMPRODUCT(--($B$4:$K$4&lt;H$4),$B234:$K234-$L234:$U234))),2)</f>
        <v>0</v>
      </c>
      <c r="AC234" s="39" t="n">
        <f aca="false">ROUND(I234-S234-MIN(I234-S234,MAX(0,$AF234-SUMPRODUCT(--($B$4:$K$4&lt;I$4),$B234:$K234-$L234:$U234))),2)</f>
        <v>0</v>
      </c>
      <c r="AD234" s="39" t="n">
        <f aca="false">ROUND(J234-T234-MIN(J234-T234,MAX(0,$AF234-SUMPRODUCT(--($B$4:$K$4&lt;J$4),$B234:$K234-$L234:$U234))),2)</f>
        <v>0</v>
      </c>
      <c r="AE234" s="39" t="n">
        <f aca="false">ROUND(K234-U234-MIN(K234-U234,MAX(0,$AF234-SUMPRODUCT(--($B$4:$K$4&lt;K$4),$B234:$K234-$L234:$U234))),2)</f>
        <v>0</v>
      </c>
      <c r="AF234" s="39" t="n">
        <f aca="false">MAX(0,'Start Here'!$C$5-SUM($L234:$U234))</f>
        <v>1200</v>
      </c>
      <c r="AG234" s="39" t="n">
        <f aca="false">SUM(V234:AE234)</f>
        <v>0</v>
      </c>
      <c r="AH234" s="39" t="n">
        <f aca="false">SUM(B234:K234)-AG233</f>
        <v>0</v>
      </c>
    </row>
    <row r="235" customFormat="false" ht="15" hidden="false" customHeight="false" outlineLevel="0" collapsed="false">
      <c r="A235" s="40" t="n">
        <f aca="false">DATE(YEAR('Start Here'!$C$6),MONTH('Start Here'!$C$6)+228,1)</f>
        <v>53236</v>
      </c>
      <c r="B235" s="39" t="n">
        <f aca="false">ROUND(V234*(1+N('My Debts'!$D$6)/12),2)</f>
        <v>0</v>
      </c>
      <c r="C235" s="39" t="n">
        <f aca="false">ROUND(W234*(1+N('My Debts'!$D$7)/12),2)</f>
        <v>0</v>
      </c>
      <c r="D235" s="39" t="n">
        <f aca="false">ROUND(X234*(1+N('My Debts'!$D$8)/12),2)</f>
        <v>0</v>
      </c>
      <c r="E235" s="39" t="n">
        <f aca="false">ROUND(Y234*(1+N('My Debts'!$D$9)/12),2)</f>
        <v>0</v>
      </c>
      <c r="F235" s="39" t="n">
        <f aca="false">ROUND(Z234*(1+N('My Debts'!$D$10)/12),2)</f>
        <v>0</v>
      </c>
      <c r="G235" s="39" t="n">
        <f aca="false">ROUND(AA234*(1+N('My Debts'!$D$11)/12),2)</f>
        <v>0</v>
      </c>
      <c r="H235" s="39" t="n">
        <f aca="false">ROUND(AB234*(1+N('My Debts'!$D$12)/12),2)</f>
        <v>0</v>
      </c>
      <c r="I235" s="39" t="n">
        <f aca="false">ROUND(AC234*(1+N('My Debts'!$D$13)/12),2)</f>
        <v>0</v>
      </c>
      <c r="J235" s="39" t="n">
        <f aca="false">ROUND(AD234*(1+N('My Debts'!$D$14)/12),2)</f>
        <v>0</v>
      </c>
      <c r="K235" s="39" t="n">
        <f aca="false">ROUND(AE234*(1+N('My Debts'!$D$15)/12),2)</f>
        <v>0</v>
      </c>
      <c r="L235" s="39" t="n">
        <f aca="false">MIN(N('My Debts'!$E$6),B235)</f>
        <v>0</v>
      </c>
      <c r="M235" s="39" t="n">
        <f aca="false">MIN(N('My Debts'!$E$7),C235)</f>
        <v>0</v>
      </c>
      <c r="N235" s="39" t="n">
        <f aca="false">MIN(N('My Debts'!$E$8),D235)</f>
        <v>0</v>
      </c>
      <c r="O235" s="39" t="n">
        <f aca="false">MIN(N('My Debts'!$E$9),E235)</f>
        <v>0</v>
      </c>
      <c r="P235" s="39" t="n">
        <f aca="false">MIN(N('My Debts'!$E$10),F235)</f>
        <v>0</v>
      </c>
      <c r="Q235" s="39" t="n">
        <f aca="false">MIN(N('My Debts'!$E$11),G235)</f>
        <v>0</v>
      </c>
      <c r="R235" s="39" t="n">
        <f aca="false">MIN(N('My Debts'!$E$12),H235)</f>
        <v>0</v>
      </c>
      <c r="S235" s="39" t="n">
        <f aca="false">MIN(N('My Debts'!$E$13),I235)</f>
        <v>0</v>
      </c>
      <c r="T235" s="39" t="n">
        <f aca="false">MIN(N('My Debts'!$E$14),J235)</f>
        <v>0</v>
      </c>
      <c r="U235" s="39" t="n">
        <f aca="false">MIN(N('My Debts'!$E$15),K235)</f>
        <v>0</v>
      </c>
      <c r="V235" s="39" t="n">
        <f aca="false">ROUND(B235-L235-MIN(B235-L235,MAX(0,$AF235-SUMPRODUCT(--($B$4:$K$4&lt;B$4),$B235:$K235-$L235:$U235))),2)</f>
        <v>0</v>
      </c>
      <c r="W235" s="39" t="n">
        <f aca="false">ROUND(C235-M235-MIN(C235-M235,MAX(0,$AF235-SUMPRODUCT(--($B$4:$K$4&lt;C$4),$B235:$K235-$L235:$U235))),2)</f>
        <v>0</v>
      </c>
      <c r="X235" s="39" t="n">
        <f aca="false">ROUND(D235-N235-MIN(D235-N235,MAX(0,$AF235-SUMPRODUCT(--($B$4:$K$4&lt;D$4),$B235:$K235-$L235:$U235))),2)</f>
        <v>0</v>
      </c>
      <c r="Y235" s="39" t="n">
        <f aca="false">ROUND(E235-O235-MIN(E235-O235,MAX(0,$AF235-SUMPRODUCT(--($B$4:$K$4&lt;E$4),$B235:$K235-$L235:$U235))),2)</f>
        <v>0</v>
      </c>
      <c r="Z235" s="39" t="n">
        <f aca="false">ROUND(F235-P235-MIN(F235-P235,MAX(0,$AF235-SUMPRODUCT(--($B$4:$K$4&lt;F$4),$B235:$K235-$L235:$U235))),2)</f>
        <v>0</v>
      </c>
      <c r="AA235" s="39" t="n">
        <f aca="false">ROUND(G235-Q235-MIN(G235-Q235,MAX(0,$AF235-SUMPRODUCT(--($B$4:$K$4&lt;G$4),$B235:$K235-$L235:$U235))),2)</f>
        <v>0</v>
      </c>
      <c r="AB235" s="39" t="n">
        <f aca="false">ROUND(H235-R235-MIN(H235-R235,MAX(0,$AF235-SUMPRODUCT(--($B$4:$K$4&lt;H$4),$B235:$K235-$L235:$U235))),2)</f>
        <v>0</v>
      </c>
      <c r="AC235" s="39" t="n">
        <f aca="false">ROUND(I235-S235-MIN(I235-S235,MAX(0,$AF235-SUMPRODUCT(--($B$4:$K$4&lt;I$4),$B235:$K235-$L235:$U235))),2)</f>
        <v>0</v>
      </c>
      <c r="AD235" s="39" t="n">
        <f aca="false">ROUND(J235-T235-MIN(J235-T235,MAX(0,$AF235-SUMPRODUCT(--($B$4:$K$4&lt;J$4),$B235:$K235-$L235:$U235))),2)</f>
        <v>0</v>
      </c>
      <c r="AE235" s="39" t="n">
        <f aca="false">ROUND(K235-U235-MIN(K235-U235,MAX(0,$AF235-SUMPRODUCT(--($B$4:$K$4&lt;K$4),$B235:$K235-$L235:$U235))),2)</f>
        <v>0</v>
      </c>
      <c r="AF235" s="39" t="n">
        <f aca="false">MAX(0,'Start Here'!$C$5-SUM($L235:$U235))</f>
        <v>1200</v>
      </c>
      <c r="AG235" s="39" t="n">
        <f aca="false">SUM(V235:AE235)</f>
        <v>0</v>
      </c>
      <c r="AH235" s="39" t="n">
        <f aca="false">SUM(B235:K235)-AG234</f>
        <v>0</v>
      </c>
    </row>
    <row r="236" customFormat="false" ht="15" hidden="false" customHeight="false" outlineLevel="0" collapsed="false">
      <c r="A236" s="40" t="n">
        <f aca="false">DATE(YEAR('Start Here'!$C$6),MONTH('Start Here'!$C$6)+229,1)</f>
        <v>53267</v>
      </c>
      <c r="B236" s="39" t="n">
        <f aca="false">ROUND(V235*(1+N('My Debts'!$D$6)/12),2)</f>
        <v>0</v>
      </c>
      <c r="C236" s="39" t="n">
        <f aca="false">ROUND(W235*(1+N('My Debts'!$D$7)/12),2)</f>
        <v>0</v>
      </c>
      <c r="D236" s="39" t="n">
        <f aca="false">ROUND(X235*(1+N('My Debts'!$D$8)/12),2)</f>
        <v>0</v>
      </c>
      <c r="E236" s="39" t="n">
        <f aca="false">ROUND(Y235*(1+N('My Debts'!$D$9)/12),2)</f>
        <v>0</v>
      </c>
      <c r="F236" s="39" t="n">
        <f aca="false">ROUND(Z235*(1+N('My Debts'!$D$10)/12),2)</f>
        <v>0</v>
      </c>
      <c r="G236" s="39" t="n">
        <f aca="false">ROUND(AA235*(1+N('My Debts'!$D$11)/12),2)</f>
        <v>0</v>
      </c>
      <c r="H236" s="39" t="n">
        <f aca="false">ROUND(AB235*(1+N('My Debts'!$D$12)/12),2)</f>
        <v>0</v>
      </c>
      <c r="I236" s="39" t="n">
        <f aca="false">ROUND(AC235*(1+N('My Debts'!$D$13)/12),2)</f>
        <v>0</v>
      </c>
      <c r="J236" s="39" t="n">
        <f aca="false">ROUND(AD235*(1+N('My Debts'!$D$14)/12),2)</f>
        <v>0</v>
      </c>
      <c r="K236" s="39" t="n">
        <f aca="false">ROUND(AE235*(1+N('My Debts'!$D$15)/12),2)</f>
        <v>0</v>
      </c>
      <c r="L236" s="39" t="n">
        <f aca="false">MIN(N('My Debts'!$E$6),B236)</f>
        <v>0</v>
      </c>
      <c r="M236" s="39" t="n">
        <f aca="false">MIN(N('My Debts'!$E$7),C236)</f>
        <v>0</v>
      </c>
      <c r="N236" s="39" t="n">
        <f aca="false">MIN(N('My Debts'!$E$8),D236)</f>
        <v>0</v>
      </c>
      <c r="O236" s="39" t="n">
        <f aca="false">MIN(N('My Debts'!$E$9),E236)</f>
        <v>0</v>
      </c>
      <c r="P236" s="39" t="n">
        <f aca="false">MIN(N('My Debts'!$E$10),F236)</f>
        <v>0</v>
      </c>
      <c r="Q236" s="39" t="n">
        <f aca="false">MIN(N('My Debts'!$E$11),G236)</f>
        <v>0</v>
      </c>
      <c r="R236" s="39" t="n">
        <f aca="false">MIN(N('My Debts'!$E$12),H236)</f>
        <v>0</v>
      </c>
      <c r="S236" s="39" t="n">
        <f aca="false">MIN(N('My Debts'!$E$13),I236)</f>
        <v>0</v>
      </c>
      <c r="T236" s="39" t="n">
        <f aca="false">MIN(N('My Debts'!$E$14),J236)</f>
        <v>0</v>
      </c>
      <c r="U236" s="39" t="n">
        <f aca="false">MIN(N('My Debts'!$E$15),K236)</f>
        <v>0</v>
      </c>
      <c r="V236" s="39" t="n">
        <f aca="false">ROUND(B236-L236-MIN(B236-L236,MAX(0,$AF236-SUMPRODUCT(--($B$4:$K$4&lt;B$4),$B236:$K236-$L236:$U236))),2)</f>
        <v>0</v>
      </c>
      <c r="W236" s="39" t="n">
        <f aca="false">ROUND(C236-M236-MIN(C236-M236,MAX(0,$AF236-SUMPRODUCT(--($B$4:$K$4&lt;C$4),$B236:$K236-$L236:$U236))),2)</f>
        <v>0</v>
      </c>
      <c r="X236" s="39" t="n">
        <f aca="false">ROUND(D236-N236-MIN(D236-N236,MAX(0,$AF236-SUMPRODUCT(--($B$4:$K$4&lt;D$4),$B236:$K236-$L236:$U236))),2)</f>
        <v>0</v>
      </c>
      <c r="Y236" s="39" t="n">
        <f aca="false">ROUND(E236-O236-MIN(E236-O236,MAX(0,$AF236-SUMPRODUCT(--($B$4:$K$4&lt;E$4),$B236:$K236-$L236:$U236))),2)</f>
        <v>0</v>
      </c>
      <c r="Z236" s="39" t="n">
        <f aca="false">ROUND(F236-P236-MIN(F236-P236,MAX(0,$AF236-SUMPRODUCT(--($B$4:$K$4&lt;F$4),$B236:$K236-$L236:$U236))),2)</f>
        <v>0</v>
      </c>
      <c r="AA236" s="39" t="n">
        <f aca="false">ROUND(G236-Q236-MIN(G236-Q236,MAX(0,$AF236-SUMPRODUCT(--($B$4:$K$4&lt;G$4),$B236:$K236-$L236:$U236))),2)</f>
        <v>0</v>
      </c>
      <c r="AB236" s="39" t="n">
        <f aca="false">ROUND(H236-R236-MIN(H236-R236,MAX(0,$AF236-SUMPRODUCT(--($B$4:$K$4&lt;H$4),$B236:$K236-$L236:$U236))),2)</f>
        <v>0</v>
      </c>
      <c r="AC236" s="39" t="n">
        <f aca="false">ROUND(I236-S236-MIN(I236-S236,MAX(0,$AF236-SUMPRODUCT(--($B$4:$K$4&lt;I$4),$B236:$K236-$L236:$U236))),2)</f>
        <v>0</v>
      </c>
      <c r="AD236" s="39" t="n">
        <f aca="false">ROUND(J236-T236-MIN(J236-T236,MAX(0,$AF236-SUMPRODUCT(--($B$4:$K$4&lt;J$4),$B236:$K236-$L236:$U236))),2)</f>
        <v>0</v>
      </c>
      <c r="AE236" s="39" t="n">
        <f aca="false">ROUND(K236-U236-MIN(K236-U236,MAX(0,$AF236-SUMPRODUCT(--($B$4:$K$4&lt;K$4),$B236:$K236-$L236:$U236))),2)</f>
        <v>0</v>
      </c>
      <c r="AF236" s="39" t="n">
        <f aca="false">MAX(0,'Start Here'!$C$5-SUM($L236:$U236))</f>
        <v>1200</v>
      </c>
      <c r="AG236" s="39" t="n">
        <f aca="false">SUM(V236:AE236)</f>
        <v>0</v>
      </c>
      <c r="AH236" s="39" t="n">
        <f aca="false">SUM(B236:K236)-AG235</f>
        <v>0</v>
      </c>
    </row>
    <row r="237" customFormat="false" ht="15" hidden="false" customHeight="false" outlineLevel="0" collapsed="false">
      <c r="A237" s="40" t="n">
        <f aca="false">DATE(YEAR('Start Here'!$C$6),MONTH('Start Here'!$C$6)+230,1)</f>
        <v>53297</v>
      </c>
      <c r="B237" s="39" t="n">
        <f aca="false">ROUND(V236*(1+N('My Debts'!$D$6)/12),2)</f>
        <v>0</v>
      </c>
      <c r="C237" s="39" t="n">
        <f aca="false">ROUND(W236*(1+N('My Debts'!$D$7)/12),2)</f>
        <v>0</v>
      </c>
      <c r="D237" s="39" t="n">
        <f aca="false">ROUND(X236*(1+N('My Debts'!$D$8)/12),2)</f>
        <v>0</v>
      </c>
      <c r="E237" s="39" t="n">
        <f aca="false">ROUND(Y236*(1+N('My Debts'!$D$9)/12),2)</f>
        <v>0</v>
      </c>
      <c r="F237" s="39" t="n">
        <f aca="false">ROUND(Z236*(1+N('My Debts'!$D$10)/12),2)</f>
        <v>0</v>
      </c>
      <c r="G237" s="39" t="n">
        <f aca="false">ROUND(AA236*(1+N('My Debts'!$D$11)/12),2)</f>
        <v>0</v>
      </c>
      <c r="H237" s="39" t="n">
        <f aca="false">ROUND(AB236*(1+N('My Debts'!$D$12)/12),2)</f>
        <v>0</v>
      </c>
      <c r="I237" s="39" t="n">
        <f aca="false">ROUND(AC236*(1+N('My Debts'!$D$13)/12),2)</f>
        <v>0</v>
      </c>
      <c r="J237" s="39" t="n">
        <f aca="false">ROUND(AD236*(1+N('My Debts'!$D$14)/12),2)</f>
        <v>0</v>
      </c>
      <c r="K237" s="39" t="n">
        <f aca="false">ROUND(AE236*(1+N('My Debts'!$D$15)/12),2)</f>
        <v>0</v>
      </c>
      <c r="L237" s="39" t="n">
        <f aca="false">MIN(N('My Debts'!$E$6),B237)</f>
        <v>0</v>
      </c>
      <c r="M237" s="39" t="n">
        <f aca="false">MIN(N('My Debts'!$E$7),C237)</f>
        <v>0</v>
      </c>
      <c r="N237" s="39" t="n">
        <f aca="false">MIN(N('My Debts'!$E$8),D237)</f>
        <v>0</v>
      </c>
      <c r="O237" s="39" t="n">
        <f aca="false">MIN(N('My Debts'!$E$9),E237)</f>
        <v>0</v>
      </c>
      <c r="P237" s="39" t="n">
        <f aca="false">MIN(N('My Debts'!$E$10),F237)</f>
        <v>0</v>
      </c>
      <c r="Q237" s="39" t="n">
        <f aca="false">MIN(N('My Debts'!$E$11),G237)</f>
        <v>0</v>
      </c>
      <c r="R237" s="39" t="n">
        <f aca="false">MIN(N('My Debts'!$E$12),H237)</f>
        <v>0</v>
      </c>
      <c r="S237" s="39" t="n">
        <f aca="false">MIN(N('My Debts'!$E$13),I237)</f>
        <v>0</v>
      </c>
      <c r="T237" s="39" t="n">
        <f aca="false">MIN(N('My Debts'!$E$14),J237)</f>
        <v>0</v>
      </c>
      <c r="U237" s="39" t="n">
        <f aca="false">MIN(N('My Debts'!$E$15),K237)</f>
        <v>0</v>
      </c>
      <c r="V237" s="39" t="n">
        <f aca="false">ROUND(B237-L237-MIN(B237-L237,MAX(0,$AF237-SUMPRODUCT(--($B$4:$K$4&lt;B$4),$B237:$K237-$L237:$U237))),2)</f>
        <v>0</v>
      </c>
      <c r="W237" s="39" t="n">
        <f aca="false">ROUND(C237-M237-MIN(C237-M237,MAX(0,$AF237-SUMPRODUCT(--($B$4:$K$4&lt;C$4),$B237:$K237-$L237:$U237))),2)</f>
        <v>0</v>
      </c>
      <c r="X237" s="39" t="n">
        <f aca="false">ROUND(D237-N237-MIN(D237-N237,MAX(0,$AF237-SUMPRODUCT(--($B$4:$K$4&lt;D$4),$B237:$K237-$L237:$U237))),2)</f>
        <v>0</v>
      </c>
      <c r="Y237" s="39" t="n">
        <f aca="false">ROUND(E237-O237-MIN(E237-O237,MAX(0,$AF237-SUMPRODUCT(--($B$4:$K$4&lt;E$4),$B237:$K237-$L237:$U237))),2)</f>
        <v>0</v>
      </c>
      <c r="Z237" s="39" t="n">
        <f aca="false">ROUND(F237-P237-MIN(F237-P237,MAX(0,$AF237-SUMPRODUCT(--($B$4:$K$4&lt;F$4),$B237:$K237-$L237:$U237))),2)</f>
        <v>0</v>
      </c>
      <c r="AA237" s="39" t="n">
        <f aca="false">ROUND(G237-Q237-MIN(G237-Q237,MAX(0,$AF237-SUMPRODUCT(--($B$4:$K$4&lt;G$4),$B237:$K237-$L237:$U237))),2)</f>
        <v>0</v>
      </c>
      <c r="AB237" s="39" t="n">
        <f aca="false">ROUND(H237-R237-MIN(H237-R237,MAX(0,$AF237-SUMPRODUCT(--($B$4:$K$4&lt;H$4),$B237:$K237-$L237:$U237))),2)</f>
        <v>0</v>
      </c>
      <c r="AC237" s="39" t="n">
        <f aca="false">ROUND(I237-S237-MIN(I237-S237,MAX(0,$AF237-SUMPRODUCT(--($B$4:$K$4&lt;I$4),$B237:$K237-$L237:$U237))),2)</f>
        <v>0</v>
      </c>
      <c r="AD237" s="39" t="n">
        <f aca="false">ROUND(J237-T237-MIN(J237-T237,MAX(0,$AF237-SUMPRODUCT(--($B$4:$K$4&lt;J$4),$B237:$K237-$L237:$U237))),2)</f>
        <v>0</v>
      </c>
      <c r="AE237" s="39" t="n">
        <f aca="false">ROUND(K237-U237-MIN(K237-U237,MAX(0,$AF237-SUMPRODUCT(--($B$4:$K$4&lt;K$4),$B237:$K237-$L237:$U237))),2)</f>
        <v>0</v>
      </c>
      <c r="AF237" s="39" t="n">
        <f aca="false">MAX(0,'Start Here'!$C$5-SUM($L237:$U237))</f>
        <v>1200</v>
      </c>
      <c r="AG237" s="39" t="n">
        <f aca="false">SUM(V237:AE237)</f>
        <v>0</v>
      </c>
      <c r="AH237" s="39" t="n">
        <f aca="false">SUM(B237:K237)-AG236</f>
        <v>0</v>
      </c>
    </row>
    <row r="238" customFormat="false" ht="15" hidden="false" customHeight="false" outlineLevel="0" collapsed="false">
      <c r="A238" s="40" t="n">
        <f aca="false">DATE(YEAR('Start Here'!$C$6),MONTH('Start Here'!$C$6)+231,1)</f>
        <v>53328</v>
      </c>
      <c r="B238" s="39" t="n">
        <f aca="false">ROUND(V237*(1+N('My Debts'!$D$6)/12),2)</f>
        <v>0</v>
      </c>
      <c r="C238" s="39" t="n">
        <f aca="false">ROUND(W237*(1+N('My Debts'!$D$7)/12),2)</f>
        <v>0</v>
      </c>
      <c r="D238" s="39" t="n">
        <f aca="false">ROUND(X237*(1+N('My Debts'!$D$8)/12),2)</f>
        <v>0</v>
      </c>
      <c r="E238" s="39" t="n">
        <f aca="false">ROUND(Y237*(1+N('My Debts'!$D$9)/12),2)</f>
        <v>0</v>
      </c>
      <c r="F238" s="39" t="n">
        <f aca="false">ROUND(Z237*(1+N('My Debts'!$D$10)/12),2)</f>
        <v>0</v>
      </c>
      <c r="G238" s="39" t="n">
        <f aca="false">ROUND(AA237*(1+N('My Debts'!$D$11)/12),2)</f>
        <v>0</v>
      </c>
      <c r="H238" s="39" t="n">
        <f aca="false">ROUND(AB237*(1+N('My Debts'!$D$12)/12),2)</f>
        <v>0</v>
      </c>
      <c r="I238" s="39" t="n">
        <f aca="false">ROUND(AC237*(1+N('My Debts'!$D$13)/12),2)</f>
        <v>0</v>
      </c>
      <c r="J238" s="39" t="n">
        <f aca="false">ROUND(AD237*(1+N('My Debts'!$D$14)/12),2)</f>
        <v>0</v>
      </c>
      <c r="K238" s="39" t="n">
        <f aca="false">ROUND(AE237*(1+N('My Debts'!$D$15)/12),2)</f>
        <v>0</v>
      </c>
      <c r="L238" s="39" t="n">
        <f aca="false">MIN(N('My Debts'!$E$6),B238)</f>
        <v>0</v>
      </c>
      <c r="M238" s="39" t="n">
        <f aca="false">MIN(N('My Debts'!$E$7),C238)</f>
        <v>0</v>
      </c>
      <c r="N238" s="39" t="n">
        <f aca="false">MIN(N('My Debts'!$E$8),D238)</f>
        <v>0</v>
      </c>
      <c r="O238" s="39" t="n">
        <f aca="false">MIN(N('My Debts'!$E$9),E238)</f>
        <v>0</v>
      </c>
      <c r="P238" s="39" t="n">
        <f aca="false">MIN(N('My Debts'!$E$10),F238)</f>
        <v>0</v>
      </c>
      <c r="Q238" s="39" t="n">
        <f aca="false">MIN(N('My Debts'!$E$11),G238)</f>
        <v>0</v>
      </c>
      <c r="R238" s="39" t="n">
        <f aca="false">MIN(N('My Debts'!$E$12),H238)</f>
        <v>0</v>
      </c>
      <c r="S238" s="39" t="n">
        <f aca="false">MIN(N('My Debts'!$E$13),I238)</f>
        <v>0</v>
      </c>
      <c r="T238" s="39" t="n">
        <f aca="false">MIN(N('My Debts'!$E$14),J238)</f>
        <v>0</v>
      </c>
      <c r="U238" s="39" t="n">
        <f aca="false">MIN(N('My Debts'!$E$15),K238)</f>
        <v>0</v>
      </c>
      <c r="V238" s="39" t="n">
        <f aca="false">ROUND(B238-L238-MIN(B238-L238,MAX(0,$AF238-SUMPRODUCT(--($B$4:$K$4&lt;B$4),$B238:$K238-$L238:$U238))),2)</f>
        <v>0</v>
      </c>
      <c r="W238" s="39" t="n">
        <f aca="false">ROUND(C238-M238-MIN(C238-M238,MAX(0,$AF238-SUMPRODUCT(--($B$4:$K$4&lt;C$4),$B238:$K238-$L238:$U238))),2)</f>
        <v>0</v>
      </c>
      <c r="X238" s="39" t="n">
        <f aca="false">ROUND(D238-N238-MIN(D238-N238,MAX(0,$AF238-SUMPRODUCT(--($B$4:$K$4&lt;D$4),$B238:$K238-$L238:$U238))),2)</f>
        <v>0</v>
      </c>
      <c r="Y238" s="39" t="n">
        <f aca="false">ROUND(E238-O238-MIN(E238-O238,MAX(0,$AF238-SUMPRODUCT(--($B$4:$K$4&lt;E$4),$B238:$K238-$L238:$U238))),2)</f>
        <v>0</v>
      </c>
      <c r="Z238" s="39" t="n">
        <f aca="false">ROUND(F238-P238-MIN(F238-P238,MAX(0,$AF238-SUMPRODUCT(--($B$4:$K$4&lt;F$4),$B238:$K238-$L238:$U238))),2)</f>
        <v>0</v>
      </c>
      <c r="AA238" s="39" t="n">
        <f aca="false">ROUND(G238-Q238-MIN(G238-Q238,MAX(0,$AF238-SUMPRODUCT(--($B$4:$K$4&lt;G$4),$B238:$K238-$L238:$U238))),2)</f>
        <v>0</v>
      </c>
      <c r="AB238" s="39" t="n">
        <f aca="false">ROUND(H238-R238-MIN(H238-R238,MAX(0,$AF238-SUMPRODUCT(--($B$4:$K$4&lt;H$4),$B238:$K238-$L238:$U238))),2)</f>
        <v>0</v>
      </c>
      <c r="AC238" s="39" t="n">
        <f aca="false">ROUND(I238-S238-MIN(I238-S238,MAX(0,$AF238-SUMPRODUCT(--($B$4:$K$4&lt;I$4),$B238:$K238-$L238:$U238))),2)</f>
        <v>0</v>
      </c>
      <c r="AD238" s="39" t="n">
        <f aca="false">ROUND(J238-T238-MIN(J238-T238,MAX(0,$AF238-SUMPRODUCT(--($B$4:$K$4&lt;J$4),$B238:$K238-$L238:$U238))),2)</f>
        <v>0</v>
      </c>
      <c r="AE238" s="39" t="n">
        <f aca="false">ROUND(K238-U238-MIN(K238-U238,MAX(0,$AF238-SUMPRODUCT(--($B$4:$K$4&lt;K$4),$B238:$K238-$L238:$U238))),2)</f>
        <v>0</v>
      </c>
      <c r="AF238" s="39" t="n">
        <f aca="false">MAX(0,'Start Here'!$C$5-SUM($L238:$U238))</f>
        <v>1200</v>
      </c>
      <c r="AG238" s="39" t="n">
        <f aca="false">SUM(V238:AE238)</f>
        <v>0</v>
      </c>
      <c r="AH238" s="39" t="n">
        <f aca="false">SUM(B238:K238)-AG237</f>
        <v>0</v>
      </c>
    </row>
    <row r="239" customFormat="false" ht="15" hidden="false" customHeight="false" outlineLevel="0" collapsed="false">
      <c r="A239" s="40" t="n">
        <f aca="false">DATE(YEAR('Start Here'!$C$6),MONTH('Start Here'!$C$6)+232,1)</f>
        <v>53359</v>
      </c>
      <c r="B239" s="39" t="n">
        <f aca="false">ROUND(V238*(1+N('My Debts'!$D$6)/12),2)</f>
        <v>0</v>
      </c>
      <c r="C239" s="39" t="n">
        <f aca="false">ROUND(W238*(1+N('My Debts'!$D$7)/12),2)</f>
        <v>0</v>
      </c>
      <c r="D239" s="39" t="n">
        <f aca="false">ROUND(X238*(1+N('My Debts'!$D$8)/12),2)</f>
        <v>0</v>
      </c>
      <c r="E239" s="39" t="n">
        <f aca="false">ROUND(Y238*(1+N('My Debts'!$D$9)/12),2)</f>
        <v>0</v>
      </c>
      <c r="F239" s="39" t="n">
        <f aca="false">ROUND(Z238*(1+N('My Debts'!$D$10)/12),2)</f>
        <v>0</v>
      </c>
      <c r="G239" s="39" t="n">
        <f aca="false">ROUND(AA238*(1+N('My Debts'!$D$11)/12),2)</f>
        <v>0</v>
      </c>
      <c r="H239" s="39" t="n">
        <f aca="false">ROUND(AB238*(1+N('My Debts'!$D$12)/12),2)</f>
        <v>0</v>
      </c>
      <c r="I239" s="39" t="n">
        <f aca="false">ROUND(AC238*(1+N('My Debts'!$D$13)/12),2)</f>
        <v>0</v>
      </c>
      <c r="J239" s="39" t="n">
        <f aca="false">ROUND(AD238*(1+N('My Debts'!$D$14)/12),2)</f>
        <v>0</v>
      </c>
      <c r="K239" s="39" t="n">
        <f aca="false">ROUND(AE238*(1+N('My Debts'!$D$15)/12),2)</f>
        <v>0</v>
      </c>
      <c r="L239" s="39" t="n">
        <f aca="false">MIN(N('My Debts'!$E$6),B239)</f>
        <v>0</v>
      </c>
      <c r="M239" s="39" t="n">
        <f aca="false">MIN(N('My Debts'!$E$7),C239)</f>
        <v>0</v>
      </c>
      <c r="N239" s="39" t="n">
        <f aca="false">MIN(N('My Debts'!$E$8),D239)</f>
        <v>0</v>
      </c>
      <c r="O239" s="39" t="n">
        <f aca="false">MIN(N('My Debts'!$E$9),E239)</f>
        <v>0</v>
      </c>
      <c r="P239" s="39" t="n">
        <f aca="false">MIN(N('My Debts'!$E$10),F239)</f>
        <v>0</v>
      </c>
      <c r="Q239" s="39" t="n">
        <f aca="false">MIN(N('My Debts'!$E$11),G239)</f>
        <v>0</v>
      </c>
      <c r="R239" s="39" t="n">
        <f aca="false">MIN(N('My Debts'!$E$12),H239)</f>
        <v>0</v>
      </c>
      <c r="S239" s="39" t="n">
        <f aca="false">MIN(N('My Debts'!$E$13),I239)</f>
        <v>0</v>
      </c>
      <c r="T239" s="39" t="n">
        <f aca="false">MIN(N('My Debts'!$E$14),J239)</f>
        <v>0</v>
      </c>
      <c r="U239" s="39" t="n">
        <f aca="false">MIN(N('My Debts'!$E$15),K239)</f>
        <v>0</v>
      </c>
      <c r="V239" s="39" t="n">
        <f aca="false">ROUND(B239-L239-MIN(B239-L239,MAX(0,$AF239-SUMPRODUCT(--($B$4:$K$4&lt;B$4),$B239:$K239-$L239:$U239))),2)</f>
        <v>0</v>
      </c>
      <c r="W239" s="39" t="n">
        <f aca="false">ROUND(C239-M239-MIN(C239-M239,MAX(0,$AF239-SUMPRODUCT(--($B$4:$K$4&lt;C$4),$B239:$K239-$L239:$U239))),2)</f>
        <v>0</v>
      </c>
      <c r="X239" s="39" t="n">
        <f aca="false">ROUND(D239-N239-MIN(D239-N239,MAX(0,$AF239-SUMPRODUCT(--($B$4:$K$4&lt;D$4),$B239:$K239-$L239:$U239))),2)</f>
        <v>0</v>
      </c>
      <c r="Y239" s="39" t="n">
        <f aca="false">ROUND(E239-O239-MIN(E239-O239,MAX(0,$AF239-SUMPRODUCT(--($B$4:$K$4&lt;E$4),$B239:$K239-$L239:$U239))),2)</f>
        <v>0</v>
      </c>
      <c r="Z239" s="39" t="n">
        <f aca="false">ROUND(F239-P239-MIN(F239-P239,MAX(0,$AF239-SUMPRODUCT(--($B$4:$K$4&lt;F$4),$B239:$K239-$L239:$U239))),2)</f>
        <v>0</v>
      </c>
      <c r="AA239" s="39" t="n">
        <f aca="false">ROUND(G239-Q239-MIN(G239-Q239,MAX(0,$AF239-SUMPRODUCT(--($B$4:$K$4&lt;G$4),$B239:$K239-$L239:$U239))),2)</f>
        <v>0</v>
      </c>
      <c r="AB239" s="39" t="n">
        <f aca="false">ROUND(H239-R239-MIN(H239-R239,MAX(0,$AF239-SUMPRODUCT(--($B$4:$K$4&lt;H$4),$B239:$K239-$L239:$U239))),2)</f>
        <v>0</v>
      </c>
      <c r="AC239" s="39" t="n">
        <f aca="false">ROUND(I239-S239-MIN(I239-S239,MAX(0,$AF239-SUMPRODUCT(--($B$4:$K$4&lt;I$4),$B239:$K239-$L239:$U239))),2)</f>
        <v>0</v>
      </c>
      <c r="AD239" s="39" t="n">
        <f aca="false">ROUND(J239-T239-MIN(J239-T239,MAX(0,$AF239-SUMPRODUCT(--($B$4:$K$4&lt;J$4),$B239:$K239-$L239:$U239))),2)</f>
        <v>0</v>
      </c>
      <c r="AE239" s="39" t="n">
        <f aca="false">ROUND(K239-U239-MIN(K239-U239,MAX(0,$AF239-SUMPRODUCT(--($B$4:$K$4&lt;K$4),$B239:$K239-$L239:$U239))),2)</f>
        <v>0</v>
      </c>
      <c r="AF239" s="39" t="n">
        <f aca="false">MAX(0,'Start Here'!$C$5-SUM($L239:$U239))</f>
        <v>1200</v>
      </c>
      <c r="AG239" s="39" t="n">
        <f aca="false">SUM(V239:AE239)</f>
        <v>0</v>
      </c>
      <c r="AH239" s="39" t="n">
        <f aca="false">SUM(B239:K239)-AG238</f>
        <v>0</v>
      </c>
    </row>
    <row r="240" customFormat="false" ht="15" hidden="false" customHeight="false" outlineLevel="0" collapsed="false">
      <c r="A240" s="40" t="n">
        <f aca="false">DATE(YEAR('Start Here'!$C$6),MONTH('Start Here'!$C$6)+233,1)</f>
        <v>53387</v>
      </c>
      <c r="B240" s="39" t="n">
        <f aca="false">ROUND(V239*(1+N('My Debts'!$D$6)/12),2)</f>
        <v>0</v>
      </c>
      <c r="C240" s="39" t="n">
        <f aca="false">ROUND(W239*(1+N('My Debts'!$D$7)/12),2)</f>
        <v>0</v>
      </c>
      <c r="D240" s="39" t="n">
        <f aca="false">ROUND(X239*(1+N('My Debts'!$D$8)/12),2)</f>
        <v>0</v>
      </c>
      <c r="E240" s="39" t="n">
        <f aca="false">ROUND(Y239*(1+N('My Debts'!$D$9)/12),2)</f>
        <v>0</v>
      </c>
      <c r="F240" s="39" t="n">
        <f aca="false">ROUND(Z239*(1+N('My Debts'!$D$10)/12),2)</f>
        <v>0</v>
      </c>
      <c r="G240" s="39" t="n">
        <f aca="false">ROUND(AA239*(1+N('My Debts'!$D$11)/12),2)</f>
        <v>0</v>
      </c>
      <c r="H240" s="39" t="n">
        <f aca="false">ROUND(AB239*(1+N('My Debts'!$D$12)/12),2)</f>
        <v>0</v>
      </c>
      <c r="I240" s="39" t="n">
        <f aca="false">ROUND(AC239*(1+N('My Debts'!$D$13)/12),2)</f>
        <v>0</v>
      </c>
      <c r="J240" s="39" t="n">
        <f aca="false">ROUND(AD239*(1+N('My Debts'!$D$14)/12),2)</f>
        <v>0</v>
      </c>
      <c r="K240" s="39" t="n">
        <f aca="false">ROUND(AE239*(1+N('My Debts'!$D$15)/12),2)</f>
        <v>0</v>
      </c>
      <c r="L240" s="39" t="n">
        <f aca="false">MIN(N('My Debts'!$E$6),B240)</f>
        <v>0</v>
      </c>
      <c r="M240" s="39" t="n">
        <f aca="false">MIN(N('My Debts'!$E$7),C240)</f>
        <v>0</v>
      </c>
      <c r="N240" s="39" t="n">
        <f aca="false">MIN(N('My Debts'!$E$8),D240)</f>
        <v>0</v>
      </c>
      <c r="O240" s="39" t="n">
        <f aca="false">MIN(N('My Debts'!$E$9),E240)</f>
        <v>0</v>
      </c>
      <c r="P240" s="39" t="n">
        <f aca="false">MIN(N('My Debts'!$E$10),F240)</f>
        <v>0</v>
      </c>
      <c r="Q240" s="39" t="n">
        <f aca="false">MIN(N('My Debts'!$E$11),G240)</f>
        <v>0</v>
      </c>
      <c r="R240" s="39" t="n">
        <f aca="false">MIN(N('My Debts'!$E$12),H240)</f>
        <v>0</v>
      </c>
      <c r="S240" s="39" t="n">
        <f aca="false">MIN(N('My Debts'!$E$13),I240)</f>
        <v>0</v>
      </c>
      <c r="T240" s="39" t="n">
        <f aca="false">MIN(N('My Debts'!$E$14),J240)</f>
        <v>0</v>
      </c>
      <c r="U240" s="39" t="n">
        <f aca="false">MIN(N('My Debts'!$E$15),K240)</f>
        <v>0</v>
      </c>
      <c r="V240" s="39" t="n">
        <f aca="false">ROUND(B240-L240-MIN(B240-L240,MAX(0,$AF240-SUMPRODUCT(--($B$4:$K$4&lt;B$4),$B240:$K240-$L240:$U240))),2)</f>
        <v>0</v>
      </c>
      <c r="W240" s="39" t="n">
        <f aca="false">ROUND(C240-M240-MIN(C240-M240,MAX(0,$AF240-SUMPRODUCT(--($B$4:$K$4&lt;C$4),$B240:$K240-$L240:$U240))),2)</f>
        <v>0</v>
      </c>
      <c r="X240" s="39" t="n">
        <f aca="false">ROUND(D240-N240-MIN(D240-N240,MAX(0,$AF240-SUMPRODUCT(--($B$4:$K$4&lt;D$4),$B240:$K240-$L240:$U240))),2)</f>
        <v>0</v>
      </c>
      <c r="Y240" s="39" t="n">
        <f aca="false">ROUND(E240-O240-MIN(E240-O240,MAX(0,$AF240-SUMPRODUCT(--($B$4:$K$4&lt;E$4),$B240:$K240-$L240:$U240))),2)</f>
        <v>0</v>
      </c>
      <c r="Z240" s="39" t="n">
        <f aca="false">ROUND(F240-P240-MIN(F240-P240,MAX(0,$AF240-SUMPRODUCT(--($B$4:$K$4&lt;F$4),$B240:$K240-$L240:$U240))),2)</f>
        <v>0</v>
      </c>
      <c r="AA240" s="39" t="n">
        <f aca="false">ROUND(G240-Q240-MIN(G240-Q240,MAX(0,$AF240-SUMPRODUCT(--($B$4:$K$4&lt;G$4),$B240:$K240-$L240:$U240))),2)</f>
        <v>0</v>
      </c>
      <c r="AB240" s="39" t="n">
        <f aca="false">ROUND(H240-R240-MIN(H240-R240,MAX(0,$AF240-SUMPRODUCT(--($B$4:$K$4&lt;H$4),$B240:$K240-$L240:$U240))),2)</f>
        <v>0</v>
      </c>
      <c r="AC240" s="39" t="n">
        <f aca="false">ROUND(I240-S240-MIN(I240-S240,MAX(0,$AF240-SUMPRODUCT(--($B$4:$K$4&lt;I$4),$B240:$K240-$L240:$U240))),2)</f>
        <v>0</v>
      </c>
      <c r="AD240" s="39" t="n">
        <f aca="false">ROUND(J240-T240-MIN(J240-T240,MAX(0,$AF240-SUMPRODUCT(--($B$4:$K$4&lt;J$4),$B240:$K240-$L240:$U240))),2)</f>
        <v>0</v>
      </c>
      <c r="AE240" s="39" t="n">
        <f aca="false">ROUND(K240-U240-MIN(K240-U240,MAX(0,$AF240-SUMPRODUCT(--($B$4:$K$4&lt;K$4),$B240:$K240-$L240:$U240))),2)</f>
        <v>0</v>
      </c>
      <c r="AF240" s="39" t="n">
        <f aca="false">MAX(0,'Start Here'!$C$5-SUM($L240:$U240))</f>
        <v>1200</v>
      </c>
      <c r="AG240" s="39" t="n">
        <f aca="false">SUM(V240:AE240)</f>
        <v>0</v>
      </c>
      <c r="AH240" s="39" t="n">
        <f aca="false">SUM(B240:K240)-AG239</f>
        <v>0</v>
      </c>
    </row>
    <row r="241" customFormat="false" ht="15" hidden="false" customHeight="false" outlineLevel="0" collapsed="false">
      <c r="A241" s="40" t="n">
        <f aca="false">DATE(YEAR('Start Here'!$C$6),MONTH('Start Here'!$C$6)+234,1)</f>
        <v>53418</v>
      </c>
      <c r="B241" s="39" t="n">
        <f aca="false">ROUND(V240*(1+N('My Debts'!$D$6)/12),2)</f>
        <v>0</v>
      </c>
      <c r="C241" s="39" t="n">
        <f aca="false">ROUND(W240*(1+N('My Debts'!$D$7)/12),2)</f>
        <v>0</v>
      </c>
      <c r="D241" s="39" t="n">
        <f aca="false">ROUND(X240*(1+N('My Debts'!$D$8)/12),2)</f>
        <v>0</v>
      </c>
      <c r="E241" s="39" t="n">
        <f aca="false">ROUND(Y240*(1+N('My Debts'!$D$9)/12),2)</f>
        <v>0</v>
      </c>
      <c r="F241" s="39" t="n">
        <f aca="false">ROUND(Z240*(1+N('My Debts'!$D$10)/12),2)</f>
        <v>0</v>
      </c>
      <c r="G241" s="39" t="n">
        <f aca="false">ROUND(AA240*(1+N('My Debts'!$D$11)/12),2)</f>
        <v>0</v>
      </c>
      <c r="H241" s="39" t="n">
        <f aca="false">ROUND(AB240*(1+N('My Debts'!$D$12)/12),2)</f>
        <v>0</v>
      </c>
      <c r="I241" s="39" t="n">
        <f aca="false">ROUND(AC240*(1+N('My Debts'!$D$13)/12),2)</f>
        <v>0</v>
      </c>
      <c r="J241" s="39" t="n">
        <f aca="false">ROUND(AD240*(1+N('My Debts'!$D$14)/12),2)</f>
        <v>0</v>
      </c>
      <c r="K241" s="39" t="n">
        <f aca="false">ROUND(AE240*(1+N('My Debts'!$D$15)/12),2)</f>
        <v>0</v>
      </c>
      <c r="L241" s="39" t="n">
        <f aca="false">MIN(N('My Debts'!$E$6),B241)</f>
        <v>0</v>
      </c>
      <c r="M241" s="39" t="n">
        <f aca="false">MIN(N('My Debts'!$E$7),C241)</f>
        <v>0</v>
      </c>
      <c r="N241" s="39" t="n">
        <f aca="false">MIN(N('My Debts'!$E$8),D241)</f>
        <v>0</v>
      </c>
      <c r="O241" s="39" t="n">
        <f aca="false">MIN(N('My Debts'!$E$9),E241)</f>
        <v>0</v>
      </c>
      <c r="P241" s="39" t="n">
        <f aca="false">MIN(N('My Debts'!$E$10),F241)</f>
        <v>0</v>
      </c>
      <c r="Q241" s="39" t="n">
        <f aca="false">MIN(N('My Debts'!$E$11),G241)</f>
        <v>0</v>
      </c>
      <c r="R241" s="39" t="n">
        <f aca="false">MIN(N('My Debts'!$E$12),H241)</f>
        <v>0</v>
      </c>
      <c r="S241" s="39" t="n">
        <f aca="false">MIN(N('My Debts'!$E$13),I241)</f>
        <v>0</v>
      </c>
      <c r="T241" s="39" t="n">
        <f aca="false">MIN(N('My Debts'!$E$14),J241)</f>
        <v>0</v>
      </c>
      <c r="U241" s="39" t="n">
        <f aca="false">MIN(N('My Debts'!$E$15),K241)</f>
        <v>0</v>
      </c>
      <c r="V241" s="39" t="n">
        <f aca="false">ROUND(B241-L241-MIN(B241-L241,MAX(0,$AF241-SUMPRODUCT(--($B$4:$K$4&lt;B$4),$B241:$K241-$L241:$U241))),2)</f>
        <v>0</v>
      </c>
      <c r="W241" s="39" t="n">
        <f aca="false">ROUND(C241-M241-MIN(C241-M241,MAX(0,$AF241-SUMPRODUCT(--($B$4:$K$4&lt;C$4),$B241:$K241-$L241:$U241))),2)</f>
        <v>0</v>
      </c>
      <c r="X241" s="39" t="n">
        <f aca="false">ROUND(D241-N241-MIN(D241-N241,MAX(0,$AF241-SUMPRODUCT(--($B$4:$K$4&lt;D$4),$B241:$K241-$L241:$U241))),2)</f>
        <v>0</v>
      </c>
      <c r="Y241" s="39" t="n">
        <f aca="false">ROUND(E241-O241-MIN(E241-O241,MAX(0,$AF241-SUMPRODUCT(--($B$4:$K$4&lt;E$4),$B241:$K241-$L241:$U241))),2)</f>
        <v>0</v>
      </c>
      <c r="Z241" s="39" t="n">
        <f aca="false">ROUND(F241-P241-MIN(F241-P241,MAX(0,$AF241-SUMPRODUCT(--($B$4:$K$4&lt;F$4),$B241:$K241-$L241:$U241))),2)</f>
        <v>0</v>
      </c>
      <c r="AA241" s="39" t="n">
        <f aca="false">ROUND(G241-Q241-MIN(G241-Q241,MAX(0,$AF241-SUMPRODUCT(--($B$4:$K$4&lt;G$4),$B241:$K241-$L241:$U241))),2)</f>
        <v>0</v>
      </c>
      <c r="AB241" s="39" t="n">
        <f aca="false">ROUND(H241-R241-MIN(H241-R241,MAX(0,$AF241-SUMPRODUCT(--($B$4:$K$4&lt;H$4),$B241:$K241-$L241:$U241))),2)</f>
        <v>0</v>
      </c>
      <c r="AC241" s="39" t="n">
        <f aca="false">ROUND(I241-S241-MIN(I241-S241,MAX(0,$AF241-SUMPRODUCT(--($B$4:$K$4&lt;I$4),$B241:$K241-$L241:$U241))),2)</f>
        <v>0</v>
      </c>
      <c r="AD241" s="39" t="n">
        <f aca="false">ROUND(J241-T241-MIN(J241-T241,MAX(0,$AF241-SUMPRODUCT(--($B$4:$K$4&lt;J$4),$B241:$K241-$L241:$U241))),2)</f>
        <v>0</v>
      </c>
      <c r="AE241" s="39" t="n">
        <f aca="false">ROUND(K241-U241-MIN(K241-U241,MAX(0,$AF241-SUMPRODUCT(--($B$4:$K$4&lt;K$4),$B241:$K241-$L241:$U241))),2)</f>
        <v>0</v>
      </c>
      <c r="AF241" s="39" t="n">
        <f aca="false">MAX(0,'Start Here'!$C$5-SUM($L241:$U241))</f>
        <v>1200</v>
      </c>
      <c r="AG241" s="39" t="n">
        <f aca="false">SUM(V241:AE241)</f>
        <v>0</v>
      </c>
      <c r="AH241" s="39" t="n">
        <f aca="false">SUM(B241:K241)-AG240</f>
        <v>0</v>
      </c>
    </row>
    <row r="242" customFormat="false" ht="15" hidden="false" customHeight="false" outlineLevel="0" collapsed="false">
      <c r="A242" s="40" t="n">
        <f aca="false">DATE(YEAR('Start Here'!$C$6),MONTH('Start Here'!$C$6)+235,1)</f>
        <v>53448</v>
      </c>
      <c r="B242" s="39" t="n">
        <f aca="false">ROUND(V241*(1+N('My Debts'!$D$6)/12),2)</f>
        <v>0</v>
      </c>
      <c r="C242" s="39" t="n">
        <f aca="false">ROUND(W241*(1+N('My Debts'!$D$7)/12),2)</f>
        <v>0</v>
      </c>
      <c r="D242" s="39" t="n">
        <f aca="false">ROUND(X241*(1+N('My Debts'!$D$8)/12),2)</f>
        <v>0</v>
      </c>
      <c r="E242" s="39" t="n">
        <f aca="false">ROUND(Y241*(1+N('My Debts'!$D$9)/12),2)</f>
        <v>0</v>
      </c>
      <c r="F242" s="39" t="n">
        <f aca="false">ROUND(Z241*(1+N('My Debts'!$D$10)/12),2)</f>
        <v>0</v>
      </c>
      <c r="G242" s="39" t="n">
        <f aca="false">ROUND(AA241*(1+N('My Debts'!$D$11)/12),2)</f>
        <v>0</v>
      </c>
      <c r="H242" s="39" t="n">
        <f aca="false">ROUND(AB241*(1+N('My Debts'!$D$12)/12),2)</f>
        <v>0</v>
      </c>
      <c r="I242" s="39" t="n">
        <f aca="false">ROUND(AC241*(1+N('My Debts'!$D$13)/12),2)</f>
        <v>0</v>
      </c>
      <c r="J242" s="39" t="n">
        <f aca="false">ROUND(AD241*(1+N('My Debts'!$D$14)/12),2)</f>
        <v>0</v>
      </c>
      <c r="K242" s="39" t="n">
        <f aca="false">ROUND(AE241*(1+N('My Debts'!$D$15)/12),2)</f>
        <v>0</v>
      </c>
      <c r="L242" s="39" t="n">
        <f aca="false">MIN(N('My Debts'!$E$6),B242)</f>
        <v>0</v>
      </c>
      <c r="M242" s="39" t="n">
        <f aca="false">MIN(N('My Debts'!$E$7),C242)</f>
        <v>0</v>
      </c>
      <c r="N242" s="39" t="n">
        <f aca="false">MIN(N('My Debts'!$E$8),D242)</f>
        <v>0</v>
      </c>
      <c r="O242" s="39" t="n">
        <f aca="false">MIN(N('My Debts'!$E$9),E242)</f>
        <v>0</v>
      </c>
      <c r="P242" s="39" t="n">
        <f aca="false">MIN(N('My Debts'!$E$10),F242)</f>
        <v>0</v>
      </c>
      <c r="Q242" s="39" t="n">
        <f aca="false">MIN(N('My Debts'!$E$11),G242)</f>
        <v>0</v>
      </c>
      <c r="R242" s="39" t="n">
        <f aca="false">MIN(N('My Debts'!$E$12),H242)</f>
        <v>0</v>
      </c>
      <c r="S242" s="39" t="n">
        <f aca="false">MIN(N('My Debts'!$E$13),I242)</f>
        <v>0</v>
      </c>
      <c r="T242" s="39" t="n">
        <f aca="false">MIN(N('My Debts'!$E$14),J242)</f>
        <v>0</v>
      </c>
      <c r="U242" s="39" t="n">
        <f aca="false">MIN(N('My Debts'!$E$15),K242)</f>
        <v>0</v>
      </c>
      <c r="V242" s="39" t="n">
        <f aca="false">ROUND(B242-L242-MIN(B242-L242,MAX(0,$AF242-SUMPRODUCT(--($B$4:$K$4&lt;B$4),$B242:$K242-$L242:$U242))),2)</f>
        <v>0</v>
      </c>
      <c r="W242" s="39" t="n">
        <f aca="false">ROUND(C242-M242-MIN(C242-M242,MAX(0,$AF242-SUMPRODUCT(--($B$4:$K$4&lt;C$4),$B242:$K242-$L242:$U242))),2)</f>
        <v>0</v>
      </c>
      <c r="X242" s="39" t="n">
        <f aca="false">ROUND(D242-N242-MIN(D242-N242,MAX(0,$AF242-SUMPRODUCT(--($B$4:$K$4&lt;D$4),$B242:$K242-$L242:$U242))),2)</f>
        <v>0</v>
      </c>
      <c r="Y242" s="39" t="n">
        <f aca="false">ROUND(E242-O242-MIN(E242-O242,MAX(0,$AF242-SUMPRODUCT(--($B$4:$K$4&lt;E$4),$B242:$K242-$L242:$U242))),2)</f>
        <v>0</v>
      </c>
      <c r="Z242" s="39" t="n">
        <f aca="false">ROUND(F242-P242-MIN(F242-P242,MAX(0,$AF242-SUMPRODUCT(--($B$4:$K$4&lt;F$4),$B242:$K242-$L242:$U242))),2)</f>
        <v>0</v>
      </c>
      <c r="AA242" s="39" t="n">
        <f aca="false">ROUND(G242-Q242-MIN(G242-Q242,MAX(0,$AF242-SUMPRODUCT(--($B$4:$K$4&lt;G$4),$B242:$K242-$L242:$U242))),2)</f>
        <v>0</v>
      </c>
      <c r="AB242" s="39" t="n">
        <f aca="false">ROUND(H242-R242-MIN(H242-R242,MAX(0,$AF242-SUMPRODUCT(--($B$4:$K$4&lt;H$4),$B242:$K242-$L242:$U242))),2)</f>
        <v>0</v>
      </c>
      <c r="AC242" s="39" t="n">
        <f aca="false">ROUND(I242-S242-MIN(I242-S242,MAX(0,$AF242-SUMPRODUCT(--($B$4:$K$4&lt;I$4),$B242:$K242-$L242:$U242))),2)</f>
        <v>0</v>
      </c>
      <c r="AD242" s="39" t="n">
        <f aca="false">ROUND(J242-T242-MIN(J242-T242,MAX(0,$AF242-SUMPRODUCT(--($B$4:$K$4&lt;J$4),$B242:$K242-$L242:$U242))),2)</f>
        <v>0</v>
      </c>
      <c r="AE242" s="39" t="n">
        <f aca="false">ROUND(K242-U242-MIN(K242-U242,MAX(0,$AF242-SUMPRODUCT(--($B$4:$K$4&lt;K$4),$B242:$K242-$L242:$U242))),2)</f>
        <v>0</v>
      </c>
      <c r="AF242" s="39" t="n">
        <f aca="false">MAX(0,'Start Here'!$C$5-SUM($L242:$U242))</f>
        <v>1200</v>
      </c>
      <c r="AG242" s="39" t="n">
        <f aca="false">SUM(V242:AE242)</f>
        <v>0</v>
      </c>
      <c r="AH242" s="39" t="n">
        <f aca="false">SUM(B242:K242)-AG241</f>
        <v>0</v>
      </c>
    </row>
    <row r="243" customFormat="false" ht="15" hidden="false" customHeight="false" outlineLevel="0" collapsed="false">
      <c r="A243" s="40" t="n">
        <f aca="false">DATE(YEAR('Start Here'!$C$6),MONTH('Start Here'!$C$6)+236,1)</f>
        <v>53479</v>
      </c>
      <c r="B243" s="39" t="n">
        <f aca="false">ROUND(V242*(1+N('My Debts'!$D$6)/12),2)</f>
        <v>0</v>
      </c>
      <c r="C243" s="39" t="n">
        <f aca="false">ROUND(W242*(1+N('My Debts'!$D$7)/12),2)</f>
        <v>0</v>
      </c>
      <c r="D243" s="39" t="n">
        <f aca="false">ROUND(X242*(1+N('My Debts'!$D$8)/12),2)</f>
        <v>0</v>
      </c>
      <c r="E243" s="39" t="n">
        <f aca="false">ROUND(Y242*(1+N('My Debts'!$D$9)/12),2)</f>
        <v>0</v>
      </c>
      <c r="F243" s="39" t="n">
        <f aca="false">ROUND(Z242*(1+N('My Debts'!$D$10)/12),2)</f>
        <v>0</v>
      </c>
      <c r="G243" s="39" t="n">
        <f aca="false">ROUND(AA242*(1+N('My Debts'!$D$11)/12),2)</f>
        <v>0</v>
      </c>
      <c r="H243" s="39" t="n">
        <f aca="false">ROUND(AB242*(1+N('My Debts'!$D$12)/12),2)</f>
        <v>0</v>
      </c>
      <c r="I243" s="39" t="n">
        <f aca="false">ROUND(AC242*(1+N('My Debts'!$D$13)/12),2)</f>
        <v>0</v>
      </c>
      <c r="J243" s="39" t="n">
        <f aca="false">ROUND(AD242*(1+N('My Debts'!$D$14)/12),2)</f>
        <v>0</v>
      </c>
      <c r="K243" s="39" t="n">
        <f aca="false">ROUND(AE242*(1+N('My Debts'!$D$15)/12),2)</f>
        <v>0</v>
      </c>
      <c r="L243" s="39" t="n">
        <f aca="false">MIN(N('My Debts'!$E$6),B243)</f>
        <v>0</v>
      </c>
      <c r="M243" s="39" t="n">
        <f aca="false">MIN(N('My Debts'!$E$7),C243)</f>
        <v>0</v>
      </c>
      <c r="N243" s="39" t="n">
        <f aca="false">MIN(N('My Debts'!$E$8),D243)</f>
        <v>0</v>
      </c>
      <c r="O243" s="39" t="n">
        <f aca="false">MIN(N('My Debts'!$E$9),E243)</f>
        <v>0</v>
      </c>
      <c r="P243" s="39" t="n">
        <f aca="false">MIN(N('My Debts'!$E$10),F243)</f>
        <v>0</v>
      </c>
      <c r="Q243" s="39" t="n">
        <f aca="false">MIN(N('My Debts'!$E$11),G243)</f>
        <v>0</v>
      </c>
      <c r="R243" s="39" t="n">
        <f aca="false">MIN(N('My Debts'!$E$12),H243)</f>
        <v>0</v>
      </c>
      <c r="S243" s="39" t="n">
        <f aca="false">MIN(N('My Debts'!$E$13),I243)</f>
        <v>0</v>
      </c>
      <c r="T243" s="39" t="n">
        <f aca="false">MIN(N('My Debts'!$E$14),J243)</f>
        <v>0</v>
      </c>
      <c r="U243" s="39" t="n">
        <f aca="false">MIN(N('My Debts'!$E$15),K243)</f>
        <v>0</v>
      </c>
      <c r="V243" s="39" t="n">
        <f aca="false">ROUND(B243-L243-MIN(B243-L243,MAX(0,$AF243-SUMPRODUCT(--($B$4:$K$4&lt;B$4),$B243:$K243-$L243:$U243))),2)</f>
        <v>0</v>
      </c>
      <c r="W243" s="39" t="n">
        <f aca="false">ROUND(C243-M243-MIN(C243-M243,MAX(0,$AF243-SUMPRODUCT(--($B$4:$K$4&lt;C$4),$B243:$K243-$L243:$U243))),2)</f>
        <v>0</v>
      </c>
      <c r="X243" s="39" t="n">
        <f aca="false">ROUND(D243-N243-MIN(D243-N243,MAX(0,$AF243-SUMPRODUCT(--($B$4:$K$4&lt;D$4),$B243:$K243-$L243:$U243))),2)</f>
        <v>0</v>
      </c>
      <c r="Y243" s="39" t="n">
        <f aca="false">ROUND(E243-O243-MIN(E243-O243,MAX(0,$AF243-SUMPRODUCT(--($B$4:$K$4&lt;E$4),$B243:$K243-$L243:$U243))),2)</f>
        <v>0</v>
      </c>
      <c r="Z243" s="39" t="n">
        <f aca="false">ROUND(F243-P243-MIN(F243-P243,MAX(0,$AF243-SUMPRODUCT(--($B$4:$K$4&lt;F$4),$B243:$K243-$L243:$U243))),2)</f>
        <v>0</v>
      </c>
      <c r="AA243" s="39" t="n">
        <f aca="false">ROUND(G243-Q243-MIN(G243-Q243,MAX(0,$AF243-SUMPRODUCT(--($B$4:$K$4&lt;G$4),$B243:$K243-$L243:$U243))),2)</f>
        <v>0</v>
      </c>
      <c r="AB243" s="39" t="n">
        <f aca="false">ROUND(H243-R243-MIN(H243-R243,MAX(0,$AF243-SUMPRODUCT(--($B$4:$K$4&lt;H$4),$B243:$K243-$L243:$U243))),2)</f>
        <v>0</v>
      </c>
      <c r="AC243" s="39" t="n">
        <f aca="false">ROUND(I243-S243-MIN(I243-S243,MAX(0,$AF243-SUMPRODUCT(--($B$4:$K$4&lt;I$4),$B243:$K243-$L243:$U243))),2)</f>
        <v>0</v>
      </c>
      <c r="AD243" s="39" t="n">
        <f aca="false">ROUND(J243-T243-MIN(J243-T243,MAX(0,$AF243-SUMPRODUCT(--($B$4:$K$4&lt;J$4),$B243:$K243-$L243:$U243))),2)</f>
        <v>0</v>
      </c>
      <c r="AE243" s="39" t="n">
        <f aca="false">ROUND(K243-U243-MIN(K243-U243,MAX(0,$AF243-SUMPRODUCT(--($B$4:$K$4&lt;K$4),$B243:$K243-$L243:$U243))),2)</f>
        <v>0</v>
      </c>
      <c r="AF243" s="39" t="n">
        <f aca="false">MAX(0,'Start Here'!$C$5-SUM($L243:$U243))</f>
        <v>1200</v>
      </c>
      <c r="AG243" s="39" t="n">
        <f aca="false">SUM(V243:AE243)</f>
        <v>0</v>
      </c>
      <c r="AH243" s="39" t="n">
        <f aca="false">SUM(B243:K243)-AG242</f>
        <v>0</v>
      </c>
    </row>
    <row r="244" customFormat="false" ht="15" hidden="false" customHeight="false" outlineLevel="0" collapsed="false">
      <c r="A244" s="40" t="n">
        <f aca="false">DATE(YEAR('Start Here'!$C$6),MONTH('Start Here'!$C$6)+237,1)</f>
        <v>53509</v>
      </c>
      <c r="B244" s="39" t="n">
        <f aca="false">ROUND(V243*(1+N('My Debts'!$D$6)/12),2)</f>
        <v>0</v>
      </c>
      <c r="C244" s="39" t="n">
        <f aca="false">ROUND(W243*(1+N('My Debts'!$D$7)/12),2)</f>
        <v>0</v>
      </c>
      <c r="D244" s="39" t="n">
        <f aca="false">ROUND(X243*(1+N('My Debts'!$D$8)/12),2)</f>
        <v>0</v>
      </c>
      <c r="E244" s="39" t="n">
        <f aca="false">ROUND(Y243*(1+N('My Debts'!$D$9)/12),2)</f>
        <v>0</v>
      </c>
      <c r="F244" s="39" t="n">
        <f aca="false">ROUND(Z243*(1+N('My Debts'!$D$10)/12),2)</f>
        <v>0</v>
      </c>
      <c r="G244" s="39" t="n">
        <f aca="false">ROUND(AA243*(1+N('My Debts'!$D$11)/12),2)</f>
        <v>0</v>
      </c>
      <c r="H244" s="39" t="n">
        <f aca="false">ROUND(AB243*(1+N('My Debts'!$D$12)/12),2)</f>
        <v>0</v>
      </c>
      <c r="I244" s="39" t="n">
        <f aca="false">ROUND(AC243*(1+N('My Debts'!$D$13)/12),2)</f>
        <v>0</v>
      </c>
      <c r="J244" s="39" t="n">
        <f aca="false">ROUND(AD243*(1+N('My Debts'!$D$14)/12),2)</f>
        <v>0</v>
      </c>
      <c r="K244" s="39" t="n">
        <f aca="false">ROUND(AE243*(1+N('My Debts'!$D$15)/12),2)</f>
        <v>0</v>
      </c>
      <c r="L244" s="39" t="n">
        <f aca="false">MIN(N('My Debts'!$E$6),B244)</f>
        <v>0</v>
      </c>
      <c r="M244" s="39" t="n">
        <f aca="false">MIN(N('My Debts'!$E$7),C244)</f>
        <v>0</v>
      </c>
      <c r="N244" s="39" t="n">
        <f aca="false">MIN(N('My Debts'!$E$8),D244)</f>
        <v>0</v>
      </c>
      <c r="O244" s="39" t="n">
        <f aca="false">MIN(N('My Debts'!$E$9),E244)</f>
        <v>0</v>
      </c>
      <c r="P244" s="39" t="n">
        <f aca="false">MIN(N('My Debts'!$E$10),F244)</f>
        <v>0</v>
      </c>
      <c r="Q244" s="39" t="n">
        <f aca="false">MIN(N('My Debts'!$E$11),G244)</f>
        <v>0</v>
      </c>
      <c r="R244" s="39" t="n">
        <f aca="false">MIN(N('My Debts'!$E$12),H244)</f>
        <v>0</v>
      </c>
      <c r="S244" s="39" t="n">
        <f aca="false">MIN(N('My Debts'!$E$13),I244)</f>
        <v>0</v>
      </c>
      <c r="T244" s="39" t="n">
        <f aca="false">MIN(N('My Debts'!$E$14),J244)</f>
        <v>0</v>
      </c>
      <c r="U244" s="39" t="n">
        <f aca="false">MIN(N('My Debts'!$E$15),K244)</f>
        <v>0</v>
      </c>
      <c r="V244" s="39" t="n">
        <f aca="false">ROUND(B244-L244-MIN(B244-L244,MAX(0,$AF244-SUMPRODUCT(--($B$4:$K$4&lt;B$4),$B244:$K244-$L244:$U244))),2)</f>
        <v>0</v>
      </c>
      <c r="W244" s="39" t="n">
        <f aca="false">ROUND(C244-M244-MIN(C244-M244,MAX(0,$AF244-SUMPRODUCT(--($B$4:$K$4&lt;C$4),$B244:$K244-$L244:$U244))),2)</f>
        <v>0</v>
      </c>
      <c r="X244" s="39" t="n">
        <f aca="false">ROUND(D244-N244-MIN(D244-N244,MAX(0,$AF244-SUMPRODUCT(--($B$4:$K$4&lt;D$4),$B244:$K244-$L244:$U244))),2)</f>
        <v>0</v>
      </c>
      <c r="Y244" s="39" t="n">
        <f aca="false">ROUND(E244-O244-MIN(E244-O244,MAX(0,$AF244-SUMPRODUCT(--($B$4:$K$4&lt;E$4),$B244:$K244-$L244:$U244))),2)</f>
        <v>0</v>
      </c>
      <c r="Z244" s="39" t="n">
        <f aca="false">ROUND(F244-P244-MIN(F244-P244,MAX(0,$AF244-SUMPRODUCT(--($B$4:$K$4&lt;F$4),$B244:$K244-$L244:$U244))),2)</f>
        <v>0</v>
      </c>
      <c r="AA244" s="39" t="n">
        <f aca="false">ROUND(G244-Q244-MIN(G244-Q244,MAX(0,$AF244-SUMPRODUCT(--($B$4:$K$4&lt;G$4),$B244:$K244-$L244:$U244))),2)</f>
        <v>0</v>
      </c>
      <c r="AB244" s="39" t="n">
        <f aca="false">ROUND(H244-R244-MIN(H244-R244,MAX(0,$AF244-SUMPRODUCT(--($B$4:$K$4&lt;H$4),$B244:$K244-$L244:$U244))),2)</f>
        <v>0</v>
      </c>
      <c r="AC244" s="39" t="n">
        <f aca="false">ROUND(I244-S244-MIN(I244-S244,MAX(0,$AF244-SUMPRODUCT(--($B$4:$K$4&lt;I$4),$B244:$K244-$L244:$U244))),2)</f>
        <v>0</v>
      </c>
      <c r="AD244" s="39" t="n">
        <f aca="false">ROUND(J244-T244-MIN(J244-T244,MAX(0,$AF244-SUMPRODUCT(--($B$4:$K$4&lt;J$4),$B244:$K244-$L244:$U244))),2)</f>
        <v>0</v>
      </c>
      <c r="AE244" s="39" t="n">
        <f aca="false">ROUND(K244-U244-MIN(K244-U244,MAX(0,$AF244-SUMPRODUCT(--($B$4:$K$4&lt;K$4),$B244:$K244-$L244:$U244))),2)</f>
        <v>0</v>
      </c>
      <c r="AF244" s="39" t="n">
        <f aca="false">MAX(0,'Start Here'!$C$5-SUM($L244:$U244))</f>
        <v>1200</v>
      </c>
      <c r="AG244" s="39" t="n">
        <f aca="false">SUM(V244:AE244)</f>
        <v>0</v>
      </c>
      <c r="AH244" s="39" t="n">
        <f aca="false">SUM(B244:K244)-AG243</f>
        <v>0</v>
      </c>
    </row>
    <row r="245" customFormat="false" ht="15" hidden="false" customHeight="false" outlineLevel="0" collapsed="false">
      <c r="A245" s="40" t="n">
        <f aca="false">DATE(YEAR('Start Here'!$C$6),MONTH('Start Here'!$C$6)+238,1)</f>
        <v>53540</v>
      </c>
      <c r="B245" s="39" t="n">
        <f aca="false">ROUND(V244*(1+N('My Debts'!$D$6)/12),2)</f>
        <v>0</v>
      </c>
      <c r="C245" s="39" t="n">
        <f aca="false">ROUND(W244*(1+N('My Debts'!$D$7)/12),2)</f>
        <v>0</v>
      </c>
      <c r="D245" s="39" t="n">
        <f aca="false">ROUND(X244*(1+N('My Debts'!$D$8)/12),2)</f>
        <v>0</v>
      </c>
      <c r="E245" s="39" t="n">
        <f aca="false">ROUND(Y244*(1+N('My Debts'!$D$9)/12),2)</f>
        <v>0</v>
      </c>
      <c r="F245" s="39" t="n">
        <f aca="false">ROUND(Z244*(1+N('My Debts'!$D$10)/12),2)</f>
        <v>0</v>
      </c>
      <c r="G245" s="39" t="n">
        <f aca="false">ROUND(AA244*(1+N('My Debts'!$D$11)/12),2)</f>
        <v>0</v>
      </c>
      <c r="H245" s="39" t="n">
        <f aca="false">ROUND(AB244*(1+N('My Debts'!$D$12)/12),2)</f>
        <v>0</v>
      </c>
      <c r="I245" s="39" t="n">
        <f aca="false">ROUND(AC244*(1+N('My Debts'!$D$13)/12),2)</f>
        <v>0</v>
      </c>
      <c r="J245" s="39" t="n">
        <f aca="false">ROUND(AD244*(1+N('My Debts'!$D$14)/12),2)</f>
        <v>0</v>
      </c>
      <c r="K245" s="39" t="n">
        <f aca="false">ROUND(AE244*(1+N('My Debts'!$D$15)/12),2)</f>
        <v>0</v>
      </c>
      <c r="L245" s="39" t="n">
        <f aca="false">MIN(N('My Debts'!$E$6),B245)</f>
        <v>0</v>
      </c>
      <c r="M245" s="39" t="n">
        <f aca="false">MIN(N('My Debts'!$E$7),C245)</f>
        <v>0</v>
      </c>
      <c r="N245" s="39" t="n">
        <f aca="false">MIN(N('My Debts'!$E$8),D245)</f>
        <v>0</v>
      </c>
      <c r="O245" s="39" t="n">
        <f aca="false">MIN(N('My Debts'!$E$9),E245)</f>
        <v>0</v>
      </c>
      <c r="P245" s="39" t="n">
        <f aca="false">MIN(N('My Debts'!$E$10),F245)</f>
        <v>0</v>
      </c>
      <c r="Q245" s="39" t="n">
        <f aca="false">MIN(N('My Debts'!$E$11),G245)</f>
        <v>0</v>
      </c>
      <c r="R245" s="39" t="n">
        <f aca="false">MIN(N('My Debts'!$E$12),H245)</f>
        <v>0</v>
      </c>
      <c r="S245" s="39" t="n">
        <f aca="false">MIN(N('My Debts'!$E$13),I245)</f>
        <v>0</v>
      </c>
      <c r="T245" s="39" t="n">
        <f aca="false">MIN(N('My Debts'!$E$14),J245)</f>
        <v>0</v>
      </c>
      <c r="U245" s="39" t="n">
        <f aca="false">MIN(N('My Debts'!$E$15),K245)</f>
        <v>0</v>
      </c>
      <c r="V245" s="39" t="n">
        <f aca="false">ROUND(B245-L245-MIN(B245-L245,MAX(0,$AF245-SUMPRODUCT(--($B$4:$K$4&lt;B$4),$B245:$K245-$L245:$U245))),2)</f>
        <v>0</v>
      </c>
      <c r="W245" s="39" t="n">
        <f aca="false">ROUND(C245-M245-MIN(C245-M245,MAX(0,$AF245-SUMPRODUCT(--($B$4:$K$4&lt;C$4),$B245:$K245-$L245:$U245))),2)</f>
        <v>0</v>
      </c>
      <c r="X245" s="39" t="n">
        <f aca="false">ROUND(D245-N245-MIN(D245-N245,MAX(0,$AF245-SUMPRODUCT(--($B$4:$K$4&lt;D$4),$B245:$K245-$L245:$U245))),2)</f>
        <v>0</v>
      </c>
      <c r="Y245" s="39" t="n">
        <f aca="false">ROUND(E245-O245-MIN(E245-O245,MAX(0,$AF245-SUMPRODUCT(--($B$4:$K$4&lt;E$4),$B245:$K245-$L245:$U245))),2)</f>
        <v>0</v>
      </c>
      <c r="Z245" s="39" t="n">
        <f aca="false">ROUND(F245-P245-MIN(F245-P245,MAX(0,$AF245-SUMPRODUCT(--($B$4:$K$4&lt;F$4),$B245:$K245-$L245:$U245))),2)</f>
        <v>0</v>
      </c>
      <c r="AA245" s="39" t="n">
        <f aca="false">ROUND(G245-Q245-MIN(G245-Q245,MAX(0,$AF245-SUMPRODUCT(--($B$4:$K$4&lt;G$4),$B245:$K245-$L245:$U245))),2)</f>
        <v>0</v>
      </c>
      <c r="AB245" s="39" t="n">
        <f aca="false">ROUND(H245-R245-MIN(H245-R245,MAX(0,$AF245-SUMPRODUCT(--($B$4:$K$4&lt;H$4),$B245:$K245-$L245:$U245))),2)</f>
        <v>0</v>
      </c>
      <c r="AC245" s="39" t="n">
        <f aca="false">ROUND(I245-S245-MIN(I245-S245,MAX(0,$AF245-SUMPRODUCT(--($B$4:$K$4&lt;I$4),$B245:$K245-$L245:$U245))),2)</f>
        <v>0</v>
      </c>
      <c r="AD245" s="39" t="n">
        <f aca="false">ROUND(J245-T245-MIN(J245-T245,MAX(0,$AF245-SUMPRODUCT(--($B$4:$K$4&lt;J$4),$B245:$K245-$L245:$U245))),2)</f>
        <v>0</v>
      </c>
      <c r="AE245" s="39" t="n">
        <f aca="false">ROUND(K245-U245-MIN(K245-U245,MAX(0,$AF245-SUMPRODUCT(--($B$4:$K$4&lt;K$4),$B245:$K245-$L245:$U245))),2)</f>
        <v>0</v>
      </c>
      <c r="AF245" s="39" t="n">
        <f aca="false">MAX(0,'Start Here'!$C$5-SUM($L245:$U245))</f>
        <v>1200</v>
      </c>
      <c r="AG245" s="39" t="n">
        <f aca="false">SUM(V245:AE245)</f>
        <v>0</v>
      </c>
      <c r="AH245" s="39" t="n">
        <f aca="false">SUM(B245:K245)-AG244</f>
        <v>0</v>
      </c>
    </row>
    <row r="246" customFormat="false" ht="15" hidden="false" customHeight="false" outlineLevel="0" collapsed="false">
      <c r="A246" s="40" t="n">
        <f aca="false">DATE(YEAR('Start Here'!$C$6),MONTH('Start Here'!$C$6)+239,1)</f>
        <v>53571</v>
      </c>
      <c r="B246" s="39" t="n">
        <f aca="false">ROUND(V245*(1+N('My Debts'!$D$6)/12),2)</f>
        <v>0</v>
      </c>
      <c r="C246" s="39" t="n">
        <f aca="false">ROUND(W245*(1+N('My Debts'!$D$7)/12),2)</f>
        <v>0</v>
      </c>
      <c r="D246" s="39" t="n">
        <f aca="false">ROUND(X245*(1+N('My Debts'!$D$8)/12),2)</f>
        <v>0</v>
      </c>
      <c r="E246" s="39" t="n">
        <f aca="false">ROUND(Y245*(1+N('My Debts'!$D$9)/12),2)</f>
        <v>0</v>
      </c>
      <c r="F246" s="39" t="n">
        <f aca="false">ROUND(Z245*(1+N('My Debts'!$D$10)/12),2)</f>
        <v>0</v>
      </c>
      <c r="G246" s="39" t="n">
        <f aca="false">ROUND(AA245*(1+N('My Debts'!$D$11)/12),2)</f>
        <v>0</v>
      </c>
      <c r="H246" s="39" t="n">
        <f aca="false">ROUND(AB245*(1+N('My Debts'!$D$12)/12),2)</f>
        <v>0</v>
      </c>
      <c r="I246" s="39" t="n">
        <f aca="false">ROUND(AC245*(1+N('My Debts'!$D$13)/12),2)</f>
        <v>0</v>
      </c>
      <c r="J246" s="39" t="n">
        <f aca="false">ROUND(AD245*(1+N('My Debts'!$D$14)/12),2)</f>
        <v>0</v>
      </c>
      <c r="K246" s="39" t="n">
        <f aca="false">ROUND(AE245*(1+N('My Debts'!$D$15)/12),2)</f>
        <v>0</v>
      </c>
      <c r="L246" s="39" t="n">
        <f aca="false">MIN(N('My Debts'!$E$6),B246)</f>
        <v>0</v>
      </c>
      <c r="M246" s="39" t="n">
        <f aca="false">MIN(N('My Debts'!$E$7),C246)</f>
        <v>0</v>
      </c>
      <c r="N246" s="39" t="n">
        <f aca="false">MIN(N('My Debts'!$E$8),D246)</f>
        <v>0</v>
      </c>
      <c r="O246" s="39" t="n">
        <f aca="false">MIN(N('My Debts'!$E$9),E246)</f>
        <v>0</v>
      </c>
      <c r="P246" s="39" t="n">
        <f aca="false">MIN(N('My Debts'!$E$10),F246)</f>
        <v>0</v>
      </c>
      <c r="Q246" s="39" t="n">
        <f aca="false">MIN(N('My Debts'!$E$11),G246)</f>
        <v>0</v>
      </c>
      <c r="R246" s="39" t="n">
        <f aca="false">MIN(N('My Debts'!$E$12),H246)</f>
        <v>0</v>
      </c>
      <c r="S246" s="39" t="n">
        <f aca="false">MIN(N('My Debts'!$E$13),I246)</f>
        <v>0</v>
      </c>
      <c r="T246" s="39" t="n">
        <f aca="false">MIN(N('My Debts'!$E$14),J246)</f>
        <v>0</v>
      </c>
      <c r="U246" s="39" t="n">
        <f aca="false">MIN(N('My Debts'!$E$15),K246)</f>
        <v>0</v>
      </c>
      <c r="V246" s="39" t="n">
        <f aca="false">ROUND(B246-L246-MIN(B246-L246,MAX(0,$AF246-SUMPRODUCT(--($B$4:$K$4&lt;B$4),$B246:$K246-$L246:$U246))),2)</f>
        <v>0</v>
      </c>
      <c r="W246" s="39" t="n">
        <f aca="false">ROUND(C246-M246-MIN(C246-M246,MAX(0,$AF246-SUMPRODUCT(--($B$4:$K$4&lt;C$4),$B246:$K246-$L246:$U246))),2)</f>
        <v>0</v>
      </c>
      <c r="X246" s="39" t="n">
        <f aca="false">ROUND(D246-N246-MIN(D246-N246,MAX(0,$AF246-SUMPRODUCT(--($B$4:$K$4&lt;D$4),$B246:$K246-$L246:$U246))),2)</f>
        <v>0</v>
      </c>
      <c r="Y246" s="39" t="n">
        <f aca="false">ROUND(E246-O246-MIN(E246-O246,MAX(0,$AF246-SUMPRODUCT(--($B$4:$K$4&lt;E$4),$B246:$K246-$L246:$U246))),2)</f>
        <v>0</v>
      </c>
      <c r="Z246" s="39" t="n">
        <f aca="false">ROUND(F246-P246-MIN(F246-P246,MAX(0,$AF246-SUMPRODUCT(--($B$4:$K$4&lt;F$4),$B246:$K246-$L246:$U246))),2)</f>
        <v>0</v>
      </c>
      <c r="AA246" s="39" t="n">
        <f aca="false">ROUND(G246-Q246-MIN(G246-Q246,MAX(0,$AF246-SUMPRODUCT(--($B$4:$K$4&lt;G$4),$B246:$K246-$L246:$U246))),2)</f>
        <v>0</v>
      </c>
      <c r="AB246" s="39" t="n">
        <f aca="false">ROUND(H246-R246-MIN(H246-R246,MAX(0,$AF246-SUMPRODUCT(--($B$4:$K$4&lt;H$4),$B246:$K246-$L246:$U246))),2)</f>
        <v>0</v>
      </c>
      <c r="AC246" s="39" t="n">
        <f aca="false">ROUND(I246-S246-MIN(I246-S246,MAX(0,$AF246-SUMPRODUCT(--($B$4:$K$4&lt;I$4),$B246:$K246-$L246:$U246))),2)</f>
        <v>0</v>
      </c>
      <c r="AD246" s="39" t="n">
        <f aca="false">ROUND(J246-T246-MIN(J246-T246,MAX(0,$AF246-SUMPRODUCT(--($B$4:$K$4&lt;J$4),$B246:$K246-$L246:$U246))),2)</f>
        <v>0</v>
      </c>
      <c r="AE246" s="39" t="n">
        <f aca="false">ROUND(K246-U246-MIN(K246-U246,MAX(0,$AF246-SUMPRODUCT(--($B$4:$K$4&lt;K$4),$B246:$K246-$L246:$U246))),2)</f>
        <v>0</v>
      </c>
      <c r="AF246" s="39" t="n">
        <f aca="false">MAX(0,'Start Here'!$C$5-SUM($L246:$U246))</f>
        <v>1200</v>
      </c>
      <c r="AG246" s="39" t="n">
        <f aca="false">SUM(V246:AE246)</f>
        <v>0</v>
      </c>
      <c r="AH246" s="39" t="n">
        <f aca="false">SUM(B246:K246)-AG245</f>
        <v>0</v>
      </c>
    </row>
    <row r="247" customFormat="false" ht="15" hidden="false" customHeight="false" outlineLevel="0" collapsed="false">
      <c r="A247" s="40" t="n">
        <f aca="false">DATE(YEAR('Start Here'!$C$6),MONTH('Start Here'!$C$6)+240,1)</f>
        <v>53601</v>
      </c>
      <c r="B247" s="39" t="n">
        <f aca="false">ROUND(V246*(1+N('My Debts'!$D$6)/12),2)</f>
        <v>0</v>
      </c>
      <c r="C247" s="39" t="n">
        <f aca="false">ROUND(W246*(1+N('My Debts'!$D$7)/12),2)</f>
        <v>0</v>
      </c>
      <c r="D247" s="39" t="n">
        <f aca="false">ROUND(X246*(1+N('My Debts'!$D$8)/12),2)</f>
        <v>0</v>
      </c>
      <c r="E247" s="39" t="n">
        <f aca="false">ROUND(Y246*(1+N('My Debts'!$D$9)/12),2)</f>
        <v>0</v>
      </c>
      <c r="F247" s="39" t="n">
        <f aca="false">ROUND(Z246*(1+N('My Debts'!$D$10)/12),2)</f>
        <v>0</v>
      </c>
      <c r="G247" s="39" t="n">
        <f aca="false">ROUND(AA246*(1+N('My Debts'!$D$11)/12),2)</f>
        <v>0</v>
      </c>
      <c r="H247" s="39" t="n">
        <f aca="false">ROUND(AB246*(1+N('My Debts'!$D$12)/12),2)</f>
        <v>0</v>
      </c>
      <c r="I247" s="39" t="n">
        <f aca="false">ROUND(AC246*(1+N('My Debts'!$D$13)/12),2)</f>
        <v>0</v>
      </c>
      <c r="J247" s="39" t="n">
        <f aca="false">ROUND(AD246*(1+N('My Debts'!$D$14)/12),2)</f>
        <v>0</v>
      </c>
      <c r="K247" s="39" t="n">
        <f aca="false">ROUND(AE246*(1+N('My Debts'!$D$15)/12),2)</f>
        <v>0</v>
      </c>
      <c r="L247" s="39" t="n">
        <f aca="false">MIN(N('My Debts'!$E$6),B247)</f>
        <v>0</v>
      </c>
      <c r="M247" s="39" t="n">
        <f aca="false">MIN(N('My Debts'!$E$7),C247)</f>
        <v>0</v>
      </c>
      <c r="N247" s="39" t="n">
        <f aca="false">MIN(N('My Debts'!$E$8),D247)</f>
        <v>0</v>
      </c>
      <c r="O247" s="39" t="n">
        <f aca="false">MIN(N('My Debts'!$E$9),E247)</f>
        <v>0</v>
      </c>
      <c r="P247" s="39" t="n">
        <f aca="false">MIN(N('My Debts'!$E$10),F247)</f>
        <v>0</v>
      </c>
      <c r="Q247" s="39" t="n">
        <f aca="false">MIN(N('My Debts'!$E$11),G247)</f>
        <v>0</v>
      </c>
      <c r="R247" s="39" t="n">
        <f aca="false">MIN(N('My Debts'!$E$12),H247)</f>
        <v>0</v>
      </c>
      <c r="S247" s="39" t="n">
        <f aca="false">MIN(N('My Debts'!$E$13),I247)</f>
        <v>0</v>
      </c>
      <c r="T247" s="39" t="n">
        <f aca="false">MIN(N('My Debts'!$E$14),J247)</f>
        <v>0</v>
      </c>
      <c r="U247" s="39" t="n">
        <f aca="false">MIN(N('My Debts'!$E$15),K247)</f>
        <v>0</v>
      </c>
      <c r="V247" s="39" t="n">
        <f aca="false">ROUND(B247-L247-MIN(B247-L247,MAX(0,$AF247-SUMPRODUCT(--($B$4:$K$4&lt;B$4),$B247:$K247-$L247:$U247))),2)</f>
        <v>0</v>
      </c>
      <c r="W247" s="39" t="n">
        <f aca="false">ROUND(C247-M247-MIN(C247-M247,MAX(0,$AF247-SUMPRODUCT(--($B$4:$K$4&lt;C$4),$B247:$K247-$L247:$U247))),2)</f>
        <v>0</v>
      </c>
      <c r="X247" s="39" t="n">
        <f aca="false">ROUND(D247-N247-MIN(D247-N247,MAX(0,$AF247-SUMPRODUCT(--($B$4:$K$4&lt;D$4),$B247:$K247-$L247:$U247))),2)</f>
        <v>0</v>
      </c>
      <c r="Y247" s="39" t="n">
        <f aca="false">ROUND(E247-O247-MIN(E247-O247,MAX(0,$AF247-SUMPRODUCT(--($B$4:$K$4&lt;E$4),$B247:$K247-$L247:$U247))),2)</f>
        <v>0</v>
      </c>
      <c r="Z247" s="39" t="n">
        <f aca="false">ROUND(F247-P247-MIN(F247-P247,MAX(0,$AF247-SUMPRODUCT(--($B$4:$K$4&lt;F$4),$B247:$K247-$L247:$U247))),2)</f>
        <v>0</v>
      </c>
      <c r="AA247" s="39" t="n">
        <f aca="false">ROUND(G247-Q247-MIN(G247-Q247,MAX(0,$AF247-SUMPRODUCT(--($B$4:$K$4&lt;G$4),$B247:$K247-$L247:$U247))),2)</f>
        <v>0</v>
      </c>
      <c r="AB247" s="39" t="n">
        <f aca="false">ROUND(H247-R247-MIN(H247-R247,MAX(0,$AF247-SUMPRODUCT(--($B$4:$K$4&lt;H$4),$B247:$K247-$L247:$U247))),2)</f>
        <v>0</v>
      </c>
      <c r="AC247" s="39" t="n">
        <f aca="false">ROUND(I247-S247-MIN(I247-S247,MAX(0,$AF247-SUMPRODUCT(--($B$4:$K$4&lt;I$4),$B247:$K247-$L247:$U247))),2)</f>
        <v>0</v>
      </c>
      <c r="AD247" s="39" t="n">
        <f aca="false">ROUND(J247-T247-MIN(J247-T247,MAX(0,$AF247-SUMPRODUCT(--($B$4:$K$4&lt;J$4),$B247:$K247-$L247:$U247))),2)</f>
        <v>0</v>
      </c>
      <c r="AE247" s="39" t="n">
        <f aca="false">ROUND(K247-U247-MIN(K247-U247,MAX(0,$AF247-SUMPRODUCT(--($B$4:$K$4&lt;K$4),$B247:$K247-$L247:$U247))),2)</f>
        <v>0</v>
      </c>
      <c r="AF247" s="39" t="n">
        <f aca="false">MAX(0,'Start Here'!$C$5-SUM($L247:$U247))</f>
        <v>1200</v>
      </c>
      <c r="AG247" s="39" t="n">
        <f aca="false">SUM(V247:AE247)</f>
        <v>0</v>
      </c>
      <c r="AH247" s="39" t="n">
        <f aca="false">SUM(B247:K247)-AG246</f>
        <v>0</v>
      </c>
    </row>
    <row r="248" customFormat="false" ht="15" hidden="false" customHeight="false" outlineLevel="0" collapsed="false">
      <c r="A248" s="40" t="n">
        <f aca="false">DATE(YEAR('Start Here'!$C$6),MONTH('Start Here'!$C$6)+241,1)</f>
        <v>53632</v>
      </c>
      <c r="B248" s="39" t="n">
        <f aca="false">ROUND(V247*(1+N('My Debts'!$D$6)/12),2)</f>
        <v>0</v>
      </c>
      <c r="C248" s="39" t="n">
        <f aca="false">ROUND(W247*(1+N('My Debts'!$D$7)/12),2)</f>
        <v>0</v>
      </c>
      <c r="D248" s="39" t="n">
        <f aca="false">ROUND(X247*(1+N('My Debts'!$D$8)/12),2)</f>
        <v>0</v>
      </c>
      <c r="E248" s="39" t="n">
        <f aca="false">ROUND(Y247*(1+N('My Debts'!$D$9)/12),2)</f>
        <v>0</v>
      </c>
      <c r="F248" s="39" t="n">
        <f aca="false">ROUND(Z247*(1+N('My Debts'!$D$10)/12),2)</f>
        <v>0</v>
      </c>
      <c r="G248" s="39" t="n">
        <f aca="false">ROUND(AA247*(1+N('My Debts'!$D$11)/12),2)</f>
        <v>0</v>
      </c>
      <c r="H248" s="39" t="n">
        <f aca="false">ROUND(AB247*(1+N('My Debts'!$D$12)/12),2)</f>
        <v>0</v>
      </c>
      <c r="I248" s="39" t="n">
        <f aca="false">ROUND(AC247*(1+N('My Debts'!$D$13)/12),2)</f>
        <v>0</v>
      </c>
      <c r="J248" s="39" t="n">
        <f aca="false">ROUND(AD247*(1+N('My Debts'!$D$14)/12),2)</f>
        <v>0</v>
      </c>
      <c r="K248" s="39" t="n">
        <f aca="false">ROUND(AE247*(1+N('My Debts'!$D$15)/12),2)</f>
        <v>0</v>
      </c>
      <c r="L248" s="39" t="n">
        <f aca="false">MIN(N('My Debts'!$E$6),B248)</f>
        <v>0</v>
      </c>
      <c r="M248" s="39" t="n">
        <f aca="false">MIN(N('My Debts'!$E$7),C248)</f>
        <v>0</v>
      </c>
      <c r="N248" s="39" t="n">
        <f aca="false">MIN(N('My Debts'!$E$8),D248)</f>
        <v>0</v>
      </c>
      <c r="O248" s="39" t="n">
        <f aca="false">MIN(N('My Debts'!$E$9),E248)</f>
        <v>0</v>
      </c>
      <c r="P248" s="39" t="n">
        <f aca="false">MIN(N('My Debts'!$E$10),F248)</f>
        <v>0</v>
      </c>
      <c r="Q248" s="39" t="n">
        <f aca="false">MIN(N('My Debts'!$E$11),G248)</f>
        <v>0</v>
      </c>
      <c r="R248" s="39" t="n">
        <f aca="false">MIN(N('My Debts'!$E$12),H248)</f>
        <v>0</v>
      </c>
      <c r="S248" s="39" t="n">
        <f aca="false">MIN(N('My Debts'!$E$13),I248)</f>
        <v>0</v>
      </c>
      <c r="T248" s="39" t="n">
        <f aca="false">MIN(N('My Debts'!$E$14),J248)</f>
        <v>0</v>
      </c>
      <c r="U248" s="39" t="n">
        <f aca="false">MIN(N('My Debts'!$E$15),K248)</f>
        <v>0</v>
      </c>
      <c r="V248" s="39" t="n">
        <f aca="false">ROUND(B248-L248-MIN(B248-L248,MAX(0,$AF248-SUMPRODUCT(--($B$4:$K$4&lt;B$4),$B248:$K248-$L248:$U248))),2)</f>
        <v>0</v>
      </c>
      <c r="W248" s="39" t="n">
        <f aca="false">ROUND(C248-M248-MIN(C248-M248,MAX(0,$AF248-SUMPRODUCT(--($B$4:$K$4&lt;C$4),$B248:$K248-$L248:$U248))),2)</f>
        <v>0</v>
      </c>
      <c r="X248" s="39" t="n">
        <f aca="false">ROUND(D248-N248-MIN(D248-N248,MAX(0,$AF248-SUMPRODUCT(--($B$4:$K$4&lt;D$4),$B248:$K248-$L248:$U248))),2)</f>
        <v>0</v>
      </c>
      <c r="Y248" s="39" t="n">
        <f aca="false">ROUND(E248-O248-MIN(E248-O248,MAX(0,$AF248-SUMPRODUCT(--($B$4:$K$4&lt;E$4),$B248:$K248-$L248:$U248))),2)</f>
        <v>0</v>
      </c>
      <c r="Z248" s="39" t="n">
        <f aca="false">ROUND(F248-P248-MIN(F248-P248,MAX(0,$AF248-SUMPRODUCT(--($B$4:$K$4&lt;F$4),$B248:$K248-$L248:$U248))),2)</f>
        <v>0</v>
      </c>
      <c r="AA248" s="39" t="n">
        <f aca="false">ROUND(G248-Q248-MIN(G248-Q248,MAX(0,$AF248-SUMPRODUCT(--($B$4:$K$4&lt;G$4),$B248:$K248-$L248:$U248))),2)</f>
        <v>0</v>
      </c>
      <c r="AB248" s="39" t="n">
        <f aca="false">ROUND(H248-R248-MIN(H248-R248,MAX(0,$AF248-SUMPRODUCT(--($B$4:$K$4&lt;H$4),$B248:$K248-$L248:$U248))),2)</f>
        <v>0</v>
      </c>
      <c r="AC248" s="39" t="n">
        <f aca="false">ROUND(I248-S248-MIN(I248-S248,MAX(0,$AF248-SUMPRODUCT(--($B$4:$K$4&lt;I$4),$B248:$K248-$L248:$U248))),2)</f>
        <v>0</v>
      </c>
      <c r="AD248" s="39" t="n">
        <f aca="false">ROUND(J248-T248-MIN(J248-T248,MAX(0,$AF248-SUMPRODUCT(--($B$4:$K$4&lt;J$4),$B248:$K248-$L248:$U248))),2)</f>
        <v>0</v>
      </c>
      <c r="AE248" s="39" t="n">
        <f aca="false">ROUND(K248-U248-MIN(K248-U248,MAX(0,$AF248-SUMPRODUCT(--($B$4:$K$4&lt;K$4),$B248:$K248-$L248:$U248))),2)</f>
        <v>0</v>
      </c>
      <c r="AF248" s="39" t="n">
        <f aca="false">MAX(0,'Start Here'!$C$5-SUM($L248:$U248))</f>
        <v>1200</v>
      </c>
      <c r="AG248" s="39" t="n">
        <f aca="false">SUM(V248:AE248)</f>
        <v>0</v>
      </c>
      <c r="AH248" s="39" t="n">
        <f aca="false">SUM(B248:K248)-AG247</f>
        <v>0</v>
      </c>
    </row>
    <row r="249" customFormat="false" ht="15" hidden="false" customHeight="false" outlineLevel="0" collapsed="false">
      <c r="A249" s="40" t="n">
        <f aca="false">DATE(YEAR('Start Here'!$C$6),MONTH('Start Here'!$C$6)+242,1)</f>
        <v>53662</v>
      </c>
      <c r="B249" s="39" t="n">
        <f aca="false">ROUND(V248*(1+N('My Debts'!$D$6)/12),2)</f>
        <v>0</v>
      </c>
      <c r="C249" s="39" t="n">
        <f aca="false">ROUND(W248*(1+N('My Debts'!$D$7)/12),2)</f>
        <v>0</v>
      </c>
      <c r="D249" s="39" t="n">
        <f aca="false">ROUND(X248*(1+N('My Debts'!$D$8)/12),2)</f>
        <v>0</v>
      </c>
      <c r="E249" s="39" t="n">
        <f aca="false">ROUND(Y248*(1+N('My Debts'!$D$9)/12),2)</f>
        <v>0</v>
      </c>
      <c r="F249" s="39" t="n">
        <f aca="false">ROUND(Z248*(1+N('My Debts'!$D$10)/12),2)</f>
        <v>0</v>
      </c>
      <c r="G249" s="39" t="n">
        <f aca="false">ROUND(AA248*(1+N('My Debts'!$D$11)/12),2)</f>
        <v>0</v>
      </c>
      <c r="H249" s="39" t="n">
        <f aca="false">ROUND(AB248*(1+N('My Debts'!$D$12)/12),2)</f>
        <v>0</v>
      </c>
      <c r="I249" s="39" t="n">
        <f aca="false">ROUND(AC248*(1+N('My Debts'!$D$13)/12),2)</f>
        <v>0</v>
      </c>
      <c r="J249" s="39" t="n">
        <f aca="false">ROUND(AD248*(1+N('My Debts'!$D$14)/12),2)</f>
        <v>0</v>
      </c>
      <c r="K249" s="39" t="n">
        <f aca="false">ROUND(AE248*(1+N('My Debts'!$D$15)/12),2)</f>
        <v>0</v>
      </c>
      <c r="L249" s="39" t="n">
        <f aca="false">MIN(N('My Debts'!$E$6),B249)</f>
        <v>0</v>
      </c>
      <c r="M249" s="39" t="n">
        <f aca="false">MIN(N('My Debts'!$E$7),C249)</f>
        <v>0</v>
      </c>
      <c r="N249" s="39" t="n">
        <f aca="false">MIN(N('My Debts'!$E$8),D249)</f>
        <v>0</v>
      </c>
      <c r="O249" s="39" t="n">
        <f aca="false">MIN(N('My Debts'!$E$9),E249)</f>
        <v>0</v>
      </c>
      <c r="P249" s="39" t="n">
        <f aca="false">MIN(N('My Debts'!$E$10),F249)</f>
        <v>0</v>
      </c>
      <c r="Q249" s="39" t="n">
        <f aca="false">MIN(N('My Debts'!$E$11),G249)</f>
        <v>0</v>
      </c>
      <c r="R249" s="39" t="n">
        <f aca="false">MIN(N('My Debts'!$E$12),H249)</f>
        <v>0</v>
      </c>
      <c r="S249" s="39" t="n">
        <f aca="false">MIN(N('My Debts'!$E$13),I249)</f>
        <v>0</v>
      </c>
      <c r="T249" s="39" t="n">
        <f aca="false">MIN(N('My Debts'!$E$14),J249)</f>
        <v>0</v>
      </c>
      <c r="U249" s="39" t="n">
        <f aca="false">MIN(N('My Debts'!$E$15),K249)</f>
        <v>0</v>
      </c>
      <c r="V249" s="39" t="n">
        <f aca="false">ROUND(B249-L249-MIN(B249-L249,MAX(0,$AF249-SUMPRODUCT(--($B$4:$K$4&lt;B$4),$B249:$K249-$L249:$U249))),2)</f>
        <v>0</v>
      </c>
      <c r="W249" s="39" t="n">
        <f aca="false">ROUND(C249-M249-MIN(C249-M249,MAX(0,$AF249-SUMPRODUCT(--($B$4:$K$4&lt;C$4),$B249:$K249-$L249:$U249))),2)</f>
        <v>0</v>
      </c>
      <c r="X249" s="39" t="n">
        <f aca="false">ROUND(D249-N249-MIN(D249-N249,MAX(0,$AF249-SUMPRODUCT(--($B$4:$K$4&lt;D$4),$B249:$K249-$L249:$U249))),2)</f>
        <v>0</v>
      </c>
      <c r="Y249" s="39" t="n">
        <f aca="false">ROUND(E249-O249-MIN(E249-O249,MAX(0,$AF249-SUMPRODUCT(--($B$4:$K$4&lt;E$4),$B249:$K249-$L249:$U249))),2)</f>
        <v>0</v>
      </c>
      <c r="Z249" s="39" t="n">
        <f aca="false">ROUND(F249-P249-MIN(F249-P249,MAX(0,$AF249-SUMPRODUCT(--($B$4:$K$4&lt;F$4),$B249:$K249-$L249:$U249))),2)</f>
        <v>0</v>
      </c>
      <c r="AA249" s="39" t="n">
        <f aca="false">ROUND(G249-Q249-MIN(G249-Q249,MAX(0,$AF249-SUMPRODUCT(--($B$4:$K$4&lt;G$4),$B249:$K249-$L249:$U249))),2)</f>
        <v>0</v>
      </c>
      <c r="AB249" s="39" t="n">
        <f aca="false">ROUND(H249-R249-MIN(H249-R249,MAX(0,$AF249-SUMPRODUCT(--($B$4:$K$4&lt;H$4),$B249:$K249-$L249:$U249))),2)</f>
        <v>0</v>
      </c>
      <c r="AC249" s="39" t="n">
        <f aca="false">ROUND(I249-S249-MIN(I249-S249,MAX(0,$AF249-SUMPRODUCT(--($B$4:$K$4&lt;I$4),$B249:$K249-$L249:$U249))),2)</f>
        <v>0</v>
      </c>
      <c r="AD249" s="39" t="n">
        <f aca="false">ROUND(J249-T249-MIN(J249-T249,MAX(0,$AF249-SUMPRODUCT(--($B$4:$K$4&lt;J$4),$B249:$K249-$L249:$U249))),2)</f>
        <v>0</v>
      </c>
      <c r="AE249" s="39" t="n">
        <f aca="false">ROUND(K249-U249-MIN(K249-U249,MAX(0,$AF249-SUMPRODUCT(--($B$4:$K$4&lt;K$4),$B249:$K249-$L249:$U249))),2)</f>
        <v>0</v>
      </c>
      <c r="AF249" s="39" t="n">
        <f aca="false">MAX(0,'Start Here'!$C$5-SUM($L249:$U249))</f>
        <v>1200</v>
      </c>
      <c r="AG249" s="39" t="n">
        <f aca="false">SUM(V249:AE249)</f>
        <v>0</v>
      </c>
      <c r="AH249" s="39" t="n">
        <f aca="false">SUM(B249:K249)-AG248</f>
        <v>0</v>
      </c>
    </row>
    <row r="250" customFormat="false" ht="15" hidden="false" customHeight="false" outlineLevel="0" collapsed="false">
      <c r="A250" s="40" t="n">
        <f aca="false">DATE(YEAR('Start Here'!$C$6),MONTH('Start Here'!$C$6)+243,1)</f>
        <v>53693</v>
      </c>
      <c r="B250" s="39" t="n">
        <f aca="false">ROUND(V249*(1+N('My Debts'!$D$6)/12),2)</f>
        <v>0</v>
      </c>
      <c r="C250" s="39" t="n">
        <f aca="false">ROUND(W249*(1+N('My Debts'!$D$7)/12),2)</f>
        <v>0</v>
      </c>
      <c r="D250" s="39" t="n">
        <f aca="false">ROUND(X249*(1+N('My Debts'!$D$8)/12),2)</f>
        <v>0</v>
      </c>
      <c r="E250" s="39" t="n">
        <f aca="false">ROUND(Y249*(1+N('My Debts'!$D$9)/12),2)</f>
        <v>0</v>
      </c>
      <c r="F250" s="39" t="n">
        <f aca="false">ROUND(Z249*(1+N('My Debts'!$D$10)/12),2)</f>
        <v>0</v>
      </c>
      <c r="G250" s="39" t="n">
        <f aca="false">ROUND(AA249*(1+N('My Debts'!$D$11)/12),2)</f>
        <v>0</v>
      </c>
      <c r="H250" s="39" t="n">
        <f aca="false">ROUND(AB249*(1+N('My Debts'!$D$12)/12),2)</f>
        <v>0</v>
      </c>
      <c r="I250" s="39" t="n">
        <f aca="false">ROUND(AC249*(1+N('My Debts'!$D$13)/12),2)</f>
        <v>0</v>
      </c>
      <c r="J250" s="39" t="n">
        <f aca="false">ROUND(AD249*(1+N('My Debts'!$D$14)/12),2)</f>
        <v>0</v>
      </c>
      <c r="K250" s="39" t="n">
        <f aca="false">ROUND(AE249*(1+N('My Debts'!$D$15)/12),2)</f>
        <v>0</v>
      </c>
      <c r="L250" s="39" t="n">
        <f aca="false">MIN(N('My Debts'!$E$6),B250)</f>
        <v>0</v>
      </c>
      <c r="M250" s="39" t="n">
        <f aca="false">MIN(N('My Debts'!$E$7),C250)</f>
        <v>0</v>
      </c>
      <c r="N250" s="39" t="n">
        <f aca="false">MIN(N('My Debts'!$E$8),D250)</f>
        <v>0</v>
      </c>
      <c r="O250" s="39" t="n">
        <f aca="false">MIN(N('My Debts'!$E$9),E250)</f>
        <v>0</v>
      </c>
      <c r="P250" s="39" t="n">
        <f aca="false">MIN(N('My Debts'!$E$10),F250)</f>
        <v>0</v>
      </c>
      <c r="Q250" s="39" t="n">
        <f aca="false">MIN(N('My Debts'!$E$11),G250)</f>
        <v>0</v>
      </c>
      <c r="R250" s="39" t="n">
        <f aca="false">MIN(N('My Debts'!$E$12),H250)</f>
        <v>0</v>
      </c>
      <c r="S250" s="39" t="n">
        <f aca="false">MIN(N('My Debts'!$E$13),I250)</f>
        <v>0</v>
      </c>
      <c r="T250" s="39" t="n">
        <f aca="false">MIN(N('My Debts'!$E$14),J250)</f>
        <v>0</v>
      </c>
      <c r="U250" s="39" t="n">
        <f aca="false">MIN(N('My Debts'!$E$15),K250)</f>
        <v>0</v>
      </c>
      <c r="V250" s="39" t="n">
        <f aca="false">ROUND(B250-L250-MIN(B250-L250,MAX(0,$AF250-SUMPRODUCT(--($B$4:$K$4&lt;B$4),$B250:$K250-$L250:$U250))),2)</f>
        <v>0</v>
      </c>
      <c r="W250" s="39" t="n">
        <f aca="false">ROUND(C250-M250-MIN(C250-M250,MAX(0,$AF250-SUMPRODUCT(--($B$4:$K$4&lt;C$4),$B250:$K250-$L250:$U250))),2)</f>
        <v>0</v>
      </c>
      <c r="X250" s="39" t="n">
        <f aca="false">ROUND(D250-N250-MIN(D250-N250,MAX(0,$AF250-SUMPRODUCT(--($B$4:$K$4&lt;D$4),$B250:$K250-$L250:$U250))),2)</f>
        <v>0</v>
      </c>
      <c r="Y250" s="39" t="n">
        <f aca="false">ROUND(E250-O250-MIN(E250-O250,MAX(0,$AF250-SUMPRODUCT(--($B$4:$K$4&lt;E$4),$B250:$K250-$L250:$U250))),2)</f>
        <v>0</v>
      </c>
      <c r="Z250" s="39" t="n">
        <f aca="false">ROUND(F250-P250-MIN(F250-P250,MAX(0,$AF250-SUMPRODUCT(--($B$4:$K$4&lt;F$4),$B250:$K250-$L250:$U250))),2)</f>
        <v>0</v>
      </c>
      <c r="AA250" s="39" t="n">
        <f aca="false">ROUND(G250-Q250-MIN(G250-Q250,MAX(0,$AF250-SUMPRODUCT(--($B$4:$K$4&lt;G$4),$B250:$K250-$L250:$U250))),2)</f>
        <v>0</v>
      </c>
      <c r="AB250" s="39" t="n">
        <f aca="false">ROUND(H250-R250-MIN(H250-R250,MAX(0,$AF250-SUMPRODUCT(--($B$4:$K$4&lt;H$4),$B250:$K250-$L250:$U250))),2)</f>
        <v>0</v>
      </c>
      <c r="AC250" s="39" t="n">
        <f aca="false">ROUND(I250-S250-MIN(I250-S250,MAX(0,$AF250-SUMPRODUCT(--($B$4:$K$4&lt;I$4),$B250:$K250-$L250:$U250))),2)</f>
        <v>0</v>
      </c>
      <c r="AD250" s="39" t="n">
        <f aca="false">ROUND(J250-T250-MIN(J250-T250,MAX(0,$AF250-SUMPRODUCT(--($B$4:$K$4&lt;J$4),$B250:$K250-$L250:$U250))),2)</f>
        <v>0</v>
      </c>
      <c r="AE250" s="39" t="n">
        <f aca="false">ROUND(K250-U250-MIN(K250-U250,MAX(0,$AF250-SUMPRODUCT(--($B$4:$K$4&lt;K$4),$B250:$K250-$L250:$U250))),2)</f>
        <v>0</v>
      </c>
      <c r="AF250" s="39" t="n">
        <f aca="false">MAX(0,'Start Here'!$C$5-SUM($L250:$U250))</f>
        <v>1200</v>
      </c>
      <c r="AG250" s="39" t="n">
        <f aca="false">SUM(V250:AE250)</f>
        <v>0</v>
      </c>
      <c r="AH250" s="39" t="n">
        <f aca="false">SUM(B250:K250)-AG249</f>
        <v>0</v>
      </c>
    </row>
    <row r="251" customFormat="false" ht="15" hidden="false" customHeight="false" outlineLevel="0" collapsed="false">
      <c r="A251" s="40" t="n">
        <f aca="false">DATE(YEAR('Start Here'!$C$6),MONTH('Start Here'!$C$6)+244,1)</f>
        <v>53724</v>
      </c>
      <c r="B251" s="39" t="n">
        <f aca="false">ROUND(V250*(1+N('My Debts'!$D$6)/12),2)</f>
        <v>0</v>
      </c>
      <c r="C251" s="39" t="n">
        <f aca="false">ROUND(W250*(1+N('My Debts'!$D$7)/12),2)</f>
        <v>0</v>
      </c>
      <c r="D251" s="39" t="n">
        <f aca="false">ROUND(X250*(1+N('My Debts'!$D$8)/12),2)</f>
        <v>0</v>
      </c>
      <c r="E251" s="39" t="n">
        <f aca="false">ROUND(Y250*(1+N('My Debts'!$D$9)/12),2)</f>
        <v>0</v>
      </c>
      <c r="F251" s="39" t="n">
        <f aca="false">ROUND(Z250*(1+N('My Debts'!$D$10)/12),2)</f>
        <v>0</v>
      </c>
      <c r="G251" s="39" t="n">
        <f aca="false">ROUND(AA250*(1+N('My Debts'!$D$11)/12),2)</f>
        <v>0</v>
      </c>
      <c r="H251" s="39" t="n">
        <f aca="false">ROUND(AB250*(1+N('My Debts'!$D$12)/12),2)</f>
        <v>0</v>
      </c>
      <c r="I251" s="39" t="n">
        <f aca="false">ROUND(AC250*(1+N('My Debts'!$D$13)/12),2)</f>
        <v>0</v>
      </c>
      <c r="J251" s="39" t="n">
        <f aca="false">ROUND(AD250*(1+N('My Debts'!$D$14)/12),2)</f>
        <v>0</v>
      </c>
      <c r="K251" s="39" t="n">
        <f aca="false">ROUND(AE250*(1+N('My Debts'!$D$15)/12),2)</f>
        <v>0</v>
      </c>
      <c r="L251" s="39" t="n">
        <f aca="false">MIN(N('My Debts'!$E$6),B251)</f>
        <v>0</v>
      </c>
      <c r="M251" s="39" t="n">
        <f aca="false">MIN(N('My Debts'!$E$7),C251)</f>
        <v>0</v>
      </c>
      <c r="N251" s="39" t="n">
        <f aca="false">MIN(N('My Debts'!$E$8),D251)</f>
        <v>0</v>
      </c>
      <c r="O251" s="39" t="n">
        <f aca="false">MIN(N('My Debts'!$E$9),E251)</f>
        <v>0</v>
      </c>
      <c r="P251" s="39" t="n">
        <f aca="false">MIN(N('My Debts'!$E$10),F251)</f>
        <v>0</v>
      </c>
      <c r="Q251" s="39" t="n">
        <f aca="false">MIN(N('My Debts'!$E$11),G251)</f>
        <v>0</v>
      </c>
      <c r="R251" s="39" t="n">
        <f aca="false">MIN(N('My Debts'!$E$12),H251)</f>
        <v>0</v>
      </c>
      <c r="S251" s="39" t="n">
        <f aca="false">MIN(N('My Debts'!$E$13),I251)</f>
        <v>0</v>
      </c>
      <c r="T251" s="39" t="n">
        <f aca="false">MIN(N('My Debts'!$E$14),J251)</f>
        <v>0</v>
      </c>
      <c r="U251" s="39" t="n">
        <f aca="false">MIN(N('My Debts'!$E$15),K251)</f>
        <v>0</v>
      </c>
      <c r="V251" s="39" t="n">
        <f aca="false">ROUND(B251-L251-MIN(B251-L251,MAX(0,$AF251-SUMPRODUCT(--($B$4:$K$4&lt;B$4),$B251:$K251-$L251:$U251))),2)</f>
        <v>0</v>
      </c>
      <c r="W251" s="39" t="n">
        <f aca="false">ROUND(C251-M251-MIN(C251-M251,MAX(0,$AF251-SUMPRODUCT(--($B$4:$K$4&lt;C$4),$B251:$K251-$L251:$U251))),2)</f>
        <v>0</v>
      </c>
      <c r="X251" s="39" t="n">
        <f aca="false">ROUND(D251-N251-MIN(D251-N251,MAX(0,$AF251-SUMPRODUCT(--($B$4:$K$4&lt;D$4),$B251:$K251-$L251:$U251))),2)</f>
        <v>0</v>
      </c>
      <c r="Y251" s="39" t="n">
        <f aca="false">ROUND(E251-O251-MIN(E251-O251,MAX(0,$AF251-SUMPRODUCT(--($B$4:$K$4&lt;E$4),$B251:$K251-$L251:$U251))),2)</f>
        <v>0</v>
      </c>
      <c r="Z251" s="39" t="n">
        <f aca="false">ROUND(F251-P251-MIN(F251-P251,MAX(0,$AF251-SUMPRODUCT(--($B$4:$K$4&lt;F$4),$B251:$K251-$L251:$U251))),2)</f>
        <v>0</v>
      </c>
      <c r="AA251" s="39" t="n">
        <f aca="false">ROUND(G251-Q251-MIN(G251-Q251,MAX(0,$AF251-SUMPRODUCT(--($B$4:$K$4&lt;G$4),$B251:$K251-$L251:$U251))),2)</f>
        <v>0</v>
      </c>
      <c r="AB251" s="39" t="n">
        <f aca="false">ROUND(H251-R251-MIN(H251-R251,MAX(0,$AF251-SUMPRODUCT(--($B$4:$K$4&lt;H$4),$B251:$K251-$L251:$U251))),2)</f>
        <v>0</v>
      </c>
      <c r="AC251" s="39" t="n">
        <f aca="false">ROUND(I251-S251-MIN(I251-S251,MAX(0,$AF251-SUMPRODUCT(--($B$4:$K$4&lt;I$4),$B251:$K251-$L251:$U251))),2)</f>
        <v>0</v>
      </c>
      <c r="AD251" s="39" t="n">
        <f aca="false">ROUND(J251-T251-MIN(J251-T251,MAX(0,$AF251-SUMPRODUCT(--($B$4:$K$4&lt;J$4),$B251:$K251-$L251:$U251))),2)</f>
        <v>0</v>
      </c>
      <c r="AE251" s="39" t="n">
        <f aca="false">ROUND(K251-U251-MIN(K251-U251,MAX(0,$AF251-SUMPRODUCT(--($B$4:$K$4&lt;K$4),$B251:$K251-$L251:$U251))),2)</f>
        <v>0</v>
      </c>
      <c r="AF251" s="39" t="n">
        <f aca="false">MAX(0,'Start Here'!$C$5-SUM($L251:$U251))</f>
        <v>1200</v>
      </c>
      <c r="AG251" s="39" t="n">
        <f aca="false">SUM(V251:AE251)</f>
        <v>0</v>
      </c>
      <c r="AH251" s="39" t="n">
        <f aca="false">SUM(B251:K251)-AG250</f>
        <v>0</v>
      </c>
    </row>
    <row r="252" customFormat="false" ht="15" hidden="false" customHeight="false" outlineLevel="0" collapsed="false">
      <c r="A252" s="40" t="n">
        <f aca="false">DATE(YEAR('Start Here'!$C$6),MONTH('Start Here'!$C$6)+245,1)</f>
        <v>53752</v>
      </c>
      <c r="B252" s="39" t="n">
        <f aca="false">ROUND(V251*(1+N('My Debts'!$D$6)/12),2)</f>
        <v>0</v>
      </c>
      <c r="C252" s="39" t="n">
        <f aca="false">ROUND(W251*(1+N('My Debts'!$D$7)/12),2)</f>
        <v>0</v>
      </c>
      <c r="D252" s="39" t="n">
        <f aca="false">ROUND(X251*(1+N('My Debts'!$D$8)/12),2)</f>
        <v>0</v>
      </c>
      <c r="E252" s="39" t="n">
        <f aca="false">ROUND(Y251*(1+N('My Debts'!$D$9)/12),2)</f>
        <v>0</v>
      </c>
      <c r="F252" s="39" t="n">
        <f aca="false">ROUND(Z251*(1+N('My Debts'!$D$10)/12),2)</f>
        <v>0</v>
      </c>
      <c r="G252" s="39" t="n">
        <f aca="false">ROUND(AA251*(1+N('My Debts'!$D$11)/12),2)</f>
        <v>0</v>
      </c>
      <c r="H252" s="39" t="n">
        <f aca="false">ROUND(AB251*(1+N('My Debts'!$D$12)/12),2)</f>
        <v>0</v>
      </c>
      <c r="I252" s="39" t="n">
        <f aca="false">ROUND(AC251*(1+N('My Debts'!$D$13)/12),2)</f>
        <v>0</v>
      </c>
      <c r="J252" s="39" t="n">
        <f aca="false">ROUND(AD251*(1+N('My Debts'!$D$14)/12),2)</f>
        <v>0</v>
      </c>
      <c r="K252" s="39" t="n">
        <f aca="false">ROUND(AE251*(1+N('My Debts'!$D$15)/12),2)</f>
        <v>0</v>
      </c>
      <c r="L252" s="39" t="n">
        <f aca="false">MIN(N('My Debts'!$E$6),B252)</f>
        <v>0</v>
      </c>
      <c r="M252" s="39" t="n">
        <f aca="false">MIN(N('My Debts'!$E$7),C252)</f>
        <v>0</v>
      </c>
      <c r="N252" s="39" t="n">
        <f aca="false">MIN(N('My Debts'!$E$8),D252)</f>
        <v>0</v>
      </c>
      <c r="O252" s="39" t="n">
        <f aca="false">MIN(N('My Debts'!$E$9),E252)</f>
        <v>0</v>
      </c>
      <c r="P252" s="39" t="n">
        <f aca="false">MIN(N('My Debts'!$E$10),F252)</f>
        <v>0</v>
      </c>
      <c r="Q252" s="39" t="n">
        <f aca="false">MIN(N('My Debts'!$E$11),G252)</f>
        <v>0</v>
      </c>
      <c r="R252" s="39" t="n">
        <f aca="false">MIN(N('My Debts'!$E$12),H252)</f>
        <v>0</v>
      </c>
      <c r="S252" s="39" t="n">
        <f aca="false">MIN(N('My Debts'!$E$13),I252)</f>
        <v>0</v>
      </c>
      <c r="T252" s="39" t="n">
        <f aca="false">MIN(N('My Debts'!$E$14),J252)</f>
        <v>0</v>
      </c>
      <c r="U252" s="39" t="n">
        <f aca="false">MIN(N('My Debts'!$E$15),K252)</f>
        <v>0</v>
      </c>
      <c r="V252" s="39" t="n">
        <f aca="false">ROUND(B252-L252-MIN(B252-L252,MAX(0,$AF252-SUMPRODUCT(--($B$4:$K$4&lt;B$4),$B252:$K252-$L252:$U252))),2)</f>
        <v>0</v>
      </c>
      <c r="W252" s="39" t="n">
        <f aca="false">ROUND(C252-M252-MIN(C252-M252,MAX(0,$AF252-SUMPRODUCT(--($B$4:$K$4&lt;C$4),$B252:$K252-$L252:$U252))),2)</f>
        <v>0</v>
      </c>
      <c r="X252" s="39" t="n">
        <f aca="false">ROUND(D252-N252-MIN(D252-N252,MAX(0,$AF252-SUMPRODUCT(--($B$4:$K$4&lt;D$4),$B252:$K252-$L252:$U252))),2)</f>
        <v>0</v>
      </c>
      <c r="Y252" s="39" t="n">
        <f aca="false">ROUND(E252-O252-MIN(E252-O252,MAX(0,$AF252-SUMPRODUCT(--($B$4:$K$4&lt;E$4),$B252:$K252-$L252:$U252))),2)</f>
        <v>0</v>
      </c>
      <c r="Z252" s="39" t="n">
        <f aca="false">ROUND(F252-P252-MIN(F252-P252,MAX(0,$AF252-SUMPRODUCT(--($B$4:$K$4&lt;F$4),$B252:$K252-$L252:$U252))),2)</f>
        <v>0</v>
      </c>
      <c r="AA252" s="39" t="n">
        <f aca="false">ROUND(G252-Q252-MIN(G252-Q252,MAX(0,$AF252-SUMPRODUCT(--($B$4:$K$4&lt;G$4),$B252:$K252-$L252:$U252))),2)</f>
        <v>0</v>
      </c>
      <c r="AB252" s="39" t="n">
        <f aca="false">ROUND(H252-R252-MIN(H252-R252,MAX(0,$AF252-SUMPRODUCT(--($B$4:$K$4&lt;H$4),$B252:$K252-$L252:$U252))),2)</f>
        <v>0</v>
      </c>
      <c r="AC252" s="39" t="n">
        <f aca="false">ROUND(I252-S252-MIN(I252-S252,MAX(0,$AF252-SUMPRODUCT(--($B$4:$K$4&lt;I$4),$B252:$K252-$L252:$U252))),2)</f>
        <v>0</v>
      </c>
      <c r="AD252" s="39" t="n">
        <f aca="false">ROUND(J252-T252-MIN(J252-T252,MAX(0,$AF252-SUMPRODUCT(--($B$4:$K$4&lt;J$4),$B252:$K252-$L252:$U252))),2)</f>
        <v>0</v>
      </c>
      <c r="AE252" s="39" t="n">
        <f aca="false">ROUND(K252-U252-MIN(K252-U252,MAX(0,$AF252-SUMPRODUCT(--($B$4:$K$4&lt;K$4),$B252:$K252-$L252:$U252))),2)</f>
        <v>0</v>
      </c>
      <c r="AF252" s="39" t="n">
        <f aca="false">MAX(0,'Start Here'!$C$5-SUM($L252:$U252))</f>
        <v>1200</v>
      </c>
      <c r="AG252" s="39" t="n">
        <f aca="false">SUM(V252:AE252)</f>
        <v>0</v>
      </c>
      <c r="AH252" s="39" t="n">
        <f aca="false">SUM(B252:K252)-AG251</f>
        <v>0</v>
      </c>
    </row>
    <row r="253" customFormat="false" ht="15" hidden="false" customHeight="false" outlineLevel="0" collapsed="false">
      <c r="A253" s="40" t="n">
        <f aca="false">DATE(YEAR('Start Here'!$C$6),MONTH('Start Here'!$C$6)+246,1)</f>
        <v>53783</v>
      </c>
      <c r="B253" s="39" t="n">
        <f aca="false">ROUND(V252*(1+N('My Debts'!$D$6)/12),2)</f>
        <v>0</v>
      </c>
      <c r="C253" s="39" t="n">
        <f aca="false">ROUND(W252*(1+N('My Debts'!$D$7)/12),2)</f>
        <v>0</v>
      </c>
      <c r="D253" s="39" t="n">
        <f aca="false">ROUND(X252*(1+N('My Debts'!$D$8)/12),2)</f>
        <v>0</v>
      </c>
      <c r="E253" s="39" t="n">
        <f aca="false">ROUND(Y252*(1+N('My Debts'!$D$9)/12),2)</f>
        <v>0</v>
      </c>
      <c r="F253" s="39" t="n">
        <f aca="false">ROUND(Z252*(1+N('My Debts'!$D$10)/12),2)</f>
        <v>0</v>
      </c>
      <c r="G253" s="39" t="n">
        <f aca="false">ROUND(AA252*(1+N('My Debts'!$D$11)/12),2)</f>
        <v>0</v>
      </c>
      <c r="H253" s="39" t="n">
        <f aca="false">ROUND(AB252*(1+N('My Debts'!$D$12)/12),2)</f>
        <v>0</v>
      </c>
      <c r="I253" s="39" t="n">
        <f aca="false">ROUND(AC252*(1+N('My Debts'!$D$13)/12),2)</f>
        <v>0</v>
      </c>
      <c r="J253" s="39" t="n">
        <f aca="false">ROUND(AD252*(1+N('My Debts'!$D$14)/12),2)</f>
        <v>0</v>
      </c>
      <c r="K253" s="39" t="n">
        <f aca="false">ROUND(AE252*(1+N('My Debts'!$D$15)/12),2)</f>
        <v>0</v>
      </c>
      <c r="L253" s="39" t="n">
        <f aca="false">MIN(N('My Debts'!$E$6),B253)</f>
        <v>0</v>
      </c>
      <c r="M253" s="39" t="n">
        <f aca="false">MIN(N('My Debts'!$E$7),C253)</f>
        <v>0</v>
      </c>
      <c r="N253" s="39" t="n">
        <f aca="false">MIN(N('My Debts'!$E$8),D253)</f>
        <v>0</v>
      </c>
      <c r="O253" s="39" t="n">
        <f aca="false">MIN(N('My Debts'!$E$9),E253)</f>
        <v>0</v>
      </c>
      <c r="P253" s="39" t="n">
        <f aca="false">MIN(N('My Debts'!$E$10),F253)</f>
        <v>0</v>
      </c>
      <c r="Q253" s="39" t="n">
        <f aca="false">MIN(N('My Debts'!$E$11),G253)</f>
        <v>0</v>
      </c>
      <c r="R253" s="39" t="n">
        <f aca="false">MIN(N('My Debts'!$E$12),H253)</f>
        <v>0</v>
      </c>
      <c r="S253" s="39" t="n">
        <f aca="false">MIN(N('My Debts'!$E$13),I253)</f>
        <v>0</v>
      </c>
      <c r="T253" s="39" t="n">
        <f aca="false">MIN(N('My Debts'!$E$14),J253)</f>
        <v>0</v>
      </c>
      <c r="U253" s="39" t="n">
        <f aca="false">MIN(N('My Debts'!$E$15),K253)</f>
        <v>0</v>
      </c>
      <c r="V253" s="39" t="n">
        <f aca="false">ROUND(B253-L253-MIN(B253-L253,MAX(0,$AF253-SUMPRODUCT(--($B$4:$K$4&lt;B$4),$B253:$K253-$L253:$U253))),2)</f>
        <v>0</v>
      </c>
      <c r="W253" s="39" t="n">
        <f aca="false">ROUND(C253-M253-MIN(C253-M253,MAX(0,$AF253-SUMPRODUCT(--($B$4:$K$4&lt;C$4),$B253:$K253-$L253:$U253))),2)</f>
        <v>0</v>
      </c>
      <c r="X253" s="39" t="n">
        <f aca="false">ROUND(D253-N253-MIN(D253-N253,MAX(0,$AF253-SUMPRODUCT(--($B$4:$K$4&lt;D$4),$B253:$K253-$L253:$U253))),2)</f>
        <v>0</v>
      </c>
      <c r="Y253" s="39" t="n">
        <f aca="false">ROUND(E253-O253-MIN(E253-O253,MAX(0,$AF253-SUMPRODUCT(--($B$4:$K$4&lt;E$4),$B253:$K253-$L253:$U253))),2)</f>
        <v>0</v>
      </c>
      <c r="Z253" s="39" t="n">
        <f aca="false">ROUND(F253-P253-MIN(F253-P253,MAX(0,$AF253-SUMPRODUCT(--($B$4:$K$4&lt;F$4),$B253:$K253-$L253:$U253))),2)</f>
        <v>0</v>
      </c>
      <c r="AA253" s="39" t="n">
        <f aca="false">ROUND(G253-Q253-MIN(G253-Q253,MAX(0,$AF253-SUMPRODUCT(--($B$4:$K$4&lt;G$4),$B253:$K253-$L253:$U253))),2)</f>
        <v>0</v>
      </c>
      <c r="AB253" s="39" t="n">
        <f aca="false">ROUND(H253-R253-MIN(H253-R253,MAX(0,$AF253-SUMPRODUCT(--($B$4:$K$4&lt;H$4),$B253:$K253-$L253:$U253))),2)</f>
        <v>0</v>
      </c>
      <c r="AC253" s="39" t="n">
        <f aca="false">ROUND(I253-S253-MIN(I253-S253,MAX(0,$AF253-SUMPRODUCT(--($B$4:$K$4&lt;I$4),$B253:$K253-$L253:$U253))),2)</f>
        <v>0</v>
      </c>
      <c r="AD253" s="39" t="n">
        <f aca="false">ROUND(J253-T253-MIN(J253-T253,MAX(0,$AF253-SUMPRODUCT(--($B$4:$K$4&lt;J$4),$B253:$K253-$L253:$U253))),2)</f>
        <v>0</v>
      </c>
      <c r="AE253" s="39" t="n">
        <f aca="false">ROUND(K253-U253-MIN(K253-U253,MAX(0,$AF253-SUMPRODUCT(--($B$4:$K$4&lt;K$4),$B253:$K253-$L253:$U253))),2)</f>
        <v>0</v>
      </c>
      <c r="AF253" s="39" t="n">
        <f aca="false">MAX(0,'Start Here'!$C$5-SUM($L253:$U253))</f>
        <v>1200</v>
      </c>
      <c r="AG253" s="39" t="n">
        <f aca="false">SUM(V253:AE253)</f>
        <v>0</v>
      </c>
      <c r="AH253" s="39" t="n">
        <f aca="false">SUM(B253:K253)-AG252</f>
        <v>0</v>
      </c>
    </row>
    <row r="254" customFormat="false" ht="15" hidden="false" customHeight="false" outlineLevel="0" collapsed="false">
      <c r="A254" s="40" t="n">
        <f aca="false">DATE(YEAR('Start Here'!$C$6),MONTH('Start Here'!$C$6)+247,1)</f>
        <v>53813</v>
      </c>
      <c r="B254" s="39" t="n">
        <f aca="false">ROUND(V253*(1+N('My Debts'!$D$6)/12),2)</f>
        <v>0</v>
      </c>
      <c r="C254" s="39" t="n">
        <f aca="false">ROUND(W253*(1+N('My Debts'!$D$7)/12),2)</f>
        <v>0</v>
      </c>
      <c r="D254" s="39" t="n">
        <f aca="false">ROUND(X253*(1+N('My Debts'!$D$8)/12),2)</f>
        <v>0</v>
      </c>
      <c r="E254" s="39" t="n">
        <f aca="false">ROUND(Y253*(1+N('My Debts'!$D$9)/12),2)</f>
        <v>0</v>
      </c>
      <c r="F254" s="39" t="n">
        <f aca="false">ROUND(Z253*(1+N('My Debts'!$D$10)/12),2)</f>
        <v>0</v>
      </c>
      <c r="G254" s="39" t="n">
        <f aca="false">ROUND(AA253*(1+N('My Debts'!$D$11)/12),2)</f>
        <v>0</v>
      </c>
      <c r="H254" s="39" t="n">
        <f aca="false">ROUND(AB253*(1+N('My Debts'!$D$12)/12),2)</f>
        <v>0</v>
      </c>
      <c r="I254" s="39" t="n">
        <f aca="false">ROUND(AC253*(1+N('My Debts'!$D$13)/12),2)</f>
        <v>0</v>
      </c>
      <c r="J254" s="39" t="n">
        <f aca="false">ROUND(AD253*(1+N('My Debts'!$D$14)/12),2)</f>
        <v>0</v>
      </c>
      <c r="K254" s="39" t="n">
        <f aca="false">ROUND(AE253*(1+N('My Debts'!$D$15)/12),2)</f>
        <v>0</v>
      </c>
      <c r="L254" s="39" t="n">
        <f aca="false">MIN(N('My Debts'!$E$6),B254)</f>
        <v>0</v>
      </c>
      <c r="M254" s="39" t="n">
        <f aca="false">MIN(N('My Debts'!$E$7),C254)</f>
        <v>0</v>
      </c>
      <c r="N254" s="39" t="n">
        <f aca="false">MIN(N('My Debts'!$E$8),D254)</f>
        <v>0</v>
      </c>
      <c r="O254" s="39" t="n">
        <f aca="false">MIN(N('My Debts'!$E$9),E254)</f>
        <v>0</v>
      </c>
      <c r="P254" s="39" t="n">
        <f aca="false">MIN(N('My Debts'!$E$10),F254)</f>
        <v>0</v>
      </c>
      <c r="Q254" s="39" t="n">
        <f aca="false">MIN(N('My Debts'!$E$11),G254)</f>
        <v>0</v>
      </c>
      <c r="R254" s="39" t="n">
        <f aca="false">MIN(N('My Debts'!$E$12),H254)</f>
        <v>0</v>
      </c>
      <c r="S254" s="39" t="n">
        <f aca="false">MIN(N('My Debts'!$E$13),I254)</f>
        <v>0</v>
      </c>
      <c r="T254" s="39" t="n">
        <f aca="false">MIN(N('My Debts'!$E$14),J254)</f>
        <v>0</v>
      </c>
      <c r="U254" s="39" t="n">
        <f aca="false">MIN(N('My Debts'!$E$15),K254)</f>
        <v>0</v>
      </c>
      <c r="V254" s="39" t="n">
        <f aca="false">ROUND(B254-L254-MIN(B254-L254,MAX(0,$AF254-SUMPRODUCT(--($B$4:$K$4&lt;B$4),$B254:$K254-$L254:$U254))),2)</f>
        <v>0</v>
      </c>
      <c r="W254" s="39" t="n">
        <f aca="false">ROUND(C254-M254-MIN(C254-M254,MAX(0,$AF254-SUMPRODUCT(--($B$4:$K$4&lt;C$4),$B254:$K254-$L254:$U254))),2)</f>
        <v>0</v>
      </c>
      <c r="X254" s="39" t="n">
        <f aca="false">ROUND(D254-N254-MIN(D254-N254,MAX(0,$AF254-SUMPRODUCT(--($B$4:$K$4&lt;D$4),$B254:$K254-$L254:$U254))),2)</f>
        <v>0</v>
      </c>
      <c r="Y254" s="39" t="n">
        <f aca="false">ROUND(E254-O254-MIN(E254-O254,MAX(0,$AF254-SUMPRODUCT(--($B$4:$K$4&lt;E$4),$B254:$K254-$L254:$U254))),2)</f>
        <v>0</v>
      </c>
      <c r="Z254" s="39" t="n">
        <f aca="false">ROUND(F254-P254-MIN(F254-P254,MAX(0,$AF254-SUMPRODUCT(--($B$4:$K$4&lt;F$4),$B254:$K254-$L254:$U254))),2)</f>
        <v>0</v>
      </c>
      <c r="AA254" s="39" t="n">
        <f aca="false">ROUND(G254-Q254-MIN(G254-Q254,MAX(0,$AF254-SUMPRODUCT(--($B$4:$K$4&lt;G$4),$B254:$K254-$L254:$U254))),2)</f>
        <v>0</v>
      </c>
      <c r="AB254" s="39" t="n">
        <f aca="false">ROUND(H254-R254-MIN(H254-R254,MAX(0,$AF254-SUMPRODUCT(--($B$4:$K$4&lt;H$4),$B254:$K254-$L254:$U254))),2)</f>
        <v>0</v>
      </c>
      <c r="AC254" s="39" t="n">
        <f aca="false">ROUND(I254-S254-MIN(I254-S254,MAX(0,$AF254-SUMPRODUCT(--($B$4:$K$4&lt;I$4),$B254:$K254-$L254:$U254))),2)</f>
        <v>0</v>
      </c>
      <c r="AD254" s="39" t="n">
        <f aca="false">ROUND(J254-T254-MIN(J254-T254,MAX(0,$AF254-SUMPRODUCT(--($B$4:$K$4&lt;J$4),$B254:$K254-$L254:$U254))),2)</f>
        <v>0</v>
      </c>
      <c r="AE254" s="39" t="n">
        <f aca="false">ROUND(K254-U254-MIN(K254-U254,MAX(0,$AF254-SUMPRODUCT(--($B$4:$K$4&lt;K$4),$B254:$K254-$L254:$U254))),2)</f>
        <v>0</v>
      </c>
      <c r="AF254" s="39" t="n">
        <f aca="false">MAX(0,'Start Here'!$C$5-SUM($L254:$U254))</f>
        <v>1200</v>
      </c>
      <c r="AG254" s="39" t="n">
        <f aca="false">SUM(V254:AE254)</f>
        <v>0</v>
      </c>
      <c r="AH254" s="39" t="n">
        <f aca="false">SUM(B254:K254)-AG253</f>
        <v>0</v>
      </c>
    </row>
    <row r="255" customFormat="false" ht="15" hidden="false" customHeight="false" outlineLevel="0" collapsed="false">
      <c r="A255" s="40" t="n">
        <f aca="false">DATE(YEAR('Start Here'!$C$6),MONTH('Start Here'!$C$6)+248,1)</f>
        <v>53844</v>
      </c>
      <c r="B255" s="39" t="n">
        <f aca="false">ROUND(V254*(1+N('My Debts'!$D$6)/12),2)</f>
        <v>0</v>
      </c>
      <c r="C255" s="39" t="n">
        <f aca="false">ROUND(W254*(1+N('My Debts'!$D$7)/12),2)</f>
        <v>0</v>
      </c>
      <c r="D255" s="39" t="n">
        <f aca="false">ROUND(X254*(1+N('My Debts'!$D$8)/12),2)</f>
        <v>0</v>
      </c>
      <c r="E255" s="39" t="n">
        <f aca="false">ROUND(Y254*(1+N('My Debts'!$D$9)/12),2)</f>
        <v>0</v>
      </c>
      <c r="F255" s="39" t="n">
        <f aca="false">ROUND(Z254*(1+N('My Debts'!$D$10)/12),2)</f>
        <v>0</v>
      </c>
      <c r="G255" s="39" t="n">
        <f aca="false">ROUND(AA254*(1+N('My Debts'!$D$11)/12),2)</f>
        <v>0</v>
      </c>
      <c r="H255" s="39" t="n">
        <f aca="false">ROUND(AB254*(1+N('My Debts'!$D$12)/12),2)</f>
        <v>0</v>
      </c>
      <c r="I255" s="39" t="n">
        <f aca="false">ROUND(AC254*(1+N('My Debts'!$D$13)/12),2)</f>
        <v>0</v>
      </c>
      <c r="J255" s="39" t="n">
        <f aca="false">ROUND(AD254*(1+N('My Debts'!$D$14)/12),2)</f>
        <v>0</v>
      </c>
      <c r="K255" s="39" t="n">
        <f aca="false">ROUND(AE254*(1+N('My Debts'!$D$15)/12),2)</f>
        <v>0</v>
      </c>
      <c r="L255" s="39" t="n">
        <f aca="false">MIN(N('My Debts'!$E$6),B255)</f>
        <v>0</v>
      </c>
      <c r="M255" s="39" t="n">
        <f aca="false">MIN(N('My Debts'!$E$7),C255)</f>
        <v>0</v>
      </c>
      <c r="N255" s="39" t="n">
        <f aca="false">MIN(N('My Debts'!$E$8),D255)</f>
        <v>0</v>
      </c>
      <c r="O255" s="39" t="n">
        <f aca="false">MIN(N('My Debts'!$E$9),E255)</f>
        <v>0</v>
      </c>
      <c r="P255" s="39" t="n">
        <f aca="false">MIN(N('My Debts'!$E$10),F255)</f>
        <v>0</v>
      </c>
      <c r="Q255" s="39" t="n">
        <f aca="false">MIN(N('My Debts'!$E$11),G255)</f>
        <v>0</v>
      </c>
      <c r="R255" s="39" t="n">
        <f aca="false">MIN(N('My Debts'!$E$12),H255)</f>
        <v>0</v>
      </c>
      <c r="S255" s="39" t="n">
        <f aca="false">MIN(N('My Debts'!$E$13),I255)</f>
        <v>0</v>
      </c>
      <c r="T255" s="39" t="n">
        <f aca="false">MIN(N('My Debts'!$E$14),J255)</f>
        <v>0</v>
      </c>
      <c r="U255" s="39" t="n">
        <f aca="false">MIN(N('My Debts'!$E$15),K255)</f>
        <v>0</v>
      </c>
      <c r="V255" s="39" t="n">
        <f aca="false">ROUND(B255-L255-MIN(B255-L255,MAX(0,$AF255-SUMPRODUCT(--($B$4:$K$4&lt;B$4),$B255:$K255-$L255:$U255))),2)</f>
        <v>0</v>
      </c>
      <c r="W255" s="39" t="n">
        <f aca="false">ROUND(C255-M255-MIN(C255-M255,MAX(0,$AF255-SUMPRODUCT(--($B$4:$K$4&lt;C$4),$B255:$K255-$L255:$U255))),2)</f>
        <v>0</v>
      </c>
      <c r="X255" s="39" t="n">
        <f aca="false">ROUND(D255-N255-MIN(D255-N255,MAX(0,$AF255-SUMPRODUCT(--($B$4:$K$4&lt;D$4),$B255:$K255-$L255:$U255))),2)</f>
        <v>0</v>
      </c>
      <c r="Y255" s="39" t="n">
        <f aca="false">ROUND(E255-O255-MIN(E255-O255,MAX(0,$AF255-SUMPRODUCT(--($B$4:$K$4&lt;E$4),$B255:$K255-$L255:$U255))),2)</f>
        <v>0</v>
      </c>
      <c r="Z255" s="39" t="n">
        <f aca="false">ROUND(F255-P255-MIN(F255-P255,MAX(0,$AF255-SUMPRODUCT(--($B$4:$K$4&lt;F$4),$B255:$K255-$L255:$U255))),2)</f>
        <v>0</v>
      </c>
      <c r="AA255" s="39" t="n">
        <f aca="false">ROUND(G255-Q255-MIN(G255-Q255,MAX(0,$AF255-SUMPRODUCT(--($B$4:$K$4&lt;G$4),$B255:$K255-$L255:$U255))),2)</f>
        <v>0</v>
      </c>
      <c r="AB255" s="39" t="n">
        <f aca="false">ROUND(H255-R255-MIN(H255-R255,MAX(0,$AF255-SUMPRODUCT(--($B$4:$K$4&lt;H$4),$B255:$K255-$L255:$U255))),2)</f>
        <v>0</v>
      </c>
      <c r="AC255" s="39" t="n">
        <f aca="false">ROUND(I255-S255-MIN(I255-S255,MAX(0,$AF255-SUMPRODUCT(--($B$4:$K$4&lt;I$4),$B255:$K255-$L255:$U255))),2)</f>
        <v>0</v>
      </c>
      <c r="AD255" s="39" t="n">
        <f aca="false">ROUND(J255-T255-MIN(J255-T255,MAX(0,$AF255-SUMPRODUCT(--($B$4:$K$4&lt;J$4),$B255:$K255-$L255:$U255))),2)</f>
        <v>0</v>
      </c>
      <c r="AE255" s="39" t="n">
        <f aca="false">ROUND(K255-U255-MIN(K255-U255,MAX(0,$AF255-SUMPRODUCT(--($B$4:$K$4&lt;K$4),$B255:$K255-$L255:$U255))),2)</f>
        <v>0</v>
      </c>
      <c r="AF255" s="39" t="n">
        <f aca="false">MAX(0,'Start Here'!$C$5-SUM($L255:$U255))</f>
        <v>1200</v>
      </c>
      <c r="AG255" s="39" t="n">
        <f aca="false">SUM(V255:AE255)</f>
        <v>0</v>
      </c>
      <c r="AH255" s="39" t="n">
        <f aca="false">SUM(B255:K255)-AG254</f>
        <v>0</v>
      </c>
    </row>
    <row r="256" customFormat="false" ht="15" hidden="false" customHeight="false" outlineLevel="0" collapsed="false">
      <c r="A256" s="40" t="n">
        <f aca="false">DATE(YEAR('Start Here'!$C$6),MONTH('Start Here'!$C$6)+249,1)</f>
        <v>53874</v>
      </c>
      <c r="B256" s="39" t="n">
        <f aca="false">ROUND(V255*(1+N('My Debts'!$D$6)/12),2)</f>
        <v>0</v>
      </c>
      <c r="C256" s="39" t="n">
        <f aca="false">ROUND(W255*(1+N('My Debts'!$D$7)/12),2)</f>
        <v>0</v>
      </c>
      <c r="D256" s="39" t="n">
        <f aca="false">ROUND(X255*(1+N('My Debts'!$D$8)/12),2)</f>
        <v>0</v>
      </c>
      <c r="E256" s="39" t="n">
        <f aca="false">ROUND(Y255*(1+N('My Debts'!$D$9)/12),2)</f>
        <v>0</v>
      </c>
      <c r="F256" s="39" t="n">
        <f aca="false">ROUND(Z255*(1+N('My Debts'!$D$10)/12),2)</f>
        <v>0</v>
      </c>
      <c r="G256" s="39" t="n">
        <f aca="false">ROUND(AA255*(1+N('My Debts'!$D$11)/12),2)</f>
        <v>0</v>
      </c>
      <c r="H256" s="39" t="n">
        <f aca="false">ROUND(AB255*(1+N('My Debts'!$D$12)/12),2)</f>
        <v>0</v>
      </c>
      <c r="I256" s="39" t="n">
        <f aca="false">ROUND(AC255*(1+N('My Debts'!$D$13)/12),2)</f>
        <v>0</v>
      </c>
      <c r="J256" s="39" t="n">
        <f aca="false">ROUND(AD255*(1+N('My Debts'!$D$14)/12),2)</f>
        <v>0</v>
      </c>
      <c r="K256" s="39" t="n">
        <f aca="false">ROUND(AE255*(1+N('My Debts'!$D$15)/12),2)</f>
        <v>0</v>
      </c>
      <c r="L256" s="39" t="n">
        <f aca="false">MIN(N('My Debts'!$E$6),B256)</f>
        <v>0</v>
      </c>
      <c r="M256" s="39" t="n">
        <f aca="false">MIN(N('My Debts'!$E$7),C256)</f>
        <v>0</v>
      </c>
      <c r="N256" s="39" t="n">
        <f aca="false">MIN(N('My Debts'!$E$8),D256)</f>
        <v>0</v>
      </c>
      <c r="O256" s="39" t="n">
        <f aca="false">MIN(N('My Debts'!$E$9),E256)</f>
        <v>0</v>
      </c>
      <c r="P256" s="39" t="n">
        <f aca="false">MIN(N('My Debts'!$E$10),F256)</f>
        <v>0</v>
      </c>
      <c r="Q256" s="39" t="n">
        <f aca="false">MIN(N('My Debts'!$E$11),G256)</f>
        <v>0</v>
      </c>
      <c r="R256" s="39" t="n">
        <f aca="false">MIN(N('My Debts'!$E$12),H256)</f>
        <v>0</v>
      </c>
      <c r="S256" s="39" t="n">
        <f aca="false">MIN(N('My Debts'!$E$13),I256)</f>
        <v>0</v>
      </c>
      <c r="T256" s="39" t="n">
        <f aca="false">MIN(N('My Debts'!$E$14),J256)</f>
        <v>0</v>
      </c>
      <c r="U256" s="39" t="n">
        <f aca="false">MIN(N('My Debts'!$E$15),K256)</f>
        <v>0</v>
      </c>
      <c r="V256" s="39" t="n">
        <f aca="false">ROUND(B256-L256-MIN(B256-L256,MAX(0,$AF256-SUMPRODUCT(--($B$4:$K$4&lt;B$4),$B256:$K256-$L256:$U256))),2)</f>
        <v>0</v>
      </c>
      <c r="W256" s="39" t="n">
        <f aca="false">ROUND(C256-M256-MIN(C256-M256,MAX(0,$AF256-SUMPRODUCT(--($B$4:$K$4&lt;C$4),$B256:$K256-$L256:$U256))),2)</f>
        <v>0</v>
      </c>
      <c r="X256" s="39" t="n">
        <f aca="false">ROUND(D256-N256-MIN(D256-N256,MAX(0,$AF256-SUMPRODUCT(--($B$4:$K$4&lt;D$4),$B256:$K256-$L256:$U256))),2)</f>
        <v>0</v>
      </c>
      <c r="Y256" s="39" t="n">
        <f aca="false">ROUND(E256-O256-MIN(E256-O256,MAX(0,$AF256-SUMPRODUCT(--($B$4:$K$4&lt;E$4),$B256:$K256-$L256:$U256))),2)</f>
        <v>0</v>
      </c>
      <c r="Z256" s="39" t="n">
        <f aca="false">ROUND(F256-P256-MIN(F256-P256,MAX(0,$AF256-SUMPRODUCT(--($B$4:$K$4&lt;F$4),$B256:$K256-$L256:$U256))),2)</f>
        <v>0</v>
      </c>
      <c r="AA256" s="39" t="n">
        <f aca="false">ROUND(G256-Q256-MIN(G256-Q256,MAX(0,$AF256-SUMPRODUCT(--($B$4:$K$4&lt;G$4),$B256:$K256-$L256:$U256))),2)</f>
        <v>0</v>
      </c>
      <c r="AB256" s="39" t="n">
        <f aca="false">ROUND(H256-R256-MIN(H256-R256,MAX(0,$AF256-SUMPRODUCT(--($B$4:$K$4&lt;H$4),$B256:$K256-$L256:$U256))),2)</f>
        <v>0</v>
      </c>
      <c r="AC256" s="39" t="n">
        <f aca="false">ROUND(I256-S256-MIN(I256-S256,MAX(0,$AF256-SUMPRODUCT(--($B$4:$K$4&lt;I$4),$B256:$K256-$L256:$U256))),2)</f>
        <v>0</v>
      </c>
      <c r="AD256" s="39" t="n">
        <f aca="false">ROUND(J256-T256-MIN(J256-T256,MAX(0,$AF256-SUMPRODUCT(--($B$4:$K$4&lt;J$4),$B256:$K256-$L256:$U256))),2)</f>
        <v>0</v>
      </c>
      <c r="AE256" s="39" t="n">
        <f aca="false">ROUND(K256-U256-MIN(K256-U256,MAX(0,$AF256-SUMPRODUCT(--($B$4:$K$4&lt;K$4),$B256:$K256-$L256:$U256))),2)</f>
        <v>0</v>
      </c>
      <c r="AF256" s="39" t="n">
        <f aca="false">MAX(0,'Start Here'!$C$5-SUM($L256:$U256))</f>
        <v>1200</v>
      </c>
      <c r="AG256" s="39" t="n">
        <f aca="false">SUM(V256:AE256)</f>
        <v>0</v>
      </c>
      <c r="AH256" s="39" t="n">
        <f aca="false">SUM(B256:K256)-AG255</f>
        <v>0</v>
      </c>
    </row>
    <row r="257" customFormat="false" ht="15" hidden="false" customHeight="false" outlineLevel="0" collapsed="false">
      <c r="A257" s="40" t="n">
        <f aca="false">DATE(YEAR('Start Here'!$C$6),MONTH('Start Here'!$C$6)+250,1)</f>
        <v>53905</v>
      </c>
      <c r="B257" s="39" t="n">
        <f aca="false">ROUND(V256*(1+N('My Debts'!$D$6)/12),2)</f>
        <v>0</v>
      </c>
      <c r="C257" s="39" t="n">
        <f aca="false">ROUND(W256*(1+N('My Debts'!$D$7)/12),2)</f>
        <v>0</v>
      </c>
      <c r="D257" s="39" t="n">
        <f aca="false">ROUND(X256*(1+N('My Debts'!$D$8)/12),2)</f>
        <v>0</v>
      </c>
      <c r="E257" s="39" t="n">
        <f aca="false">ROUND(Y256*(1+N('My Debts'!$D$9)/12),2)</f>
        <v>0</v>
      </c>
      <c r="F257" s="39" t="n">
        <f aca="false">ROUND(Z256*(1+N('My Debts'!$D$10)/12),2)</f>
        <v>0</v>
      </c>
      <c r="G257" s="39" t="n">
        <f aca="false">ROUND(AA256*(1+N('My Debts'!$D$11)/12),2)</f>
        <v>0</v>
      </c>
      <c r="H257" s="39" t="n">
        <f aca="false">ROUND(AB256*(1+N('My Debts'!$D$12)/12),2)</f>
        <v>0</v>
      </c>
      <c r="I257" s="39" t="n">
        <f aca="false">ROUND(AC256*(1+N('My Debts'!$D$13)/12),2)</f>
        <v>0</v>
      </c>
      <c r="J257" s="39" t="n">
        <f aca="false">ROUND(AD256*(1+N('My Debts'!$D$14)/12),2)</f>
        <v>0</v>
      </c>
      <c r="K257" s="39" t="n">
        <f aca="false">ROUND(AE256*(1+N('My Debts'!$D$15)/12),2)</f>
        <v>0</v>
      </c>
      <c r="L257" s="39" t="n">
        <f aca="false">MIN(N('My Debts'!$E$6),B257)</f>
        <v>0</v>
      </c>
      <c r="M257" s="39" t="n">
        <f aca="false">MIN(N('My Debts'!$E$7),C257)</f>
        <v>0</v>
      </c>
      <c r="N257" s="39" t="n">
        <f aca="false">MIN(N('My Debts'!$E$8),D257)</f>
        <v>0</v>
      </c>
      <c r="O257" s="39" t="n">
        <f aca="false">MIN(N('My Debts'!$E$9),E257)</f>
        <v>0</v>
      </c>
      <c r="P257" s="39" t="n">
        <f aca="false">MIN(N('My Debts'!$E$10),F257)</f>
        <v>0</v>
      </c>
      <c r="Q257" s="39" t="n">
        <f aca="false">MIN(N('My Debts'!$E$11),G257)</f>
        <v>0</v>
      </c>
      <c r="R257" s="39" t="n">
        <f aca="false">MIN(N('My Debts'!$E$12),H257)</f>
        <v>0</v>
      </c>
      <c r="S257" s="39" t="n">
        <f aca="false">MIN(N('My Debts'!$E$13),I257)</f>
        <v>0</v>
      </c>
      <c r="T257" s="39" t="n">
        <f aca="false">MIN(N('My Debts'!$E$14),J257)</f>
        <v>0</v>
      </c>
      <c r="U257" s="39" t="n">
        <f aca="false">MIN(N('My Debts'!$E$15),K257)</f>
        <v>0</v>
      </c>
      <c r="V257" s="39" t="n">
        <f aca="false">ROUND(B257-L257-MIN(B257-L257,MAX(0,$AF257-SUMPRODUCT(--($B$4:$K$4&lt;B$4),$B257:$K257-$L257:$U257))),2)</f>
        <v>0</v>
      </c>
      <c r="W257" s="39" t="n">
        <f aca="false">ROUND(C257-M257-MIN(C257-M257,MAX(0,$AF257-SUMPRODUCT(--($B$4:$K$4&lt;C$4),$B257:$K257-$L257:$U257))),2)</f>
        <v>0</v>
      </c>
      <c r="X257" s="39" t="n">
        <f aca="false">ROUND(D257-N257-MIN(D257-N257,MAX(0,$AF257-SUMPRODUCT(--($B$4:$K$4&lt;D$4),$B257:$K257-$L257:$U257))),2)</f>
        <v>0</v>
      </c>
      <c r="Y257" s="39" t="n">
        <f aca="false">ROUND(E257-O257-MIN(E257-O257,MAX(0,$AF257-SUMPRODUCT(--($B$4:$K$4&lt;E$4),$B257:$K257-$L257:$U257))),2)</f>
        <v>0</v>
      </c>
      <c r="Z257" s="39" t="n">
        <f aca="false">ROUND(F257-P257-MIN(F257-P257,MAX(0,$AF257-SUMPRODUCT(--($B$4:$K$4&lt;F$4),$B257:$K257-$L257:$U257))),2)</f>
        <v>0</v>
      </c>
      <c r="AA257" s="39" t="n">
        <f aca="false">ROUND(G257-Q257-MIN(G257-Q257,MAX(0,$AF257-SUMPRODUCT(--($B$4:$K$4&lt;G$4),$B257:$K257-$L257:$U257))),2)</f>
        <v>0</v>
      </c>
      <c r="AB257" s="39" t="n">
        <f aca="false">ROUND(H257-R257-MIN(H257-R257,MAX(0,$AF257-SUMPRODUCT(--($B$4:$K$4&lt;H$4),$B257:$K257-$L257:$U257))),2)</f>
        <v>0</v>
      </c>
      <c r="AC257" s="39" t="n">
        <f aca="false">ROUND(I257-S257-MIN(I257-S257,MAX(0,$AF257-SUMPRODUCT(--($B$4:$K$4&lt;I$4),$B257:$K257-$L257:$U257))),2)</f>
        <v>0</v>
      </c>
      <c r="AD257" s="39" t="n">
        <f aca="false">ROUND(J257-T257-MIN(J257-T257,MAX(0,$AF257-SUMPRODUCT(--($B$4:$K$4&lt;J$4),$B257:$K257-$L257:$U257))),2)</f>
        <v>0</v>
      </c>
      <c r="AE257" s="39" t="n">
        <f aca="false">ROUND(K257-U257-MIN(K257-U257,MAX(0,$AF257-SUMPRODUCT(--($B$4:$K$4&lt;K$4),$B257:$K257-$L257:$U257))),2)</f>
        <v>0</v>
      </c>
      <c r="AF257" s="39" t="n">
        <f aca="false">MAX(0,'Start Here'!$C$5-SUM($L257:$U257))</f>
        <v>1200</v>
      </c>
      <c r="AG257" s="39" t="n">
        <f aca="false">SUM(V257:AE257)</f>
        <v>0</v>
      </c>
      <c r="AH257" s="39" t="n">
        <f aca="false">SUM(B257:K257)-AG256</f>
        <v>0</v>
      </c>
    </row>
    <row r="258" customFormat="false" ht="15" hidden="false" customHeight="false" outlineLevel="0" collapsed="false">
      <c r="A258" s="40" t="n">
        <f aca="false">DATE(YEAR('Start Here'!$C$6),MONTH('Start Here'!$C$6)+251,1)</f>
        <v>53936</v>
      </c>
      <c r="B258" s="39" t="n">
        <f aca="false">ROUND(V257*(1+N('My Debts'!$D$6)/12),2)</f>
        <v>0</v>
      </c>
      <c r="C258" s="39" t="n">
        <f aca="false">ROUND(W257*(1+N('My Debts'!$D$7)/12),2)</f>
        <v>0</v>
      </c>
      <c r="D258" s="39" t="n">
        <f aca="false">ROUND(X257*(1+N('My Debts'!$D$8)/12),2)</f>
        <v>0</v>
      </c>
      <c r="E258" s="39" t="n">
        <f aca="false">ROUND(Y257*(1+N('My Debts'!$D$9)/12),2)</f>
        <v>0</v>
      </c>
      <c r="F258" s="39" t="n">
        <f aca="false">ROUND(Z257*(1+N('My Debts'!$D$10)/12),2)</f>
        <v>0</v>
      </c>
      <c r="G258" s="39" t="n">
        <f aca="false">ROUND(AA257*(1+N('My Debts'!$D$11)/12),2)</f>
        <v>0</v>
      </c>
      <c r="H258" s="39" t="n">
        <f aca="false">ROUND(AB257*(1+N('My Debts'!$D$12)/12),2)</f>
        <v>0</v>
      </c>
      <c r="I258" s="39" t="n">
        <f aca="false">ROUND(AC257*(1+N('My Debts'!$D$13)/12),2)</f>
        <v>0</v>
      </c>
      <c r="J258" s="39" t="n">
        <f aca="false">ROUND(AD257*(1+N('My Debts'!$D$14)/12),2)</f>
        <v>0</v>
      </c>
      <c r="K258" s="39" t="n">
        <f aca="false">ROUND(AE257*(1+N('My Debts'!$D$15)/12),2)</f>
        <v>0</v>
      </c>
      <c r="L258" s="39" t="n">
        <f aca="false">MIN(N('My Debts'!$E$6),B258)</f>
        <v>0</v>
      </c>
      <c r="M258" s="39" t="n">
        <f aca="false">MIN(N('My Debts'!$E$7),C258)</f>
        <v>0</v>
      </c>
      <c r="N258" s="39" t="n">
        <f aca="false">MIN(N('My Debts'!$E$8),D258)</f>
        <v>0</v>
      </c>
      <c r="O258" s="39" t="n">
        <f aca="false">MIN(N('My Debts'!$E$9),E258)</f>
        <v>0</v>
      </c>
      <c r="P258" s="39" t="n">
        <f aca="false">MIN(N('My Debts'!$E$10),F258)</f>
        <v>0</v>
      </c>
      <c r="Q258" s="39" t="n">
        <f aca="false">MIN(N('My Debts'!$E$11),G258)</f>
        <v>0</v>
      </c>
      <c r="R258" s="39" t="n">
        <f aca="false">MIN(N('My Debts'!$E$12),H258)</f>
        <v>0</v>
      </c>
      <c r="S258" s="39" t="n">
        <f aca="false">MIN(N('My Debts'!$E$13),I258)</f>
        <v>0</v>
      </c>
      <c r="T258" s="39" t="n">
        <f aca="false">MIN(N('My Debts'!$E$14),J258)</f>
        <v>0</v>
      </c>
      <c r="U258" s="39" t="n">
        <f aca="false">MIN(N('My Debts'!$E$15),K258)</f>
        <v>0</v>
      </c>
      <c r="V258" s="39" t="n">
        <f aca="false">ROUND(B258-L258-MIN(B258-L258,MAX(0,$AF258-SUMPRODUCT(--($B$4:$K$4&lt;B$4),$B258:$K258-$L258:$U258))),2)</f>
        <v>0</v>
      </c>
      <c r="W258" s="39" t="n">
        <f aca="false">ROUND(C258-M258-MIN(C258-M258,MAX(0,$AF258-SUMPRODUCT(--($B$4:$K$4&lt;C$4),$B258:$K258-$L258:$U258))),2)</f>
        <v>0</v>
      </c>
      <c r="X258" s="39" t="n">
        <f aca="false">ROUND(D258-N258-MIN(D258-N258,MAX(0,$AF258-SUMPRODUCT(--($B$4:$K$4&lt;D$4),$B258:$K258-$L258:$U258))),2)</f>
        <v>0</v>
      </c>
      <c r="Y258" s="39" t="n">
        <f aca="false">ROUND(E258-O258-MIN(E258-O258,MAX(0,$AF258-SUMPRODUCT(--($B$4:$K$4&lt;E$4),$B258:$K258-$L258:$U258))),2)</f>
        <v>0</v>
      </c>
      <c r="Z258" s="39" t="n">
        <f aca="false">ROUND(F258-P258-MIN(F258-P258,MAX(0,$AF258-SUMPRODUCT(--($B$4:$K$4&lt;F$4),$B258:$K258-$L258:$U258))),2)</f>
        <v>0</v>
      </c>
      <c r="AA258" s="39" t="n">
        <f aca="false">ROUND(G258-Q258-MIN(G258-Q258,MAX(0,$AF258-SUMPRODUCT(--($B$4:$K$4&lt;G$4),$B258:$K258-$L258:$U258))),2)</f>
        <v>0</v>
      </c>
      <c r="AB258" s="39" t="n">
        <f aca="false">ROUND(H258-R258-MIN(H258-R258,MAX(0,$AF258-SUMPRODUCT(--($B$4:$K$4&lt;H$4),$B258:$K258-$L258:$U258))),2)</f>
        <v>0</v>
      </c>
      <c r="AC258" s="39" t="n">
        <f aca="false">ROUND(I258-S258-MIN(I258-S258,MAX(0,$AF258-SUMPRODUCT(--($B$4:$K$4&lt;I$4),$B258:$K258-$L258:$U258))),2)</f>
        <v>0</v>
      </c>
      <c r="AD258" s="39" t="n">
        <f aca="false">ROUND(J258-T258-MIN(J258-T258,MAX(0,$AF258-SUMPRODUCT(--($B$4:$K$4&lt;J$4),$B258:$K258-$L258:$U258))),2)</f>
        <v>0</v>
      </c>
      <c r="AE258" s="39" t="n">
        <f aca="false">ROUND(K258-U258-MIN(K258-U258,MAX(0,$AF258-SUMPRODUCT(--($B$4:$K$4&lt;K$4),$B258:$K258-$L258:$U258))),2)</f>
        <v>0</v>
      </c>
      <c r="AF258" s="39" t="n">
        <f aca="false">MAX(0,'Start Here'!$C$5-SUM($L258:$U258))</f>
        <v>1200</v>
      </c>
      <c r="AG258" s="39" t="n">
        <f aca="false">SUM(V258:AE258)</f>
        <v>0</v>
      </c>
      <c r="AH258" s="39" t="n">
        <f aca="false">SUM(B258:K258)-AG257</f>
        <v>0</v>
      </c>
    </row>
    <row r="259" customFormat="false" ht="15" hidden="false" customHeight="false" outlineLevel="0" collapsed="false">
      <c r="A259" s="40" t="n">
        <f aca="false">DATE(YEAR('Start Here'!$C$6),MONTH('Start Here'!$C$6)+252,1)</f>
        <v>53966</v>
      </c>
      <c r="B259" s="39" t="n">
        <f aca="false">ROUND(V258*(1+N('My Debts'!$D$6)/12),2)</f>
        <v>0</v>
      </c>
      <c r="C259" s="39" t="n">
        <f aca="false">ROUND(W258*(1+N('My Debts'!$D$7)/12),2)</f>
        <v>0</v>
      </c>
      <c r="D259" s="39" t="n">
        <f aca="false">ROUND(X258*(1+N('My Debts'!$D$8)/12),2)</f>
        <v>0</v>
      </c>
      <c r="E259" s="39" t="n">
        <f aca="false">ROUND(Y258*(1+N('My Debts'!$D$9)/12),2)</f>
        <v>0</v>
      </c>
      <c r="F259" s="39" t="n">
        <f aca="false">ROUND(Z258*(1+N('My Debts'!$D$10)/12),2)</f>
        <v>0</v>
      </c>
      <c r="G259" s="39" t="n">
        <f aca="false">ROUND(AA258*(1+N('My Debts'!$D$11)/12),2)</f>
        <v>0</v>
      </c>
      <c r="H259" s="39" t="n">
        <f aca="false">ROUND(AB258*(1+N('My Debts'!$D$12)/12),2)</f>
        <v>0</v>
      </c>
      <c r="I259" s="39" t="n">
        <f aca="false">ROUND(AC258*(1+N('My Debts'!$D$13)/12),2)</f>
        <v>0</v>
      </c>
      <c r="J259" s="39" t="n">
        <f aca="false">ROUND(AD258*(1+N('My Debts'!$D$14)/12),2)</f>
        <v>0</v>
      </c>
      <c r="K259" s="39" t="n">
        <f aca="false">ROUND(AE258*(1+N('My Debts'!$D$15)/12),2)</f>
        <v>0</v>
      </c>
      <c r="L259" s="39" t="n">
        <f aca="false">MIN(N('My Debts'!$E$6),B259)</f>
        <v>0</v>
      </c>
      <c r="M259" s="39" t="n">
        <f aca="false">MIN(N('My Debts'!$E$7),C259)</f>
        <v>0</v>
      </c>
      <c r="N259" s="39" t="n">
        <f aca="false">MIN(N('My Debts'!$E$8),D259)</f>
        <v>0</v>
      </c>
      <c r="O259" s="39" t="n">
        <f aca="false">MIN(N('My Debts'!$E$9),E259)</f>
        <v>0</v>
      </c>
      <c r="P259" s="39" t="n">
        <f aca="false">MIN(N('My Debts'!$E$10),F259)</f>
        <v>0</v>
      </c>
      <c r="Q259" s="39" t="n">
        <f aca="false">MIN(N('My Debts'!$E$11),G259)</f>
        <v>0</v>
      </c>
      <c r="R259" s="39" t="n">
        <f aca="false">MIN(N('My Debts'!$E$12),H259)</f>
        <v>0</v>
      </c>
      <c r="S259" s="39" t="n">
        <f aca="false">MIN(N('My Debts'!$E$13),I259)</f>
        <v>0</v>
      </c>
      <c r="T259" s="39" t="n">
        <f aca="false">MIN(N('My Debts'!$E$14),J259)</f>
        <v>0</v>
      </c>
      <c r="U259" s="39" t="n">
        <f aca="false">MIN(N('My Debts'!$E$15),K259)</f>
        <v>0</v>
      </c>
      <c r="V259" s="39" t="n">
        <f aca="false">ROUND(B259-L259-MIN(B259-L259,MAX(0,$AF259-SUMPRODUCT(--($B$4:$K$4&lt;B$4),$B259:$K259-$L259:$U259))),2)</f>
        <v>0</v>
      </c>
      <c r="W259" s="39" t="n">
        <f aca="false">ROUND(C259-M259-MIN(C259-M259,MAX(0,$AF259-SUMPRODUCT(--($B$4:$K$4&lt;C$4),$B259:$K259-$L259:$U259))),2)</f>
        <v>0</v>
      </c>
      <c r="X259" s="39" t="n">
        <f aca="false">ROUND(D259-N259-MIN(D259-N259,MAX(0,$AF259-SUMPRODUCT(--($B$4:$K$4&lt;D$4),$B259:$K259-$L259:$U259))),2)</f>
        <v>0</v>
      </c>
      <c r="Y259" s="39" t="n">
        <f aca="false">ROUND(E259-O259-MIN(E259-O259,MAX(0,$AF259-SUMPRODUCT(--($B$4:$K$4&lt;E$4),$B259:$K259-$L259:$U259))),2)</f>
        <v>0</v>
      </c>
      <c r="Z259" s="39" t="n">
        <f aca="false">ROUND(F259-P259-MIN(F259-P259,MAX(0,$AF259-SUMPRODUCT(--($B$4:$K$4&lt;F$4),$B259:$K259-$L259:$U259))),2)</f>
        <v>0</v>
      </c>
      <c r="AA259" s="39" t="n">
        <f aca="false">ROUND(G259-Q259-MIN(G259-Q259,MAX(0,$AF259-SUMPRODUCT(--($B$4:$K$4&lt;G$4),$B259:$K259-$L259:$U259))),2)</f>
        <v>0</v>
      </c>
      <c r="AB259" s="39" t="n">
        <f aca="false">ROUND(H259-R259-MIN(H259-R259,MAX(0,$AF259-SUMPRODUCT(--($B$4:$K$4&lt;H$4),$B259:$K259-$L259:$U259))),2)</f>
        <v>0</v>
      </c>
      <c r="AC259" s="39" t="n">
        <f aca="false">ROUND(I259-S259-MIN(I259-S259,MAX(0,$AF259-SUMPRODUCT(--($B$4:$K$4&lt;I$4),$B259:$K259-$L259:$U259))),2)</f>
        <v>0</v>
      </c>
      <c r="AD259" s="39" t="n">
        <f aca="false">ROUND(J259-T259-MIN(J259-T259,MAX(0,$AF259-SUMPRODUCT(--($B$4:$K$4&lt;J$4),$B259:$K259-$L259:$U259))),2)</f>
        <v>0</v>
      </c>
      <c r="AE259" s="39" t="n">
        <f aca="false">ROUND(K259-U259-MIN(K259-U259,MAX(0,$AF259-SUMPRODUCT(--($B$4:$K$4&lt;K$4),$B259:$K259-$L259:$U259))),2)</f>
        <v>0</v>
      </c>
      <c r="AF259" s="39" t="n">
        <f aca="false">MAX(0,'Start Here'!$C$5-SUM($L259:$U259))</f>
        <v>1200</v>
      </c>
      <c r="AG259" s="39" t="n">
        <f aca="false">SUM(V259:AE259)</f>
        <v>0</v>
      </c>
      <c r="AH259" s="39" t="n">
        <f aca="false">SUM(B259:K259)-AG258</f>
        <v>0</v>
      </c>
    </row>
    <row r="260" customFormat="false" ht="15" hidden="false" customHeight="false" outlineLevel="0" collapsed="false">
      <c r="A260" s="40" t="n">
        <f aca="false">DATE(YEAR('Start Here'!$C$6),MONTH('Start Here'!$C$6)+253,1)</f>
        <v>53997</v>
      </c>
      <c r="B260" s="39" t="n">
        <f aca="false">ROUND(V259*(1+N('My Debts'!$D$6)/12),2)</f>
        <v>0</v>
      </c>
      <c r="C260" s="39" t="n">
        <f aca="false">ROUND(W259*(1+N('My Debts'!$D$7)/12),2)</f>
        <v>0</v>
      </c>
      <c r="D260" s="39" t="n">
        <f aca="false">ROUND(X259*(1+N('My Debts'!$D$8)/12),2)</f>
        <v>0</v>
      </c>
      <c r="E260" s="39" t="n">
        <f aca="false">ROUND(Y259*(1+N('My Debts'!$D$9)/12),2)</f>
        <v>0</v>
      </c>
      <c r="F260" s="39" t="n">
        <f aca="false">ROUND(Z259*(1+N('My Debts'!$D$10)/12),2)</f>
        <v>0</v>
      </c>
      <c r="G260" s="39" t="n">
        <f aca="false">ROUND(AA259*(1+N('My Debts'!$D$11)/12),2)</f>
        <v>0</v>
      </c>
      <c r="H260" s="39" t="n">
        <f aca="false">ROUND(AB259*(1+N('My Debts'!$D$12)/12),2)</f>
        <v>0</v>
      </c>
      <c r="I260" s="39" t="n">
        <f aca="false">ROUND(AC259*(1+N('My Debts'!$D$13)/12),2)</f>
        <v>0</v>
      </c>
      <c r="J260" s="39" t="n">
        <f aca="false">ROUND(AD259*(1+N('My Debts'!$D$14)/12),2)</f>
        <v>0</v>
      </c>
      <c r="K260" s="39" t="n">
        <f aca="false">ROUND(AE259*(1+N('My Debts'!$D$15)/12),2)</f>
        <v>0</v>
      </c>
      <c r="L260" s="39" t="n">
        <f aca="false">MIN(N('My Debts'!$E$6),B260)</f>
        <v>0</v>
      </c>
      <c r="M260" s="39" t="n">
        <f aca="false">MIN(N('My Debts'!$E$7),C260)</f>
        <v>0</v>
      </c>
      <c r="N260" s="39" t="n">
        <f aca="false">MIN(N('My Debts'!$E$8),D260)</f>
        <v>0</v>
      </c>
      <c r="O260" s="39" t="n">
        <f aca="false">MIN(N('My Debts'!$E$9),E260)</f>
        <v>0</v>
      </c>
      <c r="P260" s="39" t="n">
        <f aca="false">MIN(N('My Debts'!$E$10),F260)</f>
        <v>0</v>
      </c>
      <c r="Q260" s="39" t="n">
        <f aca="false">MIN(N('My Debts'!$E$11),G260)</f>
        <v>0</v>
      </c>
      <c r="R260" s="39" t="n">
        <f aca="false">MIN(N('My Debts'!$E$12),H260)</f>
        <v>0</v>
      </c>
      <c r="S260" s="39" t="n">
        <f aca="false">MIN(N('My Debts'!$E$13),I260)</f>
        <v>0</v>
      </c>
      <c r="T260" s="39" t="n">
        <f aca="false">MIN(N('My Debts'!$E$14),J260)</f>
        <v>0</v>
      </c>
      <c r="U260" s="39" t="n">
        <f aca="false">MIN(N('My Debts'!$E$15),K260)</f>
        <v>0</v>
      </c>
      <c r="V260" s="39" t="n">
        <f aca="false">ROUND(B260-L260-MIN(B260-L260,MAX(0,$AF260-SUMPRODUCT(--($B$4:$K$4&lt;B$4),$B260:$K260-$L260:$U260))),2)</f>
        <v>0</v>
      </c>
      <c r="W260" s="39" t="n">
        <f aca="false">ROUND(C260-M260-MIN(C260-M260,MAX(0,$AF260-SUMPRODUCT(--($B$4:$K$4&lt;C$4),$B260:$K260-$L260:$U260))),2)</f>
        <v>0</v>
      </c>
      <c r="X260" s="39" t="n">
        <f aca="false">ROUND(D260-N260-MIN(D260-N260,MAX(0,$AF260-SUMPRODUCT(--($B$4:$K$4&lt;D$4),$B260:$K260-$L260:$U260))),2)</f>
        <v>0</v>
      </c>
      <c r="Y260" s="39" t="n">
        <f aca="false">ROUND(E260-O260-MIN(E260-O260,MAX(0,$AF260-SUMPRODUCT(--($B$4:$K$4&lt;E$4),$B260:$K260-$L260:$U260))),2)</f>
        <v>0</v>
      </c>
      <c r="Z260" s="39" t="n">
        <f aca="false">ROUND(F260-P260-MIN(F260-P260,MAX(0,$AF260-SUMPRODUCT(--($B$4:$K$4&lt;F$4),$B260:$K260-$L260:$U260))),2)</f>
        <v>0</v>
      </c>
      <c r="AA260" s="39" t="n">
        <f aca="false">ROUND(G260-Q260-MIN(G260-Q260,MAX(0,$AF260-SUMPRODUCT(--($B$4:$K$4&lt;G$4),$B260:$K260-$L260:$U260))),2)</f>
        <v>0</v>
      </c>
      <c r="AB260" s="39" t="n">
        <f aca="false">ROUND(H260-R260-MIN(H260-R260,MAX(0,$AF260-SUMPRODUCT(--($B$4:$K$4&lt;H$4),$B260:$K260-$L260:$U260))),2)</f>
        <v>0</v>
      </c>
      <c r="AC260" s="39" t="n">
        <f aca="false">ROUND(I260-S260-MIN(I260-S260,MAX(0,$AF260-SUMPRODUCT(--($B$4:$K$4&lt;I$4),$B260:$K260-$L260:$U260))),2)</f>
        <v>0</v>
      </c>
      <c r="AD260" s="39" t="n">
        <f aca="false">ROUND(J260-T260-MIN(J260-T260,MAX(0,$AF260-SUMPRODUCT(--($B$4:$K$4&lt;J$4),$B260:$K260-$L260:$U260))),2)</f>
        <v>0</v>
      </c>
      <c r="AE260" s="39" t="n">
        <f aca="false">ROUND(K260-U260-MIN(K260-U260,MAX(0,$AF260-SUMPRODUCT(--($B$4:$K$4&lt;K$4),$B260:$K260-$L260:$U260))),2)</f>
        <v>0</v>
      </c>
      <c r="AF260" s="39" t="n">
        <f aca="false">MAX(0,'Start Here'!$C$5-SUM($L260:$U260))</f>
        <v>1200</v>
      </c>
      <c r="AG260" s="39" t="n">
        <f aca="false">SUM(V260:AE260)</f>
        <v>0</v>
      </c>
      <c r="AH260" s="39" t="n">
        <f aca="false">SUM(B260:K260)-AG259</f>
        <v>0</v>
      </c>
    </row>
    <row r="261" customFormat="false" ht="15" hidden="false" customHeight="false" outlineLevel="0" collapsed="false">
      <c r="A261" s="40" t="n">
        <f aca="false">DATE(YEAR('Start Here'!$C$6),MONTH('Start Here'!$C$6)+254,1)</f>
        <v>54027</v>
      </c>
      <c r="B261" s="39" t="n">
        <f aca="false">ROUND(V260*(1+N('My Debts'!$D$6)/12),2)</f>
        <v>0</v>
      </c>
      <c r="C261" s="39" t="n">
        <f aca="false">ROUND(W260*(1+N('My Debts'!$D$7)/12),2)</f>
        <v>0</v>
      </c>
      <c r="D261" s="39" t="n">
        <f aca="false">ROUND(X260*(1+N('My Debts'!$D$8)/12),2)</f>
        <v>0</v>
      </c>
      <c r="E261" s="39" t="n">
        <f aca="false">ROUND(Y260*(1+N('My Debts'!$D$9)/12),2)</f>
        <v>0</v>
      </c>
      <c r="F261" s="39" t="n">
        <f aca="false">ROUND(Z260*(1+N('My Debts'!$D$10)/12),2)</f>
        <v>0</v>
      </c>
      <c r="G261" s="39" t="n">
        <f aca="false">ROUND(AA260*(1+N('My Debts'!$D$11)/12),2)</f>
        <v>0</v>
      </c>
      <c r="H261" s="39" t="n">
        <f aca="false">ROUND(AB260*(1+N('My Debts'!$D$12)/12),2)</f>
        <v>0</v>
      </c>
      <c r="I261" s="39" t="n">
        <f aca="false">ROUND(AC260*(1+N('My Debts'!$D$13)/12),2)</f>
        <v>0</v>
      </c>
      <c r="J261" s="39" t="n">
        <f aca="false">ROUND(AD260*(1+N('My Debts'!$D$14)/12),2)</f>
        <v>0</v>
      </c>
      <c r="K261" s="39" t="n">
        <f aca="false">ROUND(AE260*(1+N('My Debts'!$D$15)/12),2)</f>
        <v>0</v>
      </c>
      <c r="L261" s="39" t="n">
        <f aca="false">MIN(N('My Debts'!$E$6),B261)</f>
        <v>0</v>
      </c>
      <c r="M261" s="39" t="n">
        <f aca="false">MIN(N('My Debts'!$E$7),C261)</f>
        <v>0</v>
      </c>
      <c r="N261" s="39" t="n">
        <f aca="false">MIN(N('My Debts'!$E$8),D261)</f>
        <v>0</v>
      </c>
      <c r="O261" s="39" t="n">
        <f aca="false">MIN(N('My Debts'!$E$9),E261)</f>
        <v>0</v>
      </c>
      <c r="P261" s="39" t="n">
        <f aca="false">MIN(N('My Debts'!$E$10),F261)</f>
        <v>0</v>
      </c>
      <c r="Q261" s="39" t="n">
        <f aca="false">MIN(N('My Debts'!$E$11),G261)</f>
        <v>0</v>
      </c>
      <c r="R261" s="39" t="n">
        <f aca="false">MIN(N('My Debts'!$E$12),H261)</f>
        <v>0</v>
      </c>
      <c r="S261" s="39" t="n">
        <f aca="false">MIN(N('My Debts'!$E$13),I261)</f>
        <v>0</v>
      </c>
      <c r="T261" s="39" t="n">
        <f aca="false">MIN(N('My Debts'!$E$14),J261)</f>
        <v>0</v>
      </c>
      <c r="U261" s="39" t="n">
        <f aca="false">MIN(N('My Debts'!$E$15),K261)</f>
        <v>0</v>
      </c>
      <c r="V261" s="39" t="n">
        <f aca="false">ROUND(B261-L261-MIN(B261-L261,MAX(0,$AF261-SUMPRODUCT(--($B$4:$K$4&lt;B$4),$B261:$K261-$L261:$U261))),2)</f>
        <v>0</v>
      </c>
      <c r="W261" s="39" t="n">
        <f aca="false">ROUND(C261-M261-MIN(C261-M261,MAX(0,$AF261-SUMPRODUCT(--($B$4:$K$4&lt;C$4),$B261:$K261-$L261:$U261))),2)</f>
        <v>0</v>
      </c>
      <c r="X261" s="39" t="n">
        <f aca="false">ROUND(D261-N261-MIN(D261-N261,MAX(0,$AF261-SUMPRODUCT(--($B$4:$K$4&lt;D$4),$B261:$K261-$L261:$U261))),2)</f>
        <v>0</v>
      </c>
      <c r="Y261" s="39" t="n">
        <f aca="false">ROUND(E261-O261-MIN(E261-O261,MAX(0,$AF261-SUMPRODUCT(--($B$4:$K$4&lt;E$4),$B261:$K261-$L261:$U261))),2)</f>
        <v>0</v>
      </c>
      <c r="Z261" s="39" t="n">
        <f aca="false">ROUND(F261-P261-MIN(F261-P261,MAX(0,$AF261-SUMPRODUCT(--($B$4:$K$4&lt;F$4),$B261:$K261-$L261:$U261))),2)</f>
        <v>0</v>
      </c>
      <c r="AA261" s="39" t="n">
        <f aca="false">ROUND(G261-Q261-MIN(G261-Q261,MAX(0,$AF261-SUMPRODUCT(--($B$4:$K$4&lt;G$4),$B261:$K261-$L261:$U261))),2)</f>
        <v>0</v>
      </c>
      <c r="AB261" s="39" t="n">
        <f aca="false">ROUND(H261-R261-MIN(H261-R261,MAX(0,$AF261-SUMPRODUCT(--($B$4:$K$4&lt;H$4),$B261:$K261-$L261:$U261))),2)</f>
        <v>0</v>
      </c>
      <c r="AC261" s="39" t="n">
        <f aca="false">ROUND(I261-S261-MIN(I261-S261,MAX(0,$AF261-SUMPRODUCT(--($B$4:$K$4&lt;I$4),$B261:$K261-$L261:$U261))),2)</f>
        <v>0</v>
      </c>
      <c r="AD261" s="39" t="n">
        <f aca="false">ROUND(J261-T261-MIN(J261-T261,MAX(0,$AF261-SUMPRODUCT(--($B$4:$K$4&lt;J$4),$B261:$K261-$L261:$U261))),2)</f>
        <v>0</v>
      </c>
      <c r="AE261" s="39" t="n">
        <f aca="false">ROUND(K261-U261-MIN(K261-U261,MAX(0,$AF261-SUMPRODUCT(--($B$4:$K$4&lt;K$4),$B261:$K261-$L261:$U261))),2)</f>
        <v>0</v>
      </c>
      <c r="AF261" s="39" t="n">
        <f aca="false">MAX(0,'Start Here'!$C$5-SUM($L261:$U261))</f>
        <v>1200</v>
      </c>
      <c r="AG261" s="39" t="n">
        <f aca="false">SUM(V261:AE261)</f>
        <v>0</v>
      </c>
      <c r="AH261" s="39" t="n">
        <f aca="false">SUM(B261:K261)-AG260</f>
        <v>0</v>
      </c>
    </row>
    <row r="262" customFormat="false" ht="15" hidden="false" customHeight="false" outlineLevel="0" collapsed="false">
      <c r="A262" s="40" t="n">
        <f aca="false">DATE(YEAR('Start Here'!$C$6),MONTH('Start Here'!$C$6)+255,1)</f>
        <v>54058</v>
      </c>
      <c r="B262" s="39" t="n">
        <f aca="false">ROUND(V261*(1+N('My Debts'!$D$6)/12),2)</f>
        <v>0</v>
      </c>
      <c r="C262" s="39" t="n">
        <f aca="false">ROUND(W261*(1+N('My Debts'!$D$7)/12),2)</f>
        <v>0</v>
      </c>
      <c r="D262" s="39" t="n">
        <f aca="false">ROUND(X261*(1+N('My Debts'!$D$8)/12),2)</f>
        <v>0</v>
      </c>
      <c r="E262" s="39" t="n">
        <f aca="false">ROUND(Y261*(1+N('My Debts'!$D$9)/12),2)</f>
        <v>0</v>
      </c>
      <c r="F262" s="39" t="n">
        <f aca="false">ROUND(Z261*(1+N('My Debts'!$D$10)/12),2)</f>
        <v>0</v>
      </c>
      <c r="G262" s="39" t="n">
        <f aca="false">ROUND(AA261*(1+N('My Debts'!$D$11)/12),2)</f>
        <v>0</v>
      </c>
      <c r="H262" s="39" t="n">
        <f aca="false">ROUND(AB261*(1+N('My Debts'!$D$12)/12),2)</f>
        <v>0</v>
      </c>
      <c r="I262" s="39" t="n">
        <f aca="false">ROUND(AC261*(1+N('My Debts'!$D$13)/12),2)</f>
        <v>0</v>
      </c>
      <c r="J262" s="39" t="n">
        <f aca="false">ROUND(AD261*(1+N('My Debts'!$D$14)/12),2)</f>
        <v>0</v>
      </c>
      <c r="K262" s="39" t="n">
        <f aca="false">ROUND(AE261*(1+N('My Debts'!$D$15)/12),2)</f>
        <v>0</v>
      </c>
      <c r="L262" s="39" t="n">
        <f aca="false">MIN(N('My Debts'!$E$6),B262)</f>
        <v>0</v>
      </c>
      <c r="M262" s="39" t="n">
        <f aca="false">MIN(N('My Debts'!$E$7),C262)</f>
        <v>0</v>
      </c>
      <c r="N262" s="39" t="n">
        <f aca="false">MIN(N('My Debts'!$E$8),D262)</f>
        <v>0</v>
      </c>
      <c r="O262" s="39" t="n">
        <f aca="false">MIN(N('My Debts'!$E$9),E262)</f>
        <v>0</v>
      </c>
      <c r="P262" s="39" t="n">
        <f aca="false">MIN(N('My Debts'!$E$10),F262)</f>
        <v>0</v>
      </c>
      <c r="Q262" s="39" t="n">
        <f aca="false">MIN(N('My Debts'!$E$11),G262)</f>
        <v>0</v>
      </c>
      <c r="R262" s="39" t="n">
        <f aca="false">MIN(N('My Debts'!$E$12),H262)</f>
        <v>0</v>
      </c>
      <c r="S262" s="39" t="n">
        <f aca="false">MIN(N('My Debts'!$E$13),I262)</f>
        <v>0</v>
      </c>
      <c r="T262" s="39" t="n">
        <f aca="false">MIN(N('My Debts'!$E$14),J262)</f>
        <v>0</v>
      </c>
      <c r="U262" s="39" t="n">
        <f aca="false">MIN(N('My Debts'!$E$15),K262)</f>
        <v>0</v>
      </c>
      <c r="V262" s="39" t="n">
        <f aca="false">ROUND(B262-L262-MIN(B262-L262,MAX(0,$AF262-SUMPRODUCT(--($B$4:$K$4&lt;B$4),$B262:$K262-$L262:$U262))),2)</f>
        <v>0</v>
      </c>
      <c r="W262" s="39" t="n">
        <f aca="false">ROUND(C262-M262-MIN(C262-M262,MAX(0,$AF262-SUMPRODUCT(--($B$4:$K$4&lt;C$4),$B262:$K262-$L262:$U262))),2)</f>
        <v>0</v>
      </c>
      <c r="X262" s="39" t="n">
        <f aca="false">ROUND(D262-N262-MIN(D262-N262,MAX(0,$AF262-SUMPRODUCT(--($B$4:$K$4&lt;D$4),$B262:$K262-$L262:$U262))),2)</f>
        <v>0</v>
      </c>
      <c r="Y262" s="39" t="n">
        <f aca="false">ROUND(E262-O262-MIN(E262-O262,MAX(0,$AF262-SUMPRODUCT(--($B$4:$K$4&lt;E$4),$B262:$K262-$L262:$U262))),2)</f>
        <v>0</v>
      </c>
      <c r="Z262" s="39" t="n">
        <f aca="false">ROUND(F262-P262-MIN(F262-P262,MAX(0,$AF262-SUMPRODUCT(--($B$4:$K$4&lt;F$4),$B262:$K262-$L262:$U262))),2)</f>
        <v>0</v>
      </c>
      <c r="AA262" s="39" t="n">
        <f aca="false">ROUND(G262-Q262-MIN(G262-Q262,MAX(0,$AF262-SUMPRODUCT(--($B$4:$K$4&lt;G$4),$B262:$K262-$L262:$U262))),2)</f>
        <v>0</v>
      </c>
      <c r="AB262" s="39" t="n">
        <f aca="false">ROUND(H262-R262-MIN(H262-R262,MAX(0,$AF262-SUMPRODUCT(--($B$4:$K$4&lt;H$4),$B262:$K262-$L262:$U262))),2)</f>
        <v>0</v>
      </c>
      <c r="AC262" s="39" t="n">
        <f aca="false">ROUND(I262-S262-MIN(I262-S262,MAX(0,$AF262-SUMPRODUCT(--($B$4:$K$4&lt;I$4),$B262:$K262-$L262:$U262))),2)</f>
        <v>0</v>
      </c>
      <c r="AD262" s="39" t="n">
        <f aca="false">ROUND(J262-T262-MIN(J262-T262,MAX(0,$AF262-SUMPRODUCT(--($B$4:$K$4&lt;J$4),$B262:$K262-$L262:$U262))),2)</f>
        <v>0</v>
      </c>
      <c r="AE262" s="39" t="n">
        <f aca="false">ROUND(K262-U262-MIN(K262-U262,MAX(0,$AF262-SUMPRODUCT(--($B$4:$K$4&lt;K$4),$B262:$K262-$L262:$U262))),2)</f>
        <v>0</v>
      </c>
      <c r="AF262" s="39" t="n">
        <f aca="false">MAX(0,'Start Here'!$C$5-SUM($L262:$U262))</f>
        <v>1200</v>
      </c>
      <c r="AG262" s="39" t="n">
        <f aca="false">SUM(V262:AE262)</f>
        <v>0</v>
      </c>
      <c r="AH262" s="39" t="n">
        <f aca="false">SUM(B262:K262)-AG261</f>
        <v>0</v>
      </c>
    </row>
    <row r="263" customFormat="false" ht="15" hidden="false" customHeight="false" outlineLevel="0" collapsed="false">
      <c r="A263" s="40" t="n">
        <f aca="false">DATE(YEAR('Start Here'!$C$6),MONTH('Start Here'!$C$6)+256,1)</f>
        <v>54089</v>
      </c>
      <c r="B263" s="39" t="n">
        <f aca="false">ROUND(V262*(1+N('My Debts'!$D$6)/12),2)</f>
        <v>0</v>
      </c>
      <c r="C263" s="39" t="n">
        <f aca="false">ROUND(W262*(1+N('My Debts'!$D$7)/12),2)</f>
        <v>0</v>
      </c>
      <c r="D263" s="39" t="n">
        <f aca="false">ROUND(X262*(1+N('My Debts'!$D$8)/12),2)</f>
        <v>0</v>
      </c>
      <c r="E263" s="39" t="n">
        <f aca="false">ROUND(Y262*(1+N('My Debts'!$D$9)/12),2)</f>
        <v>0</v>
      </c>
      <c r="F263" s="39" t="n">
        <f aca="false">ROUND(Z262*(1+N('My Debts'!$D$10)/12),2)</f>
        <v>0</v>
      </c>
      <c r="G263" s="39" t="n">
        <f aca="false">ROUND(AA262*(1+N('My Debts'!$D$11)/12),2)</f>
        <v>0</v>
      </c>
      <c r="H263" s="39" t="n">
        <f aca="false">ROUND(AB262*(1+N('My Debts'!$D$12)/12),2)</f>
        <v>0</v>
      </c>
      <c r="I263" s="39" t="n">
        <f aca="false">ROUND(AC262*(1+N('My Debts'!$D$13)/12),2)</f>
        <v>0</v>
      </c>
      <c r="J263" s="39" t="n">
        <f aca="false">ROUND(AD262*(1+N('My Debts'!$D$14)/12),2)</f>
        <v>0</v>
      </c>
      <c r="K263" s="39" t="n">
        <f aca="false">ROUND(AE262*(1+N('My Debts'!$D$15)/12),2)</f>
        <v>0</v>
      </c>
      <c r="L263" s="39" t="n">
        <f aca="false">MIN(N('My Debts'!$E$6),B263)</f>
        <v>0</v>
      </c>
      <c r="M263" s="39" t="n">
        <f aca="false">MIN(N('My Debts'!$E$7),C263)</f>
        <v>0</v>
      </c>
      <c r="N263" s="39" t="n">
        <f aca="false">MIN(N('My Debts'!$E$8),D263)</f>
        <v>0</v>
      </c>
      <c r="O263" s="39" t="n">
        <f aca="false">MIN(N('My Debts'!$E$9),E263)</f>
        <v>0</v>
      </c>
      <c r="P263" s="39" t="n">
        <f aca="false">MIN(N('My Debts'!$E$10),F263)</f>
        <v>0</v>
      </c>
      <c r="Q263" s="39" t="n">
        <f aca="false">MIN(N('My Debts'!$E$11),G263)</f>
        <v>0</v>
      </c>
      <c r="R263" s="39" t="n">
        <f aca="false">MIN(N('My Debts'!$E$12),H263)</f>
        <v>0</v>
      </c>
      <c r="S263" s="39" t="n">
        <f aca="false">MIN(N('My Debts'!$E$13),I263)</f>
        <v>0</v>
      </c>
      <c r="T263" s="39" t="n">
        <f aca="false">MIN(N('My Debts'!$E$14),J263)</f>
        <v>0</v>
      </c>
      <c r="U263" s="39" t="n">
        <f aca="false">MIN(N('My Debts'!$E$15),K263)</f>
        <v>0</v>
      </c>
      <c r="V263" s="39" t="n">
        <f aca="false">ROUND(B263-L263-MIN(B263-L263,MAX(0,$AF263-SUMPRODUCT(--($B$4:$K$4&lt;B$4),$B263:$K263-$L263:$U263))),2)</f>
        <v>0</v>
      </c>
      <c r="W263" s="39" t="n">
        <f aca="false">ROUND(C263-M263-MIN(C263-M263,MAX(0,$AF263-SUMPRODUCT(--($B$4:$K$4&lt;C$4),$B263:$K263-$L263:$U263))),2)</f>
        <v>0</v>
      </c>
      <c r="X263" s="39" t="n">
        <f aca="false">ROUND(D263-N263-MIN(D263-N263,MAX(0,$AF263-SUMPRODUCT(--($B$4:$K$4&lt;D$4),$B263:$K263-$L263:$U263))),2)</f>
        <v>0</v>
      </c>
      <c r="Y263" s="39" t="n">
        <f aca="false">ROUND(E263-O263-MIN(E263-O263,MAX(0,$AF263-SUMPRODUCT(--($B$4:$K$4&lt;E$4),$B263:$K263-$L263:$U263))),2)</f>
        <v>0</v>
      </c>
      <c r="Z263" s="39" t="n">
        <f aca="false">ROUND(F263-P263-MIN(F263-P263,MAX(0,$AF263-SUMPRODUCT(--($B$4:$K$4&lt;F$4),$B263:$K263-$L263:$U263))),2)</f>
        <v>0</v>
      </c>
      <c r="AA263" s="39" t="n">
        <f aca="false">ROUND(G263-Q263-MIN(G263-Q263,MAX(0,$AF263-SUMPRODUCT(--($B$4:$K$4&lt;G$4),$B263:$K263-$L263:$U263))),2)</f>
        <v>0</v>
      </c>
      <c r="AB263" s="39" t="n">
        <f aca="false">ROUND(H263-R263-MIN(H263-R263,MAX(0,$AF263-SUMPRODUCT(--($B$4:$K$4&lt;H$4),$B263:$K263-$L263:$U263))),2)</f>
        <v>0</v>
      </c>
      <c r="AC263" s="39" t="n">
        <f aca="false">ROUND(I263-S263-MIN(I263-S263,MAX(0,$AF263-SUMPRODUCT(--($B$4:$K$4&lt;I$4),$B263:$K263-$L263:$U263))),2)</f>
        <v>0</v>
      </c>
      <c r="AD263" s="39" t="n">
        <f aca="false">ROUND(J263-T263-MIN(J263-T263,MAX(0,$AF263-SUMPRODUCT(--($B$4:$K$4&lt;J$4),$B263:$K263-$L263:$U263))),2)</f>
        <v>0</v>
      </c>
      <c r="AE263" s="39" t="n">
        <f aca="false">ROUND(K263-U263-MIN(K263-U263,MAX(0,$AF263-SUMPRODUCT(--($B$4:$K$4&lt;K$4),$B263:$K263-$L263:$U263))),2)</f>
        <v>0</v>
      </c>
      <c r="AF263" s="39" t="n">
        <f aca="false">MAX(0,'Start Here'!$C$5-SUM($L263:$U263))</f>
        <v>1200</v>
      </c>
      <c r="AG263" s="39" t="n">
        <f aca="false">SUM(V263:AE263)</f>
        <v>0</v>
      </c>
      <c r="AH263" s="39" t="n">
        <f aca="false">SUM(B263:K263)-AG262</f>
        <v>0</v>
      </c>
    </row>
    <row r="264" customFormat="false" ht="15" hidden="false" customHeight="false" outlineLevel="0" collapsed="false">
      <c r="A264" s="40" t="n">
        <f aca="false">DATE(YEAR('Start Here'!$C$6),MONTH('Start Here'!$C$6)+257,1)</f>
        <v>54118</v>
      </c>
      <c r="B264" s="39" t="n">
        <f aca="false">ROUND(V263*(1+N('My Debts'!$D$6)/12),2)</f>
        <v>0</v>
      </c>
      <c r="C264" s="39" t="n">
        <f aca="false">ROUND(W263*(1+N('My Debts'!$D$7)/12),2)</f>
        <v>0</v>
      </c>
      <c r="D264" s="39" t="n">
        <f aca="false">ROUND(X263*(1+N('My Debts'!$D$8)/12),2)</f>
        <v>0</v>
      </c>
      <c r="E264" s="39" t="n">
        <f aca="false">ROUND(Y263*(1+N('My Debts'!$D$9)/12),2)</f>
        <v>0</v>
      </c>
      <c r="F264" s="39" t="n">
        <f aca="false">ROUND(Z263*(1+N('My Debts'!$D$10)/12),2)</f>
        <v>0</v>
      </c>
      <c r="G264" s="39" t="n">
        <f aca="false">ROUND(AA263*(1+N('My Debts'!$D$11)/12),2)</f>
        <v>0</v>
      </c>
      <c r="H264" s="39" t="n">
        <f aca="false">ROUND(AB263*(1+N('My Debts'!$D$12)/12),2)</f>
        <v>0</v>
      </c>
      <c r="I264" s="39" t="n">
        <f aca="false">ROUND(AC263*(1+N('My Debts'!$D$13)/12),2)</f>
        <v>0</v>
      </c>
      <c r="J264" s="39" t="n">
        <f aca="false">ROUND(AD263*(1+N('My Debts'!$D$14)/12),2)</f>
        <v>0</v>
      </c>
      <c r="K264" s="39" t="n">
        <f aca="false">ROUND(AE263*(1+N('My Debts'!$D$15)/12),2)</f>
        <v>0</v>
      </c>
      <c r="L264" s="39" t="n">
        <f aca="false">MIN(N('My Debts'!$E$6),B264)</f>
        <v>0</v>
      </c>
      <c r="M264" s="39" t="n">
        <f aca="false">MIN(N('My Debts'!$E$7),C264)</f>
        <v>0</v>
      </c>
      <c r="N264" s="39" t="n">
        <f aca="false">MIN(N('My Debts'!$E$8),D264)</f>
        <v>0</v>
      </c>
      <c r="O264" s="39" t="n">
        <f aca="false">MIN(N('My Debts'!$E$9),E264)</f>
        <v>0</v>
      </c>
      <c r="P264" s="39" t="n">
        <f aca="false">MIN(N('My Debts'!$E$10),F264)</f>
        <v>0</v>
      </c>
      <c r="Q264" s="39" t="n">
        <f aca="false">MIN(N('My Debts'!$E$11),G264)</f>
        <v>0</v>
      </c>
      <c r="R264" s="39" t="n">
        <f aca="false">MIN(N('My Debts'!$E$12),H264)</f>
        <v>0</v>
      </c>
      <c r="S264" s="39" t="n">
        <f aca="false">MIN(N('My Debts'!$E$13),I264)</f>
        <v>0</v>
      </c>
      <c r="T264" s="39" t="n">
        <f aca="false">MIN(N('My Debts'!$E$14),J264)</f>
        <v>0</v>
      </c>
      <c r="U264" s="39" t="n">
        <f aca="false">MIN(N('My Debts'!$E$15),K264)</f>
        <v>0</v>
      </c>
      <c r="V264" s="39" t="n">
        <f aca="false">ROUND(B264-L264-MIN(B264-L264,MAX(0,$AF264-SUMPRODUCT(--($B$4:$K$4&lt;B$4),$B264:$K264-$L264:$U264))),2)</f>
        <v>0</v>
      </c>
      <c r="W264" s="39" t="n">
        <f aca="false">ROUND(C264-M264-MIN(C264-M264,MAX(0,$AF264-SUMPRODUCT(--($B$4:$K$4&lt;C$4),$B264:$K264-$L264:$U264))),2)</f>
        <v>0</v>
      </c>
      <c r="X264" s="39" t="n">
        <f aca="false">ROUND(D264-N264-MIN(D264-N264,MAX(0,$AF264-SUMPRODUCT(--($B$4:$K$4&lt;D$4),$B264:$K264-$L264:$U264))),2)</f>
        <v>0</v>
      </c>
      <c r="Y264" s="39" t="n">
        <f aca="false">ROUND(E264-O264-MIN(E264-O264,MAX(0,$AF264-SUMPRODUCT(--($B$4:$K$4&lt;E$4),$B264:$K264-$L264:$U264))),2)</f>
        <v>0</v>
      </c>
      <c r="Z264" s="39" t="n">
        <f aca="false">ROUND(F264-P264-MIN(F264-P264,MAX(0,$AF264-SUMPRODUCT(--($B$4:$K$4&lt;F$4),$B264:$K264-$L264:$U264))),2)</f>
        <v>0</v>
      </c>
      <c r="AA264" s="39" t="n">
        <f aca="false">ROUND(G264-Q264-MIN(G264-Q264,MAX(0,$AF264-SUMPRODUCT(--($B$4:$K$4&lt;G$4),$B264:$K264-$L264:$U264))),2)</f>
        <v>0</v>
      </c>
      <c r="AB264" s="39" t="n">
        <f aca="false">ROUND(H264-R264-MIN(H264-R264,MAX(0,$AF264-SUMPRODUCT(--($B$4:$K$4&lt;H$4),$B264:$K264-$L264:$U264))),2)</f>
        <v>0</v>
      </c>
      <c r="AC264" s="39" t="n">
        <f aca="false">ROUND(I264-S264-MIN(I264-S264,MAX(0,$AF264-SUMPRODUCT(--($B$4:$K$4&lt;I$4),$B264:$K264-$L264:$U264))),2)</f>
        <v>0</v>
      </c>
      <c r="AD264" s="39" t="n">
        <f aca="false">ROUND(J264-T264-MIN(J264-T264,MAX(0,$AF264-SUMPRODUCT(--($B$4:$K$4&lt;J$4),$B264:$K264-$L264:$U264))),2)</f>
        <v>0</v>
      </c>
      <c r="AE264" s="39" t="n">
        <f aca="false">ROUND(K264-U264-MIN(K264-U264,MAX(0,$AF264-SUMPRODUCT(--($B$4:$K$4&lt;K$4),$B264:$K264-$L264:$U264))),2)</f>
        <v>0</v>
      </c>
      <c r="AF264" s="39" t="n">
        <f aca="false">MAX(0,'Start Here'!$C$5-SUM($L264:$U264))</f>
        <v>1200</v>
      </c>
      <c r="AG264" s="39" t="n">
        <f aca="false">SUM(V264:AE264)</f>
        <v>0</v>
      </c>
      <c r="AH264" s="39" t="n">
        <f aca="false">SUM(B264:K264)-AG263</f>
        <v>0</v>
      </c>
    </row>
    <row r="265" customFormat="false" ht="15" hidden="false" customHeight="false" outlineLevel="0" collapsed="false">
      <c r="A265" s="40" t="n">
        <f aca="false">DATE(YEAR('Start Here'!$C$6),MONTH('Start Here'!$C$6)+258,1)</f>
        <v>54149</v>
      </c>
      <c r="B265" s="39" t="n">
        <f aca="false">ROUND(V264*(1+N('My Debts'!$D$6)/12),2)</f>
        <v>0</v>
      </c>
      <c r="C265" s="39" t="n">
        <f aca="false">ROUND(W264*(1+N('My Debts'!$D$7)/12),2)</f>
        <v>0</v>
      </c>
      <c r="D265" s="39" t="n">
        <f aca="false">ROUND(X264*(1+N('My Debts'!$D$8)/12),2)</f>
        <v>0</v>
      </c>
      <c r="E265" s="39" t="n">
        <f aca="false">ROUND(Y264*(1+N('My Debts'!$D$9)/12),2)</f>
        <v>0</v>
      </c>
      <c r="F265" s="39" t="n">
        <f aca="false">ROUND(Z264*(1+N('My Debts'!$D$10)/12),2)</f>
        <v>0</v>
      </c>
      <c r="G265" s="39" t="n">
        <f aca="false">ROUND(AA264*(1+N('My Debts'!$D$11)/12),2)</f>
        <v>0</v>
      </c>
      <c r="H265" s="39" t="n">
        <f aca="false">ROUND(AB264*(1+N('My Debts'!$D$12)/12),2)</f>
        <v>0</v>
      </c>
      <c r="I265" s="39" t="n">
        <f aca="false">ROUND(AC264*(1+N('My Debts'!$D$13)/12),2)</f>
        <v>0</v>
      </c>
      <c r="J265" s="39" t="n">
        <f aca="false">ROUND(AD264*(1+N('My Debts'!$D$14)/12),2)</f>
        <v>0</v>
      </c>
      <c r="K265" s="39" t="n">
        <f aca="false">ROUND(AE264*(1+N('My Debts'!$D$15)/12),2)</f>
        <v>0</v>
      </c>
      <c r="L265" s="39" t="n">
        <f aca="false">MIN(N('My Debts'!$E$6),B265)</f>
        <v>0</v>
      </c>
      <c r="M265" s="39" t="n">
        <f aca="false">MIN(N('My Debts'!$E$7),C265)</f>
        <v>0</v>
      </c>
      <c r="N265" s="39" t="n">
        <f aca="false">MIN(N('My Debts'!$E$8),D265)</f>
        <v>0</v>
      </c>
      <c r="O265" s="39" t="n">
        <f aca="false">MIN(N('My Debts'!$E$9),E265)</f>
        <v>0</v>
      </c>
      <c r="P265" s="39" t="n">
        <f aca="false">MIN(N('My Debts'!$E$10),F265)</f>
        <v>0</v>
      </c>
      <c r="Q265" s="39" t="n">
        <f aca="false">MIN(N('My Debts'!$E$11),G265)</f>
        <v>0</v>
      </c>
      <c r="R265" s="39" t="n">
        <f aca="false">MIN(N('My Debts'!$E$12),H265)</f>
        <v>0</v>
      </c>
      <c r="S265" s="39" t="n">
        <f aca="false">MIN(N('My Debts'!$E$13),I265)</f>
        <v>0</v>
      </c>
      <c r="T265" s="39" t="n">
        <f aca="false">MIN(N('My Debts'!$E$14),J265)</f>
        <v>0</v>
      </c>
      <c r="U265" s="39" t="n">
        <f aca="false">MIN(N('My Debts'!$E$15),K265)</f>
        <v>0</v>
      </c>
      <c r="V265" s="39" t="n">
        <f aca="false">ROUND(B265-L265-MIN(B265-L265,MAX(0,$AF265-SUMPRODUCT(--($B$4:$K$4&lt;B$4),$B265:$K265-$L265:$U265))),2)</f>
        <v>0</v>
      </c>
      <c r="W265" s="39" t="n">
        <f aca="false">ROUND(C265-M265-MIN(C265-M265,MAX(0,$AF265-SUMPRODUCT(--($B$4:$K$4&lt;C$4),$B265:$K265-$L265:$U265))),2)</f>
        <v>0</v>
      </c>
      <c r="X265" s="39" t="n">
        <f aca="false">ROUND(D265-N265-MIN(D265-N265,MAX(0,$AF265-SUMPRODUCT(--($B$4:$K$4&lt;D$4),$B265:$K265-$L265:$U265))),2)</f>
        <v>0</v>
      </c>
      <c r="Y265" s="39" t="n">
        <f aca="false">ROUND(E265-O265-MIN(E265-O265,MAX(0,$AF265-SUMPRODUCT(--($B$4:$K$4&lt;E$4),$B265:$K265-$L265:$U265))),2)</f>
        <v>0</v>
      </c>
      <c r="Z265" s="39" t="n">
        <f aca="false">ROUND(F265-P265-MIN(F265-P265,MAX(0,$AF265-SUMPRODUCT(--($B$4:$K$4&lt;F$4),$B265:$K265-$L265:$U265))),2)</f>
        <v>0</v>
      </c>
      <c r="AA265" s="39" t="n">
        <f aca="false">ROUND(G265-Q265-MIN(G265-Q265,MAX(0,$AF265-SUMPRODUCT(--($B$4:$K$4&lt;G$4),$B265:$K265-$L265:$U265))),2)</f>
        <v>0</v>
      </c>
      <c r="AB265" s="39" t="n">
        <f aca="false">ROUND(H265-R265-MIN(H265-R265,MAX(0,$AF265-SUMPRODUCT(--($B$4:$K$4&lt;H$4),$B265:$K265-$L265:$U265))),2)</f>
        <v>0</v>
      </c>
      <c r="AC265" s="39" t="n">
        <f aca="false">ROUND(I265-S265-MIN(I265-S265,MAX(0,$AF265-SUMPRODUCT(--($B$4:$K$4&lt;I$4),$B265:$K265-$L265:$U265))),2)</f>
        <v>0</v>
      </c>
      <c r="AD265" s="39" t="n">
        <f aca="false">ROUND(J265-T265-MIN(J265-T265,MAX(0,$AF265-SUMPRODUCT(--($B$4:$K$4&lt;J$4),$B265:$K265-$L265:$U265))),2)</f>
        <v>0</v>
      </c>
      <c r="AE265" s="39" t="n">
        <f aca="false">ROUND(K265-U265-MIN(K265-U265,MAX(0,$AF265-SUMPRODUCT(--($B$4:$K$4&lt;K$4),$B265:$K265-$L265:$U265))),2)</f>
        <v>0</v>
      </c>
      <c r="AF265" s="39" t="n">
        <f aca="false">MAX(0,'Start Here'!$C$5-SUM($L265:$U265))</f>
        <v>1200</v>
      </c>
      <c r="AG265" s="39" t="n">
        <f aca="false">SUM(V265:AE265)</f>
        <v>0</v>
      </c>
      <c r="AH265" s="39" t="n">
        <f aca="false">SUM(B265:K265)-AG264</f>
        <v>0</v>
      </c>
    </row>
    <row r="266" customFormat="false" ht="15" hidden="false" customHeight="false" outlineLevel="0" collapsed="false">
      <c r="A266" s="40" t="n">
        <f aca="false">DATE(YEAR('Start Here'!$C$6),MONTH('Start Here'!$C$6)+259,1)</f>
        <v>54179</v>
      </c>
      <c r="B266" s="39" t="n">
        <f aca="false">ROUND(V265*(1+N('My Debts'!$D$6)/12),2)</f>
        <v>0</v>
      </c>
      <c r="C266" s="39" t="n">
        <f aca="false">ROUND(W265*(1+N('My Debts'!$D$7)/12),2)</f>
        <v>0</v>
      </c>
      <c r="D266" s="39" t="n">
        <f aca="false">ROUND(X265*(1+N('My Debts'!$D$8)/12),2)</f>
        <v>0</v>
      </c>
      <c r="E266" s="39" t="n">
        <f aca="false">ROUND(Y265*(1+N('My Debts'!$D$9)/12),2)</f>
        <v>0</v>
      </c>
      <c r="F266" s="39" t="n">
        <f aca="false">ROUND(Z265*(1+N('My Debts'!$D$10)/12),2)</f>
        <v>0</v>
      </c>
      <c r="G266" s="39" t="n">
        <f aca="false">ROUND(AA265*(1+N('My Debts'!$D$11)/12),2)</f>
        <v>0</v>
      </c>
      <c r="H266" s="39" t="n">
        <f aca="false">ROUND(AB265*(1+N('My Debts'!$D$12)/12),2)</f>
        <v>0</v>
      </c>
      <c r="I266" s="39" t="n">
        <f aca="false">ROUND(AC265*(1+N('My Debts'!$D$13)/12),2)</f>
        <v>0</v>
      </c>
      <c r="J266" s="39" t="n">
        <f aca="false">ROUND(AD265*(1+N('My Debts'!$D$14)/12),2)</f>
        <v>0</v>
      </c>
      <c r="K266" s="39" t="n">
        <f aca="false">ROUND(AE265*(1+N('My Debts'!$D$15)/12),2)</f>
        <v>0</v>
      </c>
      <c r="L266" s="39" t="n">
        <f aca="false">MIN(N('My Debts'!$E$6),B266)</f>
        <v>0</v>
      </c>
      <c r="M266" s="39" t="n">
        <f aca="false">MIN(N('My Debts'!$E$7),C266)</f>
        <v>0</v>
      </c>
      <c r="N266" s="39" t="n">
        <f aca="false">MIN(N('My Debts'!$E$8),D266)</f>
        <v>0</v>
      </c>
      <c r="O266" s="39" t="n">
        <f aca="false">MIN(N('My Debts'!$E$9),E266)</f>
        <v>0</v>
      </c>
      <c r="P266" s="39" t="n">
        <f aca="false">MIN(N('My Debts'!$E$10),F266)</f>
        <v>0</v>
      </c>
      <c r="Q266" s="39" t="n">
        <f aca="false">MIN(N('My Debts'!$E$11),G266)</f>
        <v>0</v>
      </c>
      <c r="R266" s="39" t="n">
        <f aca="false">MIN(N('My Debts'!$E$12),H266)</f>
        <v>0</v>
      </c>
      <c r="S266" s="39" t="n">
        <f aca="false">MIN(N('My Debts'!$E$13),I266)</f>
        <v>0</v>
      </c>
      <c r="T266" s="39" t="n">
        <f aca="false">MIN(N('My Debts'!$E$14),J266)</f>
        <v>0</v>
      </c>
      <c r="U266" s="39" t="n">
        <f aca="false">MIN(N('My Debts'!$E$15),K266)</f>
        <v>0</v>
      </c>
      <c r="V266" s="39" t="n">
        <f aca="false">ROUND(B266-L266-MIN(B266-L266,MAX(0,$AF266-SUMPRODUCT(--($B$4:$K$4&lt;B$4),$B266:$K266-$L266:$U266))),2)</f>
        <v>0</v>
      </c>
      <c r="W266" s="39" t="n">
        <f aca="false">ROUND(C266-M266-MIN(C266-M266,MAX(0,$AF266-SUMPRODUCT(--($B$4:$K$4&lt;C$4),$B266:$K266-$L266:$U266))),2)</f>
        <v>0</v>
      </c>
      <c r="X266" s="39" t="n">
        <f aca="false">ROUND(D266-N266-MIN(D266-N266,MAX(0,$AF266-SUMPRODUCT(--($B$4:$K$4&lt;D$4),$B266:$K266-$L266:$U266))),2)</f>
        <v>0</v>
      </c>
      <c r="Y266" s="39" t="n">
        <f aca="false">ROUND(E266-O266-MIN(E266-O266,MAX(0,$AF266-SUMPRODUCT(--($B$4:$K$4&lt;E$4),$B266:$K266-$L266:$U266))),2)</f>
        <v>0</v>
      </c>
      <c r="Z266" s="39" t="n">
        <f aca="false">ROUND(F266-P266-MIN(F266-P266,MAX(0,$AF266-SUMPRODUCT(--($B$4:$K$4&lt;F$4),$B266:$K266-$L266:$U266))),2)</f>
        <v>0</v>
      </c>
      <c r="AA266" s="39" t="n">
        <f aca="false">ROUND(G266-Q266-MIN(G266-Q266,MAX(0,$AF266-SUMPRODUCT(--($B$4:$K$4&lt;G$4),$B266:$K266-$L266:$U266))),2)</f>
        <v>0</v>
      </c>
      <c r="AB266" s="39" t="n">
        <f aca="false">ROUND(H266-R266-MIN(H266-R266,MAX(0,$AF266-SUMPRODUCT(--($B$4:$K$4&lt;H$4),$B266:$K266-$L266:$U266))),2)</f>
        <v>0</v>
      </c>
      <c r="AC266" s="39" t="n">
        <f aca="false">ROUND(I266-S266-MIN(I266-S266,MAX(0,$AF266-SUMPRODUCT(--($B$4:$K$4&lt;I$4),$B266:$K266-$L266:$U266))),2)</f>
        <v>0</v>
      </c>
      <c r="AD266" s="39" t="n">
        <f aca="false">ROUND(J266-T266-MIN(J266-T266,MAX(0,$AF266-SUMPRODUCT(--($B$4:$K$4&lt;J$4),$B266:$K266-$L266:$U266))),2)</f>
        <v>0</v>
      </c>
      <c r="AE266" s="39" t="n">
        <f aca="false">ROUND(K266-U266-MIN(K266-U266,MAX(0,$AF266-SUMPRODUCT(--($B$4:$K$4&lt;K$4),$B266:$K266-$L266:$U266))),2)</f>
        <v>0</v>
      </c>
      <c r="AF266" s="39" t="n">
        <f aca="false">MAX(0,'Start Here'!$C$5-SUM($L266:$U266))</f>
        <v>1200</v>
      </c>
      <c r="AG266" s="39" t="n">
        <f aca="false">SUM(V266:AE266)</f>
        <v>0</v>
      </c>
      <c r="AH266" s="39" t="n">
        <f aca="false">SUM(B266:K266)-AG265</f>
        <v>0</v>
      </c>
    </row>
    <row r="267" customFormat="false" ht="15" hidden="false" customHeight="false" outlineLevel="0" collapsed="false">
      <c r="A267" s="40" t="n">
        <f aca="false">DATE(YEAR('Start Here'!$C$6),MONTH('Start Here'!$C$6)+260,1)</f>
        <v>54210</v>
      </c>
      <c r="B267" s="39" t="n">
        <f aca="false">ROUND(V266*(1+N('My Debts'!$D$6)/12),2)</f>
        <v>0</v>
      </c>
      <c r="C267" s="39" t="n">
        <f aca="false">ROUND(W266*(1+N('My Debts'!$D$7)/12),2)</f>
        <v>0</v>
      </c>
      <c r="D267" s="39" t="n">
        <f aca="false">ROUND(X266*(1+N('My Debts'!$D$8)/12),2)</f>
        <v>0</v>
      </c>
      <c r="E267" s="39" t="n">
        <f aca="false">ROUND(Y266*(1+N('My Debts'!$D$9)/12),2)</f>
        <v>0</v>
      </c>
      <c r="F267" s="39" t="n">
        <f aca="false">ROUND(Z266*(1+N('My Debts'!$D$10)/12),2)</f>
        <v>0</v>
      </c>
      <c r="G267" s="39" t="n">
        <f aca="false">ROUND(AA266*(1+N('My Debts'!$D$11)/12),2)</f>
        <v>0</v>
      </c>
      <c r="H267" s="39" t="n">
        <f aca="false">ROUND(AB266*(1+N('My Debts'!$D$12)/12),2)</f>
        <v>0</v>
      </c>
      <c r="I267" s="39" t="n">
        <f aca="false">ROUND(AC266*(1+N('My Debts'!$D$13)/12),2)</f>
        <v>0</v>
      </c>
      <c r="J267" s="39" t="n">
        <f aca="false">ROUND(AD266*(1+N('My Debts'!$D$14)/12),2)</f>
        <v>0</v>
      </c>
      <c r="K267" s="39" t="n">
        <f aca="false">ROUND(AE266*(1+N('My Debts'!$D$15)/12),2)</f>
        <v>0</v>
      </c>
      <c r="L267" s="39" t="n">
        <f aca="false">MIN(N('My Debts'!$E$6),B267)</f>
        <v>0</v>
      </c>
      <c r="M267" s="39" t="n">
        <f aca="false">MIN(N('My Debts'!$E$7),C267)</f>
        <v>0</v>
      </c>
      <c r="N267" s="39" t="n">
        <f aca="false">MIN(N('My Debts'!$E$8),D267)</f>
        <v>0</v>
      </c>
      <c r="O267" s="39" t="n">
        <f aca="false">MIN(N('My Debts'!$E$9),E267)</f>
        <v>0</v>
      </c>
      <c r="P267" s="39" t="n">
        <f aca="false">MIN(N('My Debts'!$E$10),F267)</f>
        <v>0</v>
      </c>
      <c r="Q267" s="39" t="n">
        <f aca="false">MIN(N('My Debts'!$E$11),G267)</f>
        <v>0</v>
      </c>
      <c r="R267" s="39" t="n">
        <f aca="false">MIN(N('My Debts'!$E$12),H267)</f>
        <v>0</v>
      </c>
      <c r="S267" s="39" t="n">
        <f aca="false">MIN(N('My Debts'!$E$13),I267)</f>
        <v>0</v>
      </c>
      <c r="T267" s="39" t="n">
        <f aca="false">MIN(N('My Debts'!$E$14),J267)</f>
        <v>0</v>
      </c>
      <c r="U267" s="39" t="n">
        <f aca="false">MIN(N('My Debts'!$E$15),K267)</f>
        <v>0</v>
      </c>
      <c r="V267" s="39" t="n">
        <f aca="false">ROUND(B267-L267-MIN(B267-L267,MAX(0,$AF267-SUMPRODUCT(--($B$4:$K$4&lt;B$4),$B267:$K267-$L267:$U267))),2)</f>
        <v>0</v>
      </c>
      <c r="W267" s="39" t="n">
        <f aca="false">ROUND(C267-M267-MIN(C267-M267,MAX(0,$AF267-SUMPRODUCT(--($B$4:$K$4&lt;C$4),$B267:$K267-$L267:$U267))),2)</f>
        <v>0</v>
      </c>
      <c r="X267" s="39" t="n">
        <f aca="false">ROUND(D267-N267-MIN(D267-N267,MAX(0,$AF267-SUMPRODUCT(--($B$4:$K$4&lt;D$4),$B267:$K267-$L267:$U267))),2)</f>
        <v>0</v>
      </c>
      <c r="Y267" s="39" t="n">
        <f aca="false">ROUND(E267-O267-MIN(E267-O267,MAX(0,$AF267-SUMPRODUCT(--($B$4:$K$4&lt;E$4),$B267:$K267-$L267:$U267))),2)</f>
        <v>0</v>
      </c>
      <c r="Z267" s="39" t="n">
        <f aca="false">ROUND(F267-P267-MIN(F267-P267,MAX(0,$AF267-SUMPRODUCT(--($B$4:$K$4&lt;F$4),$B267:$K267-$L267:$U267))),2)</f>
        <v>0</v>
      </c>
      <c r="AA267" s="39" t="n">
        <f aca="false">ROUND(G267-Q267-MIN(G267-Q267,MAX(0,$AF267-SUMPRODUCT(--($B$4:$K$4&lt;G$4),$B267:$K267-$L267:$U267))),2)</f>
        <v>0</v>
      </c>
      <c r="AB267" s="39" t="n">
        <f aca="false">ROUND(H267-R267-MIN(H267-R267,MAX(0,$AF267-SUMPRODUCT(--($B$4:$K$4&lt;H$4),$B267:$K267-$L267:$U267))),2)</f>
        <v>0</v>
      </c>
      <c r="AC267" s="39" t="n">
        <f aca="false">ROUND(I267-S267-MIN(I267-S267,MAX(0,$AF267-SUMPRODUCT(--($B$4:$K$4&lt;I$4),$B267:$K267-$L267:$U267))),2)</f>
        <v>0</v>
      </c>
      <c r="AD267" s="39" t="n">
        <f aca="false">ROUND(J267-T267-MIN(J267-T267,MAX(0,$AF267-SUMPRODUCT(--($B$4:$K$4&lt;J$4),$B267:$K267-$L267:$U267))),2)</f>
        <v>0</v>
      </c>
      <c r="AE267" s="39" t="n">
        <f aca="false">ROUND(K267-U267-MIN(K267-U267,MAX(0,$AF267-SUMPRODUCT(--($B$4:$K$4&lt;K$4),$B267:$K267-$L267:$U267))),2)</f>
        <v>0</v>
      </c>
      <c r="AF267" s="39" t="n">
        <f aca="false">MAX(0,'Start Here'!$C$5-SUM($L267:$U267))</f>
        <v>1200</v>
      </c>
      <c r="AG267" s="39" t="n">
        <f aca="false">SUM(V267:AE267)</f>
        <v>0</v>
      </c>
      <c r="AH267" s="39" t="n">
        <f aca="false">SUM(B267:K267)-AG266</f>
        <v>0</v>
      </c>
    </row>
    <row r="268" customFormat="false" ht="15" hidden="false" customHeight="false" outlineLevel="0" collapsed="false">
      <c r="A268" s="40" t="n">
        <f aca="false">DATE(YEAR('Start Here'!$C$6),MONTH('Start Here'!$C$6)+261,1)</f>
        <v>54240</v>
      </c>
      <c r="B268" s="39" t="n">
        <f aca="false">ROUND(V267*(1+N('My Debts'!$D$6)/12),2)</f>
        <v>0</v>
      </c>
      <c r="C268" s="39" t="n">
        <f aca="false">ROUND(W267*(1+N('My Debts'!$D$7)/12),2)</f>
        <v>0</v>
      </c>
      <c r="D268" s="39" t="n">
        <f aca="false">ROUND(X267*(1+N('My Debts'!$D$8)/12),2)</f>
        <v>0</v>
      </c>
      <c r="E268" s="39" t="n">
        <f aca="false">ROUND(Y267*(1+N('My Debts'!$D$9)/12),2)</f>
        <v>0</v>
      </c>
      <c r="F268" s="39" t="n">
        <f aca="false">ROUND(Z267*(1+N('My Debts'!$D$10)/12),2)</f>
        <v>0</v>
      </c>
      <c r="G268" s="39" t="n">
        <f aca="false">ROUND(AA267*(1+N('My Debts'!$D$11)/12),2)</f>
        <v>0</v>
      </c>
      <c r="H268" s="39" t="n">
        <f aca="false">ROUND(AB267*(1+N('My Debts'!$D$12)/12),2)</f>
        <v>0</v>
      </c>
      <c r="I268" s="39" t="n">
        <f aca="false">ROUND(AC267*(1+N('My Debts'!$D$13)/12),2)</f>
        <v>0</v>
      </c>
      <c r="J268" s="39" t="n">
        <f aca="false">ROUND(AD267*(1+N('My Debts'!$D$14)/12),2)</f>
        <v>0</v>
      </c>
      <c r="K268" s="39" t="n">
        <f aca="false">ROUND(AE267*(1+N('My Debts'!$D$15)/12),2)</f>
        <v>0</v>
      </c>
      <c r="L268" s="39" t="n">
        <f aca="false">MIN(N('My Debts'!$E$6),B268)</f>
        <v>0</v>
      </c>
      <c r="M268" s="39" t="n">
        <f aca="false">MIN(N('My Debts'!$E$7),C268)</f>
        <v>0</v>
      </c>
      <c r="N268" s="39" t="n">
        <f aca="false">MIN(N('My Debts'!$E$8),D268)</f>
        <v>0</v>
      </c>
      <c r="O268" s="39" t="n">
        <f aca="false">MIN(N('My Debts'!$E$9),E268)</f>
        <v>0</v>
      </c>
      <c r="P268" s="39" t="n">
        <f aca="false">MIN(N('My Debts'!$E$10),F268)</f>
        <v>0</v>
      </c>
      <c r="Q268" s="39" t="n">
        <f aca="false">MIN(N('My Debts'!$E$11),G268)</f>
        <v>0</v>
      </c>
      <c r="R268" s="39" t="n">
        <f aca="false">MIN(N('My Debts'!$E$12),H268)</f>
        <v>0</v>
      </c>
      <c r="S268" s="39" t="n">
        <f aca="false">MIN(N('My Debts'!$E$13),I268)</f>
        <v>0</v>
      </c>
      <c r="T268" s="39" t="n">
        <f aca="false">MIN(N('My Debts'!$E$14),J268)</f>
        <v>0</v>
      </c>
      <c r="U268" s="39" t="n">
        <f aca="false">MIN(N('My Debts'!$E$15),K268)</f>
        <v>0</v>
      </c>
      <c r="V268" s="39" t="n">
        <f aca="false">ROUND(B268-L268-MIN(B268-L268,MAX(0,$AF268-SUMPRODUCT(--($B$4:$K$4&lt;B$4),$B268:$K268-$L268:$U268))),2)</f>
        <v>0</v>
      </c>
      <c r="W268" s="39" t="n">
        <f aca="false">ROUND(C268-M268-MIN(C268-M268,MAX(0,$AF268-SUMPRODUCT(--($B$4:$K$4&lt;C$4),$B268:$K268-$L268:$U268))),2)</f>
        <v>0</v>
      </c>
      <c r="X268" s="39" t="n">
        <f aca="false">ROUND(D268-N268-MIN(D268-N268,MAX(0,$AF268-SUMPRODUCT(--($B$4:$K$4&lt;D$4),$B268:$K268-$L268:$U268))),2)</f>
        <v>0</v>
      </c>
      <c r="Y268" s="39" t="n">
        <f aca="false">ROUND(E268-O268-MIN(E268-O268,MAX(0,$AF268-SUMPRODUCT(--($B$4:$K$4&lt;E$4),$B268:$K268-$L268:$U268))),2)</f>
        <v>0</v>
      </c>
      <c r="Z268" s="39" t="n">
        <f aca="false">ROUND(F268-P268-MIN(F268-P268,MAX(0,$AF268-SUMPRODUCT(--($B$4:$K$4&lt;F$4),$B268:$K268-$L268:$U268))),2)</f>
        <v>0</v>
      </c>
      <c r="AA268" s="39" t="n">
        <f aca="false">ROUND(G268-Q268-MIN(G268-Q268,MAX(0,$AF268-SUMPRODUCT(--($B$4:$K$4&lt;G$4),$B268:$K268-$L268:$U268))),2)</f>
        <v>0</v>
      </c>
      <c r="AB268" s="39" t="n">
        <f aca="false">ROUND(H268-R268-MIN(H268-R268,MAX(0,$AF268-SUMPRODUCT(--($B$4:$K$4&lt;H$4),$B268:$K268-$L268:$U268))),2)</f>
        <v>0</v>
      </c>
      <c r="AC268" s="39" t="n">
        <f aca="false">ROUND(I268-S268-MIN(I268-S268,MAX(0,$AF268-SUMPRODUCT(--($B$4:$K$4&lt;I$4),$B268:$K268-$L268:$U268))),2)</f>
        <v>0</v>
      </c>
      <c r="AD268" s="39" t="n">
        <f aca="false">ROUND(J268-T268-MIN(J268-T268,MAX(0,$AF268-SUMPRODUCT(--($B$4:$K$4&lt;J$4),$B268:$K268-$L268:$U268))),2)</f>
        <v>0</v>
      </c>
      <c r="AE268" s="39" t="n">
        <f aca="false">ROUND(K268-U268-MIN(K268-U268,MAX(0,$AF268-SUMPRODUCT(--($B$4:$K$4&lt;K$4),$B268:$K268-$L268:$U268))),2)</f>
        <v>0</v>
      </c>
      <c r="AF268" s="39" t="n">
        <f aca="false">MAX(0,'Start Here'!$C$5-SUM($L268:$U268))</f>
        <v>1200</v>
      </c>
      <c r="AG268" s="39" t="n">
        <f aca="false">SUM(V268:AE268)</f>
        <v>0</v>
      </c>
      <c r="AH268" s="39" t="n">
        <f aca="false">SUM(B268:K268)-AG267</f>
        <v>0</v>
      </c>
    </row>
    <row r="269" customFormat="false" ht="15" hidden="false" customHeight="false" outlineLevel="0" collapsed="false">
      <c r="A269" s="40" t="n">
        <f aca="false">DATE(YEAR('Start Here'!$C$6),MONTH('Start Here'!$C$6)+262,1)</f>
        <v>54271</v>
      </c>
      <c r="B269" s="39" t="n">
        <f aca="false">ROUND(V268*(1+N('My Debts'!$D$6)/12),2)</f>
        <v>0</v>
      </c>
      <c r="C269" s="39" t="n">
        <f aca="false">ROUND(W268*(1+N('My Debts'!$D$7)/12),2)</f>
        <v>0</v>
      </c>
      <c r="D269" s="39" t="n">
        <f aca="false">ROUND(X268*(1+N('My Debts'!$D$8)/12),2)</f>
        <v>0</v>
      </c>
      <c r="E269" s="39" t="n">
        <f aca="false">ROUND(Y268*(1+N('My Debts'!$D$9)/12),2)</f>
        <v>0</v>
      </c>
      <c r="F269" s="39" t="n">
        <f aca="false">ROUND(Z268*(1+N('My Debts'!$D$10)/12),2)</f>
        <v>0</v>
      </c>
      <c r="G269" s="39" t="n">
        <f aca="false">ROUND(AA268*(1+N('My Debts'!$D$11)/12),2)</f>
        <v>0</v>
      </c>
      <c r="H269" s="39" t="n">
        <f aca="false">ROUND(AB268*(1+N('My Debts'!$D$12)/12),2)</f>
        <v>0</v>
      </c>
      <c r="I269" s="39" t="n">
        <f aca="false">ROUND(AC268*(1+N('My Debts'!$D$13)/12),2)</f>
        <v>0</v>
      </c>
      <c r="J269" s="39" t="n">
        <f aca="false">ROUND(AD268*(1+N('My Debts'!$D$14)/12),2)</f>
        <v>0</v>
      </c>
      <c r="K269" s="39" t="n">
        <f aca="false">ROUND(AE268*(1+N('My Debts'!$D$15)/12),2)</f>
        <v>0</v>
      </c>
      <c r="L269" s="39" t="n">
        <f aca="false">MIN(N('My Debts'!$E$6),B269)</f>
        <v>0</v>
      </c>
      <c r="M269" s="39" t="n">
        <f aca="false">MIN(N('My Debts'!$E$7),C269)</f>
        <v>0</v>
      </c>
      <c r="N269" s="39" t="n">
        <f aca="false">MIN(N('My Debts'!$E$8),D269)</f>
        <v>0</v>
      </c>
      <c r="O269" s="39" t="n">
        <f aca="false">MIN(N('My Debts'!$E$9),E269)</f>
        <v>0</v>
      </c>
      <c r="P269" s="39" t="n">
        <f aca="false">MIN(N('My Debts'!$E$10),F269)</f>
        <v>0</v>
      </c>
      <c r="Q269" s="39" t="n">
        <f aca="false">MIN(N('My Debts'!$E$11),G269)</f>
        <v>0</v>
      </c>
      <c r="R269" s="39" t="n">
        <f aca="false">MIN(N('My Debts'!$E$12),H269)</f>
        <v>0</v>
      </c>
      <c r="S269" s="39" t="n">
        <f aca="false">MIN(N('My Debts'!$E$13),I269)</f>
        <v>0</v>
      </c>
      <c r="T269" s="39" t="n">
        <f aca="false">MIN(N('My Debts'!$E$14),J269)</f>
        <v>0</v>
      </c>
      <c r="U269" s="39" t="n">
        <f aca="false">MIN(N('My Debts'!$E$15),K269)</f>
        <v>0</v>
      </c>
      <c r="V269" s="39" t="n">
        <f aca="false">ROUND(B269-L269-MIN(B269-L269,MAX(0,$AF269-SUMPRODUCT(--($B$4:$K$4&lt;B$4),$B269:$K269-$L269:$U269))),2)</f>
        <v>0</v>
      </c>
      <c r="W269" s="39" t="n">
        <f aca="false">ROUND(C269-M269-MIN(C269-M269,MAX(0,$AF269-SUMPRODUCT(--($B$4:$K$4&lt;C$4),$B269:$K269-$L269:$U269))),2)</f>
        <v>0</v>
      </c>
      <c r="X269" s="39" t="n">
        <f aca="false">ROUND(D269-N269-MIN(D269-N269,MAX(0,$AF269-SUMPRODUCT(--($B$4:$K$4&lt;D$4),$B269:$K269-$L269:$U269))),2)</f>
        <v>0</v>
      </c>
      <c r="Y269" s="39" t="n">
        <f aca="false">ROUND(E269-O269-MIN(E269-O269,MAX(0,$AF269-SUMPRODUCT(--($B$4:$K$4&lt;E$4),$B269:$K269-$L269:$U269))),2)</f>
        <v>0</v>
      </c>
      <c r="Z269" s="39" t="n">
        <f aca="false">ROUND(F269-P269-MIN(F269-P269,MAX(0,$AF269-SUMPRODUCT(--($B$4:$K$4&lt;F$4),$B269:$K269-$L269:$U269))),2)</f>
        <v>0</v>
      </c>
      <c r="AA269" s="39" t="n">
        <f aca="false">ROUND(G269-Q269-MIN(G269-Q269,MAX(0,$AF269-SUMPRODUCT(--($B$4:$K$4&lt;G$4),$B269:$K269-$L269:$U269))),2)</f>
        <v>0</v>
      </c>
      <c r="AB269" s="39" t="n">
        <f aca="false">ROUND(H269-R269-MIN(H269-R269,MAX(0,$AF269-SUMPRODUCT(--($B$4:$K$4&lt;H$4),$B269:$K269-$L269:$U269))),2)</f>
        <v>0</v>
      </c>
      <c r="AC269" s="39" t="n">
        <f aca="false">ROUND(I269-S269-MIN(I269-S269,MAX(0,$AF269-SUMPRODUCT(--($B$4:$K$4&lt;I$4),$B269:$K269-$L269:$U269))),2)</f>
        <v>0</v>
      </c>
      <c r="AD269" s="39" t="n">
        <f aca="false">ROUND(J269-T269-MIN(J269-T269,MAX(0,$AF269-SUMPRODUCT(--($B$4:$K$4&lt;J$4),$B269:$K269-$L269:$U269))),2)</f>
        <v>0</v>
      </c>
      <c r="AE269" s="39" t="n">
        <f aca="false">ROUND(K269-U269-MIN(K269-U269,MAX(0,$AF269-SUMPRODUCT(--($B$4:$K$4&lt;K$4),$B269:$K269-$L269:$U269))),2)</f>
        <v>0</v>
      </c>
      <c r="AF269" s="39" t="n">
        <f aca="false">MAX(0,'Start Here'!$C$5-SUM($L269:$U269))</f>
        <v>1200</v>
      </c>
      <c r="AG269" s="39" t="n">
        <f aca="false">SUM(V269:AE269)</f>
        <v>0</v>
      </c>
      <c r="AH269" s="39" t="n">
        <f aca="false">SUM(B269:K269)-AG268</f>
        <v>0</v>
      </c>
    </row>
    <row r="270" customFormat="false" ht="15" hidden="false" customHeight="false" outlineLevel="0" collapsed="false">
      <c r="A270" s="40" t="n">
        <f aca="false">DATE(YEAR('Start Here'!$C$6),MONTH('Start Here'!$C$6)+263,1)</f>
        <v>54302</v>
      </c>
      <c r="B270" s="39" t="n">
        <f aca="false">ROUND(V269*(1+N('My Debts'!$D$6)/12),2)</f>
        <v>0</v>
      </c>
      <c r="C270" s="39" t="n">
        <f aca="false">ROUND(W269*(1+N('My Debts'!$D$7)/12),2)</f>
        <v>0</v>
      </c>
      <c r="D270" s="39" t="n">
        <f aca="false">ROUND(X269*(1+N('My Debts'!$D$8)/12),2)</f>
        <v>0</v>
      </c>
      <c r="E270" s="39" t="n">
        <f aca="false">ROUND(Y269*(1+N('My Debts'!$D$9)/12),2)</f>
        <v>0</v>
      </c>
      <c r="F270" s="39" t="n">
        <f aca="false">ROUND(Z269*(1+N('My Debts'!$D$10)/12),2)</f>
        <v>0</v>
      </c>
      <c r="G270" s="39" t="n">
        <f aca="false">ROUND(AA269*(1+N('My Debts'!$D$11)/12),2)</f>
        <v>0</v>
      </c>
      <c r="H270" s="39" t="n">
        <f aca="false">ROUND(AB269*(1+N('My Debts'!$D$12)/12),2)</f>
        <v>0</v>
      </c>
      <c r="I270" s="39" t="n">
        <f aca="false">ROUND(AC269*(1+N('My Debts'!$D$13)/12),2)</f>
        <v>0</v>
      </c>
      <c r="J270" s="39" t="n">
        <f aca="false">ROUND(AD269*(1+N('My Debts'!$D$14)/12),2)</f>
        <v>0</v>
      </c>
      <c r="K270" s="39" t="n">
        <f aca="false">ROUND(AE269*(1+N('My Debts'!$D$15)/12),2)</f>
        <v>0</v>
      </c>
      <c r="L270" s="39" t="n">
        <f aca="false">MIN(N('My Debts'!$E$6),B270)</f>
        <v>0</v>
      </c>
      <c r="M270" s="39" t="n">
        <f aca="false">MIN(N('My Debts'!$E$7),C270)</f>
        <v>0</v>
      </c>
      <c r="N270" s="39" t="n">
        <f aca="false">MIN(N('My Debts'!$E$8),D270)</f>
        <v>0</v>
      </c>
      <c r="O270" s="39" t="n">
        <f aca="false">MIN(N('My Debts'!$E$9),E270)</f>
        <v>0</v>
      </c>
      <c r="P270" s="39" t="n">
        <f aca="false">MIN(N('My Debts'!$E$10),F270)</f>
        <v>0</v>
      </c>
      <c r="Q270" s="39" t="n">
        <f aca="false">MIN(N('My Debts'!$E$11),G270)</f>
        <v>0</v>
      </c>
      <c r="R270" s="39" t="n">
        <f aca="false">MIN(N('My Debts'!$E$12),H270)</f>
        <v>0</v>
      </c>
      <c r="S270" s="39" t="n">
        <f aca="false">MIN(N('My Debts'!$E$13),I270)</f>
        <v>0</v>
      </c>
      <c r="T270" s="39" t="n">
        <f aca="false">MIN(N('My Debts'!$E$14),J270)</f>
        <v>0</v>
      </c>
      <c r="U270" s="39" t="n">
        <f aca="false">MIN(N('My Debts'!$E$15),K270)</f>
        <v>0</v>
      </c>
      <c r="V270" s="39" t="n">
        <f aca="false">ROUND(B270-L270-MIN(B270-L270,MAX(0,$AF270-SUMPRODUCT(--($B$4:$K$4&lt;B$4),$B270:$K270-$L270:$U270))),2)</f>
        <v>0</v>
      </c>
      <c r="W270" s="39" t="n">
        <f aca="false">ROUND(C270-M270-MIN(C270-M270,MAX(0,$AF270-SUMPRODUCT(--($B$4:$K$4&lt;C$4),$B270:$K270-$L270:$U270))),2)</f>
        <v>0</v>
      </c>
      <c r="X270" s="39" t="n">
        <f aca="false">ROUND(D270-N270-MIN(D270-N270,MAX(0,$AF270-SUMPRODUCT(--($B$4:$K$4&lt;D$4),$B270:$K270-$L270:$U270))),2)</f>
        <v>0</v>
      </c>
      <c r="Y270" s="39" t="n">
        <f aca="false">ROUND(E270-O270-MIN(E270-O270,MAX(0,$AF270-SUMPRODUCT(--($B$4:$K$4&lt;E$4),$B270:$K270-$L270:$U270))),2)</f>
        <v>0</v>
      </c>
      <c r="Z270" s="39" t="n">
        <f aca="false">ROUND(F270-P270-MIN(F270-P270,MAX(0,$AF270-SUMPRODUCT(--($B$4:$K$4&lt;F$4),$B270:$K270-$L270:$U270))),2)</f>
        <v>0</v>
      </c>
      <c r="AA270" s="39" t="n">
        <f aca="false">ROUND(G270-Q270-MIN(G270-Q270,MAX(0,$AF270-SUMPRODUCT(--($B$4:$K$4&lt;G$4),$B270:$K270-$L270:$U270))),2)</f>
        <v>0</v>
      </c>
      <c r="AB270" s="39" t="n">
        <f aca="false">ROUND(H270-R270-MIN(H270-R270,MAX(0,$AF270-SUMPRODUCT(--($B$4:$K$4&lt;H$4),$B270:$K270-$L270:$U270))),2)</f>
        <v>0</v>
      </c>
      <c r="AC270" s="39" t="n">
        <f aca="false">ROUND(I270-S270-MIN(I270-S270,MAX(0,$AF270-SUMPRODUCT(--($B$4:$K$4&lt;I$4),$B270:$K270-$L270:$U270))),2)</f>
        <v>0</v>
      </c>
      <c r="AD270" s="39" t="n">
        <f aca="false">ROUND(J270-T270-MIN(J270-T270,MAX(0,$AF270-SUMPRODUCT(--($B$4:$K$4&lt;J$4),$B270:$K270-$L270:$U270))),2)</f>
        <v>0</v>
      </c>
      <c r="AE270" s="39" t="n">
        <f aca="false">ROUND(K270-U270-MIN(K270-U270,MAX(0,$AF270-SUMPRODUCT(--($B$4:$K$4&lt;K$4),$B270:$K270-$L270:$U270))),2)</f>
        <v>0</v>
      </c>
      <c r="AF270" s="39" t="n">
        <f aca="false">MAX(0,'Start Here'!$C$5-SUM($L270:$U270))</f>
        <v>1200</v>
      </c>
      <c r="AG270" s="39" t="n">
        <f aca="false">SUM(V270:AE270)</f>
        <v>0</v>
      </c>
      <c r="AH270" s="39" t="n">
        <f aca="false">SUM(B270:K270)-AG269</f>
        <v>0</v>
      </c>
    </row>
    <row r="271" customFormat="false" ht="15" hidden="false" customHeight="false" outlineLevel="0" collapsed="false">
      <c r="A271" s="40" t="n">
        <f aca="false">DATE(YEAR('Start Here'!$C$6),MONTH('Start Here'!$C$6)+264,1)</f>
        <v>54332</v>
      </c>
      <c r="B271" s="39" t="n">
        <f aca="false">ROUND(V270*(1+N('My Debts'!$D$6)/12),2)</f>
        <v>0</v>
      </c>
      <c r="C271" s="39" t="n">
        <f aca="false">ROUND(W270*(1+N('My Debts'!$D$7)/12),2)</f>
        <v>0</v>
      </c>
      <c r="D271" s="39" t="n">
        <f aca="false">ROUND(X270*(1+N('My Debts'!$D$8)/12),2)</f>
        <v>0</v>
      </c>
      <c r="E271" s="39" t="n">
        <f aca="false">ROUND(Y270*(1+N('My Debts'!$D$9)/12),2)</f>
        <v>0</v>
      </c>
      <c r="F271" s="39" t="n">
        <f aca="false">ROUND(Z270*(1+N('My Debts'!$D$10)/12),2)</f>
        <v>0</v>
      </c>
      <c r="G271" s="39" t="n">
        <f aca="false">ROUND(AA270*(1+N('My Debts'!$D$11)/12),2)</f>
        <v>0</v>
      </c>
      <c r="H271" s="39" t="n">
        <f aca="false">ROUND(AB270*(1+N('My Debts'!$D$12)/12),2)</f>
        <v>0</v>
      </c>
      <c r="I271" s="39" t="n">
        <f aca="false">ROUND(AC270*(1+N('My Debts'!$D$13)/12),2)</f>
        <v>0</v>
      </c>
      <c r="J271" s="39" t="n">
        <f aca="false">ROUND(AD270*(1+N('My Debts'!$D$14)/12),2)</f>
        <v>0</v>
      </c>
      <c r="K271" s="39" t="n">
        <f aca="false">ROUND(AE270*(1+N('My Debts'!$D$15)/12),2)</f>
        <v>0</v>
      </c>
      <c r="L271" s="39" t="n">
        <f aca="false">MIN(N('My Debts'!$E$6),B271)</f>
        <v>0</v>
      </c>
      <c r="M271" s="39" t="n">
        <f aca="false">MIN(N('My Debts'!$E$7),C271)</f>
        <v>0</v>
      </c>
      <c r="N271" s="39" t="n">
        <f aca="false">MIN(N('My Debts'!$E$8),D271)</f>
        <v>0</v>
      </c>
      <c r="O271" s="39" t="n">
        <f aca="false">MIN(N('My Debts'!$E$9),E271)</f>
        <v>0</v>
      </c>
      <c r="P271" s="39" t="n">
        <f aca="false">MIN(N('My Debts'!$E$10),F271)</f>
        <v>0</v>
      </c>
      <c r="Q271" s="39" t="n">
        <f aca="false">MIN(N('My Debts'!$E$11),G271)</f>
        <v>0</v>
      </c>
      <c r="R271" s="39" t="n">
        <f aca="false">MIN(N('My Debts'!$E$12),H271)</f>
        <v>0</v>
      </c>
      <c r="S271" s="39" t="n">
        <f aca="false">MIN(N('My Debts'!$E$13),I271)</f>
        <v>0</v>
      </c>
      <c r="T271" s="39" t="n">
        <f aca="false">MIN(N('My Debts'!$E$14),J271)</f>
        <v>0</v>
      </c>
      <c r="U271" s="39" t="n">
        <f aca="false">MIN(N('My Debts'!$E$15),K271)</f>
        <v>0</v>
      </c>
      <c r="V271" s="39" t="n">
        <f aca="false">ROUND(B271-L271-MIN(B271-L271,MAX(0,$AF271-SUMPRODUCT(--($B$4:$K$4&lt;B$4),$B271:$K271-$L271:$U271))),2)</f>
        <v>0</v>
      </c>
      <c r="W271" s="39" t="n">
        <f aca="false">ROUND(C271-M271-MIN(C271-M271,MAX(0,$AF271-SUMPRODUCT(--($B$4:$K$4&lt;C$4),$B271:$K271-$L271:$U271))),2)</f>
        <v>0</v>
      </c>
      <c r="X271" s="39" t="n">
        <f aca="false">ROUND(D271-N271-MIN(D271-N271,MAX(0,$AF271-SUMPRODUCT(--($B$4:$K$4&lt;D$4),$B271:$K271-$L271:$U271))),2)</f>
        <v>0</v>
      </c>
      <c r="Y271" s="39" t="n">
        <f aca="false">ROUND(E271-O271-MIN(E271-O271,MAX(0,$AF271-SUMPRODUCT(--($B$4:$K$4&lt;E$4),$B271:$K271-$L271:$U271))),2)</f>
        <v>0</v>
      </c>
      <c r="Z271" s="39" t="n">
        <f aca="false">ROUND(F271-P271-MIN(F271-P271,MAX(0,$AF271-SUMPRODUCT(--($B$4:$K$4&lt;F$4),$B271:$K271-$L271:$U271))),2)</f>
        <v>0</v>
      </c>
      <c r="AA271" s="39" t="n">
        <f aca="false">ROUND(G271-Q271-MIN(G271-Q271,MAX(0,$AF271-SUMPRODUCT(--($B$4:$K$4&lt;G$4),$B271:$K271-$L271:$U271))),2)</f>
        <v>0</v>
      </c>
      <c r="AB271" s="39" t="n">
        <f aca="false">ROUND(H271-R271-MIN(H271-R271,MAX(0,$AF271-SUMPRODUCT(--($B$4:$K$4&lt;H$4),$B271:$K271-$L271:$U271))),2)</f>
        <v>0</v>
      </c>
      <c r="AC271" s="39" t="n">
        <f aca="false">ROUND(I271-S271-MIN(I271-S271,MAX(0,$AF271-SUMPRODUCT(--($B$4:$K$4&lt;I$4),$B271:$K271-$L271:$U271))),2)</f>
        <v>0</v>
      </c>
      <c r="AD271" s="39" t="n">
        <f aca="false">ROUND(J271-T271-MIN(J271-T271,MAX(0,$AF271-SUMPRODUCT(--($B$4:$K$4&lt;J$4),$B271:$K271-$L271:$U271))),2)</f>
        <v>0</v>
      </c>
      <c r="AE271" s="39" t="n">
        <f aca="false">ROUND(K271-U271-MIN(K271-U271,MAX(0,$AF271-SUMPRODUCT(--($B$4:$K$4&lt;K$4),$B271:$K271-$L271:$U271))),2)</f>
        <v>0</v>
      </c>
      <c r="AF271" s="39" t="n">
        <f aca="false">MAX(0,'Start Here'!$C$5-SUM($L271:$U271))</f>
        <v>1200</v>
      </c>
      <c r="AG271" s="39" t="n">
        <f aca="false">SUM(V271:AE271)</f>
        <v>0</v>
      </c>
      <c r="AH271" s="39" t="n">
        <f aca="false">SUM(B271:K271)-AG270</f>
        <v>0</v>
      </c>
    </row>
    <row r="272" customFormat="false" ht="15" hidden="false" customHeight="false" outlineLevel="0" collapsed="false">
      <c r="A272" s="40" t="n">
        <f aca="false">DATE(YEAR('Start Here'!$C$6),MONTH('Start Here'!$C$6)+265,1)</f>
        <v>54363</v>
      </c>
      <c r="B272" s="39" t="n">
        <f aca="false">ROUND(V271*(1+N('My Debts'!$D$6)/12),2)</f>
        <v>0</v>
      </c>
      <c r="C272" s="39" t="n">
        <f aca="false">ROUND(W271*(1+N('My Debts'!$D$7)/12),2)</f>
        <v>0</v>
      </c>
      <c r="D272" s="39" t="n">
        <f aca="false">ROUND(X271*(1+N('My Debts'!$D$8)/12),2)</f>
        <v>0</v>
      </c>
      <c r="E272" s="39" t="n">
        <f aca="false">ROUND(Y271*(1+N('My Debts'!$D$9)/12),2)</f>
        <v>0</v>
      </c>
      <c r="F272" s="39" t="n">
        <f aca="false">ROUND(Z271*(1+N('My Debts'!$D$10)/12),2)</f>
        <v>0</v>
      </c>
      <c r="G272" s="39" t="n">
        <f aca="false">ROUND(AA271*(1+N('My Debts'!$D$11)/12),2)</f>
        <v>0</v>
      </c>
      <c r="H272" s="39" t="n">
        <f aca="false">ROUND(AB271*(1+N('My Debts'!$D$12)/12),2)</f>
        <v>0</v>
      </c>
      <c r="I272" s="39" t="n">
        <f aca="false">ROUND(AC271*(1+N('My Debts'!$D$13)/12),2)</f>
        <v>0</v>
      </c>
      <c r="J272" s="39" t="n">
        <f aca="false">ROUND(AD271*(1+N('My Debts'!$D$14)/12),2)</f>
        <v>0</v>
      </c>
      <c r="K272" s="39" t="n">
        <f aca="false">ROUND(AE271*(1+N('My Debts'!$D$15)/12),2)</f>
        <v>0</v>
      </c>
      <c r="L272" s="39" t="n">
        <f aca="false">MIN(N('My Debts'!$E$6),B272)</f>
        <v>0</v>
      </c>
      <c r="M272" s="39" t="n">
        <f aca="false">MIN(N('My Debts'!$E$7),C272)</f>
        <v>0</v>
      </c>
      <c r="N272" s="39" t="n">
        <f aca="false">MIN(N('My Debts'!$E$8),D272)</f>
        <v>0</v>
      </c>
      <c r="O272" s="39" t="n">
        <f aca="false">MIN(N('My Debts'!$E$9),E272)</f>
        <v>0</v>
      </c>
      <c r="P272" s="39" t="n">
        <f aca="false">MIN(N('My Debts'!$E$10),F272)</f>
        <v>0</v>
      </c>
      <c r="Q272" s="39" t="n">
        <f aca="false">MIN(N('My Debts'!$E$11),G272)</f>
        <v>0</v>
      </c>
      <c r="R272" s="39" t="n">
        <f aca="false">MIN(N('My Debts'!$E$12),H272)</f>
        <v>0</v>
      </c>
      <c r="S272" s="39" t="n">
        <f aca="false">MIN(N('My Debts'!$E$13),I272)</f>
        <v>0</v>
      </c>
      <c r="T272" s="39" t="n">
        <f aca="false">MIN(N('My Debts'!$E$14),J272)</f>
        <v>0</v>
      </c>
      <c r="U272" s="39" t="n">
        <f aca="false">MIN(N('My Debts'!$E$15),K272)</f>
        <v>0</v>
      </c>
      <c r="V272" s="39" t="n">
        <f aca="false">ROUND(B272-L272-MIN(B272-L272,MAX(0,$AF272-SUMPRODUCT(--($B$4:$K$4&lt;B$4),$B272:$K272-$L272:$U272))),2)</f>
        <v>0</v>
      </c>
      <c r="W272" s="39" t="n">
        <f aca="false">ROUND(C272-M272-MIN(C272-M272,MAX(0,$AF272-SUMPRODUCT(--($B$4:$K$4&lt;C$4),$B272:$K272-$L272:$U272))),2)</f>
        <v>0</v>
      </c>
      <c r="X272" s="39" t="n">
        <f aca="false">ROUND(D272-N272-MIN(D272-N272,MAX(0,$AF272-SUMPRODUCT(--($B$4:$K$4&lt;D$4),$B272:$K272-$L272:$U272))),2)</f>
        <v>0</v>
      </c>
      <c r="Y272" s="39" t="n">
        <f aca="false">ROUND(E272-O272-MIN(E272-O272,MAX(0,$AF272-SUMPRODUCT(--($B$4:$K$4&lt;E$4),$B272:$K272-$L272:$U272))),2)</f>
        <v>0</v>
      </c>
      <c r="Z272" s="39" t="n">
        <f aca="false">ROUND(F272-P272-MIN(F272-P272,MAX(0,$AF272-SUMPRODUCT(--($B$4:$K$4&lt;F$4),$B272:$K272-$L272:$U272))),2)</f>
        <v>0</v>
      </c>
      <c r="AA272" s="39" t="n">
        <f aca="false">ROUND(G272-Q272-MIN(G272-Q272,MAX(0,$AF272-SUMPRODUCT(--($B$4:$K$4&lt;G$4),$B272:$K272-$L272:$U272))),2)</f>
        <v>0</v>
      </c>
      <c r="AB272" s="39" t="n">
        <f aca="false">ROUND(H272-R272-MIN(H272-R272,MAX(0,$AF272-SUMPRODUCT(--($B$4:$K$4&lt;H$4),$B272:$K272-$L272:$U272))),2)</f>
        <v>0</v>
      </c>
      <c r="AC272" s="39" t="n">
        <f aca="false">ROUND(I272-S272-MIN(I272-S272,MAX(0,$AF272-SUMPRODUCT(--($B$4:$K$4&lt;I$4),$B272:$K272-$L272:$U272))),2)</f>
        <v>0</v>
      </c>
      <c r="AD272" s="39" t="n">
        <f aca="false">ROUND(J272-T272-MIN(J272-T272,MAX(0,$AF272-SUMPRODUCT(--($B$4:$K$4&lt;J$4),$B272:$K272-$L272:$U272))),2)</f>
        <v>0</v>
      </c>
      <c r="AE272" s="39" t="n">
        <f aca="false">ROUND(K272-U272-MIN(K272-U272,MAX(0,$AF272-SUMPRODUCT(--($B$4:$K$4&lt;K$4),$B272:$K272-$L272:$U272))),2)</f>
        <v>0</v>
      </c>
      <c r="AF272" s="39" t="n">
        <f aca="false">MAX(0,'Start Here'!$C$5-SUM($L272:$U272))</f>
        <v>1200</v>
      </c>
      <c r="AG272" s="39" t="n">
        <f aca="false">SUM(V272:AE272)</f>
        <v>0</v>
      </c>
      <c r="AH272" s="39" t="n">
        <f aca="false">SUM(B272:K272)-AG271</f>
        <v>0</v>
      </c>
    </row>
    <row r="273" customFormat="false" ht="15" hidden="false" customHeight="false" outlineLevel="0" collapsed="false">
      <c r="A273" s="40" t="n">
        <f aca="false">DATE(YEAR('Start Here'!$C$6),MONTH('Start Here'!$C$6)+266,1)</f>
        <v>54393</v>
      </c>
      <c r="B273" s="39" t="n">
        <f aca="false">ROUND(V272*(1+N('My Debts'!$D$6)/12),2)</f>
        <v>0</v>
      </c>
      <c r="C273" s="39" t="n">
        <f aca="false">ROUND(W272*(1+N('My Debts'!$D$7)/12),2)</f>
        <v>0</v>
      </c>
      <c r="D273" s="39" t="n">
        <f aca="false">ROUND(X272*(1+N('My Debts'!$D$8)/12),2)</f>
        <v>0</v>
      </c>
      <c r="E273" s="39" t="n">
        <f aca="false">ROUND(Y272*(1+N('My Debts'!$D$9)/12),2)</f>
        <v>0</v>
      </c>
      <c r="F273" s="39" t="n">
        <f aca="false">ROUND(Z272*(1+N('My Debts'!$D$10)/12),2)</f>
        <v>0</v>
      </c>
      <c r="G273" s="39" t="n">
        <f aca="false">ROUND(AA272*(1+N('My Debts'!$D$11)/12),2)</f>
        <v>0</v>
      </c>
      <c r="H273" s="39" t="n">
        <f aca="false">ROUND(AB272*(1+N('My Debts'!$D$12)/12),2)</f>
        <v>0</v>
      </c>
      <c r="I273" s="39" t="n">
        <f aca="false">ROUND(AC272*(1+N('My Debts'!$D$13)/12),2)</f>
        <v>0</v>
      </c>
      <c r="J273" s="39" t="n">
        <f aca="false">ROUND(AD272*(1+N('My Debts'!$D$14)/12),2)</f>
        <v>0</v>
      </c>
      <c r="K273" s="39" t="n">
        <f aca="false">ROUND(AE272*(1+N('My Debts'!$D$15)/12),2)</f>
        <v>0</v>
      </c>
      <c r="L273" s="39" t="n">
        <f aca="false">MIN(N('My Debts'!$E$6),B273)</f>
        <v>0</v>
      </c>
      <c r="M273" s="39" t="n">
        <f aca="false">MIN(N('My Debts'!$E$7),C273)</f>
        <v>0</v>
      </c>
      <c r="N273" s="39" t="n">
        <f aca="false">MIN(N('My Debts'!$E$8),D273)</f>
        <v>0</v>
      </c>
      <c r="O273" s="39" t="n">
        <f aca="false">MIN(N('My Debts'!$E$9),E273)</f>
        <v>0</v>
      </c>
      <c r="P273" s="39" t="n">
        <f aca="false">MIN(N('My Debts'!$E$10),F273)</f>
        <v>0</v>
      </c>
      <c r="Q273" s="39" t="n">
        <f aca="false">MIN(N('My Debts'!$E$11),G273)</f>
        <v>0</v>
      </c>
      <c r="R273" s="39" t="n">
        <f aca="false">MIN(N('My Debts'!$E$12),H273)</f>
        <v>0</v>
      </c>
      <c r="S273" s="39" t="n">
        <f aca="false">MIN(N('My Debts'!$E$13),I273)</f>
        <v>0</v>
      </c>
      <c r="T273" s="39" t="n">
        <f aca="false">MIN(N('My Debts'!$E$14),J273)</f>
        <v>0</v>
      </c>
      <c r="U273" s="39" t="n">
        <f aca="false">MIN(N('My Debts'!$E$15),K273)</f>
        <v>0</v>
      </c>
      <c r="V273" s="39" t="n">
        <f aca="false">ROUND(B273-L273-MIN(B273-L273,MAX(0,$AF273-SUMPRODUCT(--($B$4:$K$4&lt;B$4),$B273:$K273-$L273:$U273))),2)</f>
        <v>0</v>
      </c>
      <c r="W273" s="39" t="n">
        <f aca="false">ROUND(C273-M273-MIN(C273-M273,MAX(0,$AF273-SUMPRODUCT(--($B$4:$K$4&lt;C$4),$B273:$K273-$L273:$U273))),2)</f>
        <v>0</v>
      </c>
      <c r="X273" s="39" t="n">
        <f aca="false">ROUND(D273-N273-MIN(D273-N273,MAX(0,$AF273-SUMPRODUCT(--($B$4:$K$4&lt;D$4),$B273:$K273-$L273:$U273))),2)</f>
        <v>0</v>
      </c>
      <c r="Y273" s="39" t="n">
        <f aca="false">ROUND(E273-O273-MIN(E273-O273,MAX(0,$AF273-SUMPRODUCT(--($B$4:$K$4&lt;E$4),$B273:$K273-$L273:$U273))),2)</f>
        <v>0</v>
      </c>
      <c r="Z273" s="39" t="n">
        <f aca="false">ROUND(F273-P273-MIN(F273-P273,MAX(0,$AF273-SUMPRODUCT(--($B$4:$K$4&lt;F$4),$B273:$K273-$L273:$U273))),2)</f>
        <v>0</v>
      </c>
      <c r="AA273" s="39" t="n">
        <f aca="false">ROUND(G273-Q273-MIN(G273-Q273,MAX(0,$AF273-SUMPRODUCT(--($B$4:$K$4&lt;G$4),$B273:$K273-$L273:$U273))),2)</f>
        <v>0</v>
      </c>
      <c r="AB273" s="39" t="n">
        <f aca="false">ROUND(H273-R273-MIN(H273-R273,MAX(0,$AF273-SUMPRODUCT(--($B$4:$K$4&lt;H$4),$B273:$K273-$L273:$U273))),2)</f>
        <v>0</v>
      </c>
      <c r="AC273" s="39" t="n">
        <f aca="false">ROUND(I273-S273-MIN(I273-S273,MAX(0,$AF273-SUMPRODUCT(--($B$4:$K$4&lt;I$4),$B273:$K273-$L273:$U273))),2)</f>
        <v>0</v>
      </c>
      <c r="AD273" s="39" t="n">
        <f aca="false">ROUND(J273-T273-MIN(J273-T273,MAX(0,$AF273-SUMPRODUCT(--($B$4:$K$4&lt;J$4),$B273:$K273-$L273:$U273))),2)</f>
        <v>0</v>
      </c>
      <c r="AE273" s="39" t="n">
        <f aca="false">ROUND(K273-U273-MIN(K273-U273,MAX(0,$AF273-SUMPRODUCT(--($B$4:$K$4&lt;K$4),$B273:$K273-$L273:$U273))),2)</f>
        <v>0</v>
      </c>
      <c r="AF273" s="39" t="n">
        <f aca="false">MAX(0,'Start Here'!$C$5-SUM($L273:$U273))</f>
        <v>1200</v>
      </c>
      <c r="AG273" s="39" t="n">
        <f aca="false">SUM(V273:AE273)</f>
        <v>0</v>
      </c>
      <c r="AH273" s="39" t="n">
        <f aca="false">SUM(B273:K273)-AG272</f>
        <v>0</v>
      </c>
    </row>
    <row r="274" customFormat="false" ht="15" hidden="false" customHeight="false" outlineLevel="0" collapsed="false">
      <c r="A274" s="40" t="n">
        <f aca="false">DATE(YEAR('Start Here'!$C$6),MONTH('Start Here'!$C$6)+267,1)</f>
        <v>54424</v>
      </c>
      <c r="B274" s="39" t="n">
        <f aca="false">ROUND(V273*(1+N('My Debts'!$D$6)/12),2)</f>
        <v>0</v>
      </c>
      <c r="C274" s="39" t="n">
        <f aca="false">ROUND(W273*(1+N('My Debts'!$D$7)/12),2)</f>
        <v>0</v>
      </c>
      <c r="D274" s="39" t="n">
        <f aca="false">ROUND(X273*(1+N('My Debts'!$D$8)/12),2)</f>
        <v>0</v>
      </c>
      <c r="E274" s="39" t="n">
        <f aca="false">ROUND(Y273*(1+N('My Debts'!$D$9)/12),2)</f>
        <v>0</v>
      </c>
      <c r="F274" s="39" t="n">
        <f aca="false">ROUND(Z273*(1+N('My Debts'!$D$10)/12),2)</f>
        <v>0</v>
      </c>
      <c r="G274" s="39" t="n">
        <f aca="false">ROUND(AA273*(1+N('My Debts'!$D$11)/12),2)</f>
        <v>0</v>
      </c>
      <c r="H274" s="39" t="n">
        <f aca="false">ROUND(AB273*(1+N('My Debts'!$D$12)/12),2)</f>
        <v>0</v>
      </c>
      <c r="I274" s="39" t="n">
        <f aca="false">ROUND(AC273*(1+N('My Debts'!$D$13)/12),2)</f>
        <v>0</v>
      </c>
      <c r="J274" s="39" t="n">
        <f aca="false">ROUND(AD273*(1+N('My Debts'!$D$14)/12),2)</f>
        <v>0</v>
      </c>
      <c r="K274" s="39" t="n">
        <f aca="false">ROUND(AE273*(1+N('My Debts'!$D$15)/12),2)</f>
        <v>0</v>
      </c>
      <c r="L274" s="39" t="n">
        <f aca="false">MIN(N('My Debts'!$E$6),B274)</f>
        <v>0</v>
      </c>
      <c r="M274" s="39" t="n">
        <f aca="false">MIN(N('My Debts'!$E$7),C274)</f>
        <v>0</v>
      </c>
      <c r="N274" s="39" t="n">
        <f aca="false">MIN(N('My Debts'!$E$8),D274)</f>
        <v>0</v>
      </c>
      <c r="O274" s="39" t="n">
        <f aca="false">MIN(N('My Debts'!$E$9),E274)</f>
        <v>0</v>
      </c>
      <c r="P274" s="39" t="n">
        <f aca="false">MIN(N('My Debts'!$E$10),F274)</f>
        <v>0</v>
      </c>
      <c r="Q274" s="39" t="n">
        <f aca="false">MIN(N('My Debts'!$E$11),G274)</f>
        <v>0</v>
      </c>
      <c r="R274" s="39" t="n">
        <f aca="false">MIN(N('My Debts'!$E$12),H274)</f>
        <v>0</v>
      </c>
      <c r="S274" s="39" t="n">
        <f aca="false">MIN(N('My Debts'!$E$13),I274)</f>
        <v>0</v>
      </c>
      <c r="T274" s="39" t="n">
        <f aca="false">MIN(N('My Debts'!$E$14),J274)</f>
        <v>0</v>
      </c>
      <c r="U274" s="39" t="n">
        <f aca="false">MIN(N('My Debts'!$E$15),K274)</f>
        <v>0</v>
      </c>
      <c r="V274" s="39" t="n">
        <f aca="false">ROUND(B274-L274-MIN(B274-L274,MAX(0,$AF274-SUMPRODUCT(--($B$4:$K$4&lt;B$4),$B274:$K274-$L274:$U274))),2)</f>
        <v>0</v>
      </c>
      <c r="W274" s="39" t="n">
        <f aca="false">ROUND(C274-M274-MIN(C274-M274,MAX(0,$AF274-SUMPRODUCT(--($B$4:$K$4&lt;C$4),$B274:$K274-$L274:$U274))),2)</f>
        <v>0</v>
      </c>
      <c r="X274" s="39" t="n">
        <f aca="false">ROUND(D274-N274-MIN(D274-N274,MAX(0,$AF274-SUMPRODUCT(--($B$4:$K$4&lt;D$4),$B274:$K274-$L274:$U274))),2)</f>
        <v>0</v>
      </c>
      <c r="Y274" s="39" t="n">
        <f aca="false">ROUND(E274-O274-MIN(E274-O274,MAX(0,$AF274-SUMPRODUCT(--($B$4:$K$4&lt;E$4),$B274:$K274-$L274:$U274))),2)</f>
        <v>0</v>
      </c>
      <c r="Z274" s="39" t="n">
        <f aca="false">ROUND(F274-P274-MIN(F274-P274,MAX(0,$AF274-SUMPRODUCT(--($B$4:$K$4&lt;F$4),$B274:$K274-$L274:$U274))),2)</f>
        <v>0</v>
      </c>
      <c r="AA274" s="39" t="n">
        <f aca="false">ROUND(G274-Q274-MIN(G274-Q274,MAX(0,$AF274-SUMPRODUCT(--($B$4:$K$4&lt;G$4),$B274:$K274-$L274:$U274))),2)</f>
        <v>0</v>
      </c>
      <c r="AB274" s="39" t="n">
        <f aca="false">ROUND(H274-R274-MIN(H274-R274,MAX(0,$AF274-SUMPRODUCT(--($B$4:$K$4&lt;H$4),$B274:$K274-$L274:$U274))),2)</f>
        <v>0</v>
      </c>
      <c r="AC274" s="39" t="n">
        <f aca="false">ROUND(I274-S274-MIN(I274-S274,MAX(0,$AF274-SUMPRODUCT(--($B$4:$K$4&lt;I$4),$B274:$K274-$L274:$U274))),2)</f>
        <v>0</v>
      </c>
      <c r="AD274" s="39" t="n">
        <f aca="false">ROUND(J274-T274-MIN(J274-T274,MAX(0,$AF274-SUMPRODUCT(--($B$4:$K$4&lt;J$4),$B274:$K274-$L274:$U274))),2)</f>
        <v>0</v>
      </c>
      <c r="AE274" s="39" t="n">
        <f aca="false">ROUND(K274-U274-MIN(K274-U274,MAX(0,$AF274-SUMPRODUCT(--($B$4:$K$4&lt;K$4),$B274:$K274-$L274:$U274))),2)</f>
        <v>0</v>
      </c>
      <c r="AF274" s="39" t="n">
        <f aca="false">MAX(0,'Start Here'!$C$5-SUM($L274:$U274))</f>
        <v>1200</v>
      </c>
      <c r="AG274" s="39" t="n">
        <f aca="false">SUM(V274:AE274)</f>
        <v>0</v>
      </c>
      <c r="AH274" s="39" t="n">
        <f aca="false">SUM(B274:K274)-AG273</f>
        <v>0</v>
      </c>
    </row>
    <row r="275" customFormat="false" ht="15" hidden="false" customHeight="false" outlineLevel="0" collapsed="false">
      <c r="A275" s="40" t="n">
        <f aca="false">DATE(YEAR('Start Here'!$C$6),MONTH('Start Here'!$C$6)+268,1)</f>
        <v>54455</v>
      </c>
      <c r="B275" s="39" t="n">
        <f aca="false">ROUND(V274*(1+N('My Debts'!$D$6)/12),2)</f>
        <v>0</v>
      </c>
      <c r="C275" s="39" t="n">
        <f aca="false">ROUND(W274*(1+N('My Debts'!$D$7)/12),2)</f>
        <v>0</v>
      </c>
      <c r="D275" s="39" t="n">
        <f aca="false">ROUND(X274*(1+N('My Debts'!$D$8)/12),2)</f>
        <v>0</v>
      </c>
      <c r="E275" s="39" t="n">
        <f aca="false">ROUND(Y274*(1+N('My Debts'!$D$9)/12),2)</f>
        <v>0</v>
      </c>
      <c r="F275" s="39" t="n">
        <f aca="false">ROUND(Z274*(1+N('My Debts'!$D$10)/12),2)</f>
        <v>0</v>
      </c>
      <c r="G275" s="39" t="n">
        <f aca="false">ROUND(AA274*(1+N('My Debts'!$D$11)/12),2)</f>
        <v>0</v>
      </c>
      <c r="H275" s="39" t="n">
        <f aca="false">ROUND(AB274*(1+N('My Debts'!$D$12)/12),2)</f>
        <v>0</v>
      </c>
      <c r="I275" s="39" t="n">
        <f aca="false">ROUND(AC274*(1+N('My Debts'!$D$13)/12),2)</f>
        <v>0</v>
      </c>
      <c r="J275" s="39" t="n">
        <f aca="false">ROUND(AD274*(1+N('My Debts'!$D$14)/12),2)</f>
        <v>0</v>
      </c>
      <c r="K275" s="39" t="n">
        <f aca="false">ROUND(AE274*(1+N('My Debts'!$D$15)/12),2)</f>
        <v>0</v>
      </c>
      <c r="L275" s="39" t="n">
        <f aca="false">MIN(N('My Debts'!$E$6),B275)</f>
        <v>0</v>
      </c>
      <c r="M275" s="39" t="n">
        <f aca="false">MIN(N('My Debts'!$E$7),C275)</f>
        <v>0</v>
      </c>
      <c r="N275" s="39" t="n">
        <f aca="false">MIN(N('My Debts'!$E$8),D275)</f>
        <v>0</v>
      </c>
      <c r="O275" s="39" t="n">
        <f aca="false">MIN(N('My Debts'!$E$9),E275)</f>
        <v>0</v>
      </c>
      <c r="P275" s="39" t="n">
        <f aca="false">MIN(N('My Debts'!$E$10),F275)</f>
        <v>0</v>
      </c>
      <c r="Q275" s="39" t="n">
        <f aca="false">MIN(N('My Debts'!$E$11),G275)</f>
        <v>0</v>
      </c>
      <c r="R275" s="39" t="n">
        <f aca="false">MIN(N('My Debts'!$E$12),H275)</f>
        <v>0</v>
      </c>
      <c r="S275" s="39" t="n">
        <f aca="false">MIN(N('My Debts'!$E$13),I275)</f>
        <v>0</v>
      </c>
      <c r="T275" s="39" t="n">
        <f aca="false">MIN(N('My Debts'!$E$14),J275)</f>
        <v>0</v>
      </c>
      <c r="U275" s="39" t="n">
        <f aca="false">MIN(N('My Debts'!$E$15),K275)</f>
        <v>0</v>
      </c>
      <c r="V275" s="39" t="n">
        <f aca="false">ROUND(B275-L275-MIN(B275-L275,MAX(0,$AF275-SUMPRODUCT(--($B$4:$K$4&lt;B$4),$B275:$K275-$L275:$U275))),2)</f>
        <v>0</v>
      </c>
      <c r="W275" s="39" t="n">
        <f aca="false">ROUND(C275-M275-MIN(C275-M275,MAX(0,$AF275-SUMPRODUCT(--($B$4:$K$4&lt;C$4),$B275:$K275-$L275:$U275))),2)</f>
        <v>0</v>
      </c>
      <c r="X275" s="39" t="n">
        <f aca="false">ROUND(D275-N275-MIN(D275-N275,MAX(0,$AF275-SUMPRODUCT(--($B$4:$K$4&lt;D$4),$B275:$K275-$L275:$U275))),2)</f>
        <v>0</v>
      </c>
      <c r="Y275" s="39" t="n">
        <f aca="false">ROUND(E275-O275-MIN(E275-O275,MAX(0,$AF275-SUMPRODUCT(--($B$4:$K$4&lt;E$4),$B275:$K275-$L275:$U275))),2)</f>
        <v>0</v>
      </c>
      <c r="Z275" s="39" t="n">
        <f aca="false">ROUND(F275-P275-MIN(F275-P275,MAX(0,$AF275-SUMPRODUCT(--($B$4:$K$4&lt;F$4),$B275:$K275-$L275:$U275))),2)</f>
        <v>0</v>
      </c>
      <c r="AA275" s="39" t="n">
        <f aca="false">ROUND(G275-Q275-MIN(G275-Q275,MAX(0,$AF275-SUMPRODUCT(--($B$4:$K$4&lt;G$4),$B275:$K275-$L275:$U275))),2)</f>
        <v>0</v>
      </c>
      <c r="AB275" s="39" t="n">
        <f aca="false">ROUND(H275-R275-MIN(H275-R275,MAX(0,$AF275-SUMPRODUCT(--($B$4:$K$4&lt;H$4),$B275:$K275-$L275:$U275))),2)</f>
        <v>0</v>
      </c>
      <c r="AC275" s="39" t="n">
        <f aca="false">ROUND(I275-S275-MIN(I275-S275,MAX(0,$AF275-SUMPRODUCT(--($B$4:$K$4&lt;I$4),$B275:$K275-$L275:$U275))),2)</f>
        <v>0</v>
      </c>
      <c r="AD275" s="39" t="n">
        <f aca="false">ROUND(J275-T275-MIN(J275-T275,MAX(0,$AF275-SUMPRODUCT(--($B$4:$K$4&lt;J$4),$B275:$K275-$L275:$U275))),2)</f>
        <v>0</v>
      </c>
      <c r="AE275" s="39" t="n">
        <f aca="false">ROUND(K275-U275-MIN(K275-U275,MAX(0,$AF275-SUMPRODUCT(--($B$4:$K$4&lt;K$4),$B275:$K275-$L275:$U275))),2)</f>
        <v>0</v>
      </c>
      <c r="AF275" s="39" t="n">
        <f aca="false">MAX(0,'Start Here'!$C$5-SUM($L275:$U275))</f>
        <v>1200</v>
      </c>
      <c r="AG275" s="39" t="n">
        <f aca="false">SUM(V275:AE275)</f>
        <v>0</v>
      </c>
      <c r="AH275" s="39" t="n">
        <f aca="false">SUM(B275:K275)-AG274</f>
        <v>0</v>
      </c>
    </row>
    <row r="276" customFormat="false" ht="15" hidden="false" customHeight="false" outlineLevel="0" collapsed="false">
      <c r="A276" s="40" t="n">
        <f aca="false">DATE(YEAR('Start Here'!$C$6),MONTH('Start Here'!$C$6)+269,1)</f>
        <v>54483</v>
      </c>
      <c r="B276" s="39" t="n">
        <f aca="false">ROUND(V275*(1+N('My Debts'!$D$6)/12),2)</f>
        <v>0</v>
      </c>
      <c r="C276" s="39" t="n">
        <f aca="false">ROUND(W275*(1+N('My Debts'!$D$7)/12),2)</f>
        <v>0</v>
      </c>
      <c r="D276" s="39" t="n">
        <f aca="false">ROUND(X275*(1+N('My Debts'!$D$8)/12),2)</f>
        <v>0</v>
      </c>
      <c r="E276" s="39" t="n">
        <f aca="false">ROUND(Y275*(1+N('My Debts'!$D$9)/12),2)</f>
        <v>0</v>
      </c>
      <c r="F276" s="39" t="n">
        <f aca="false">ROUND(Z275*(1+N('My Debts'!$D$10)/12),2)</f>
        <v>0</v>
      </c>
      <c r="G276" s="39" t="n">
        <f aca="false">ROUND(AA275*(1+N('My Debts'!$D$11)/12),2)</f>
        <v>0</v>
      </c>
      <c r="H276" s="39" t="n">
        <f aca="false">ROUND(AB275*(1+N('My Debts'!$D$12)/12),2)</f>
        <v>0</v>
      </c>
      <c r="I276" s="39" t="n">
        <f aca="false">ROUND(AC275*(1+N('My Debts'!$D$13)/12),2)</f>
        <v>0</v>
      </c>
      <c r="J276" s="39" t="n">
        <f aca="false">ROUND(AD275*(1+N('My Debts'!$D$14)/12),2)</f>
        <v>0</v>
      </c>
      <c r="K276" s="39" t="n">
        <f aca="false">ROUND(AE275*(1+N('My Debts'!$D$15)/12),2)</f>
        <v>0</v>
      </c>
      <c r="L276" s="39" t="n">
        <f aca="false">MIN(N('My Debts'!$E$6),B276)</f>
        <v>0</v>
      </c>
      <c r="M276" s="39" t="n">
        <f aca="false">MIN(N('My Debts'!$E$7),C276)</f>
        <v>0</v>
      </c>
      <c r="N276" s="39" t="n">
        <f aca="false">MIN(N('My Debts'!$E$8),D276)</f>
        <v>0</v>
      </c>
      <c r="O276" s="39" t="n">
        <f aca="false">MIN(N('My Debts'!$E$9),E276)</f>
        <v>0</v>
      </c>
      <c r="P276" s="39" t="n">
        <f aca="false">MIN(N('My Debts'!$E$10),F276)</f>
        <v>0</v>
      </c>
      <c r="Q276" s="39" t="n">
        <f aca="false">MIN(N('My Debts'!$E$11),G276)</f>
        <v>0</v>
      </c>
      <c r="R276" s="39" t="n">
        <f aca="false">MIN(N('My Debts'!$E$12),H276)</f>
        <v>0</v>
      </c>
      <c r="S276" s="39" t="n">
        <f aca="false">MIN(N('My Debts'!$E$13),I276)</f>
        <v>0</v>
      </c>
      <c r="T276" s="39" t="n">
        <f aca="false">MIN(N('My Debts'!$E$14),J276)</f>
        <v>0</v>
      </c>
      <c r="U276" s="39" t="n">
        <f aca="false">MIN(N('My Debts'!$E$15),K276)</f>
        <v>0</v>
      </c>
      <c r="V276" s="39" t="n">
        <f aca="false">ROUND(B276-L276-MIN(B276-L276,MAX(0,$AF276-SUMPRODUCT(--($B$4:$K$4&lt;B$4),$B276:$K276-$L276:$U276))),2)</f>
        <v>0</v>
      </c>
      <c r="W276" s="39" t="n">
        <f aca="false">ROUND(C276-M276-MIN(C276-M276,MAX(0,$AF276-SUMPRODUCT(--($B$4:$K$4&lt;C$4),$B276:$K276-$L276:$U276))),2)</f>
        <v>0</v>
      </c>
      <c r="X276" s="39" t="n">
        <f aca="false">ROUND(D276-N276-MIN(D276-N276,MAX(0,$AF276-SUMPRODUCT(--($B$4:$K$4&lt;D$4),$B276:$K276-$L276:$U276))),2)</f>
        <v>0</v>
      </c>
      <c r="Y276" s="39" t="n">
        <f aca="false">ROUND(E276-O276-MIN(E276-O276,MAX(0,$AF276-SUMPRODUCT(--($B$4:$K$4&lt;E$4),$B276:$K276-$L276:$U276))),2)</f>
        <v>0</v>
      </c>
      <c r="Z276" s="39" t="n">
        <f aca="false">ROUND(F276-P276-MIN(F276-P276,MAX(0,$AF276-SUMPRODUCT(--($B$4:$K$4&lt;F$4),$B276:$K276-$L276:$U276))),2)</f>
        <v>0</v>
      </c>
      <c r="AA276" s="39" t="n">
        <f aca="false">ROUND(G276-Q276-MIN(G276-Q276,MAX(0,$AF276-SUMPRODUCT(--($B$4:$K$4&lt;G$4),$B276:$K276-$L276:$U276))),2)</f>
        <v>0</v>
      </c>
      <c r="AB276" s="39" t="n">
        <f aca="false">ROUND(H276-R276-MIN(H276-R276,MAX(0,$AF276-SUMPRODUCT(--($B$4:$K$4&lt;H$4),$B276:$K276-$L276:$U276))),2)</f>
        <v>0</v>
      </c>
      <c r="AC276" s="39" t="n">
        <f aca="false">ROUND(I276-S276-MIN(I276-S276,MAX(0,$AF276-SUMPRODUCT(--($B$4:$K$4&lt;I$4),$B276:$K276-$L276:$U276))),2)</f>
        <v>0</v>
      </c>
      <c r="AD276" s="39" t="n">
        <f aca="false">ROUND(J276-T276-MIN(J276-T276,MAX(0,$AF276-SUMPRODUCT(--($B$4:$K$4&lt;J$4),$B276:$K276-$L276:$U276))),2)</f>
        <v>0</v>
      </c>
      <c r="AE276" s="39" t="n">
        <f aca="false">ROUND(K276-U276-MIN(K276-U276,MAX(0,$AF276-SUMPRODUCT(--($B$4:$K$4&lt;K$4),$B276:$K276-$L276:$U276))),2)</f>
        <v>0</v>
      </c>
      <c r="AF276" s="39" t="n">
        <f aca="false">MAX(0,'Start Here'!$C$5-SUM($L276:$U276))</f>
        <v>1200</v>
      </c>
      <c r="AG276" s="39" t="n">
        <f aca="false">SUM(V276:AE276)</f>
        <v>0</v>
      </c>
      <c r="AH276" s="39" t="n">
        <f aca="false">SUM(B276:K276)-AG275</f>
        <v>0</v>
      </c>
    </row>
    <row r="277" customFormat="false" ht="15" hidden="false" customHeight="false" outlineLevel="0" collapsed="false">
      <c r="A277" s="40" t="n">
        <f aca="false">DATE(YEAR('Start Here'!$C$6),MONTH('Start Here'!$C$6)+270,1)</f>
        <v>54514</v>
      </c>
      <c r="B277" s="39" t="n">
        <f aca="false">ROUND(V276*(1+N('My Debts'!$D$6)/12),2)</f>
        <v>0</v>
      </c>
      <c r="C277" s="39" t="n">
        <f aca="false">ROUND(W276*(1+N('My Debts'!$D$7)/12),2)</f>
        <v>0</v>
      </c>
      <c r="D277" s="39" t="n">
        <f aca="false">ROUND(X276*(1+N('My Debts'!$D$8)/12),2)</f>
        <v>0</v>
      </c>
      <c r="E277" s="39" t="n">
        <f aca="false">ROUND(Y276*(1+N('My Debts'!$D$9)/12),2)</f>
        <v>0</v>
      </c>
      <c r="F277" s="39" t="n">
        <f aca="false">ROUND(Z276*(1+N('My Debts'!$D$10)/12),2)</f>
        <v>0</v>
      </c>
      <c r="G277" s="39" t="n">
        <f aca="false">ROUND(AA276*(1+N('My Debts'!$D$11)/12),2)</f>
        <v>0</v>
      </c>
      <c r="H277" s="39" t="n">
        <f aca="false">ROUND(AB276*(1+N('My Debts'!$D$12)/12),2)</f>
        <v>0</v>
      </c>
      <c r="I277" s="39" t="n">
        <f aca="false">ROUND(AC276*(1+N('My Debts'!$D$13)/12),2)</f>
        <v>0</v>
      </c>
      <c r="J277" s="39" t="n">
        <f aca="false">ROUND(AD276*(1+N('My Debts'!$D$14)/12),2)</f>
        <v>0</v>
      </c>
      <c r="K277" s="39" t="n">
        <f aca="false">ROUND(AE276*(1+N('My Debts'!$D$15)/12),2)</f>
        <v>0</v>
      </c>
      <c r="L277" s="39" t="n">
        <f aca="false">MIN(N('My Debts'!$E$6),B277)</f>
        <v>0</v>
      </c>
      <c r="M277" s="39" t="n">
        <f aca="false">MIN(N('My Debts'!$E$7),C277)</f>
        <v>0</v>
      </c>
      <c r="N277" s="39" t="n">
        <f aca="false">MIN(N('My Debts'!$E$8),D277)</f>
        <v>0</v>
      </c>
      <c r="O277" s="39" t="n">
        <f aca="false">MIN(N('My Debts'!$E$9),E277)</f>
        <v>0</v>
      </c>
      <c r="P277" s="39" t="n">
        <f aca="false">MIN(N('My Debts'!$E$10),F277)</f>
        <v>0</v>
      </c>
      <c r="Q277" s="39" t="n">
        <f aca="false">MIN(N('My Debts'!$E$11),G277)</f>
        <v>0</v>
      </c>
      <c r="R277" s="39" t="n">
        <f aca="false">MIN(N('My Debts'!$E$12),H277)</f>
        <v>0</v>
      </c>
      <c r="S277" s="39" t="n">
        <f aca="false">MIN(N('My Debts'!$E$13),I277)</f>
        <v>0</v>
      </c>
      <c r="T277" s="39" t="n">
        <f aca="false">MIN(N('My Debts'!$E$14),J277)</f>
        <v>0</v>
      </c>
      <c r="U277" s="39" t="n">
        <f aca="false">MIN(N('My Debts'!$E$15),K277)</f>
        <v>0</v>
      </c>
      <c r="V277" s="39" t="n">
        <f aca="false">ROUND(B277-L277-MIN(B277-L277,MAX(0,$AF277-SUMPRODUCT(--($B$4:$K$4&lt;B$4),$B277:$K277-$L277:$U277))),2)</f>
        <v>0</v>
      </c>
      <c r="W277" s="39" t="n">
        <f aca="false">ROUND(C277-M277-MIN(C277-M277,MAX(0,$AF277-SUMPRODUCT(--($B$4:$K$4&lt;C$4),$B277:$K277-$L277:$U277))),2)</f>
        <v>0</v>
      </c>
      <c r="X277" s="39" t="n">
        <f aca="false">ROUND(D277-N277-MIN(D277-N277,MAX(0,$AF277-SUMPRODUCT(--($B$4:$K$4&lt;D$4),$B277:$K277-$L277:$U277))),2)</f>
        <v>0</v>
      </c>
      <c r="Y277" s="39" t="n">
        <f aca="false">ROUND(E277-O277-MIN(E277-O277,MAX(0,$AF277-SUMPRODUCT(--($B$4:$K$4&lt;E$4),$B277:$K277-$L277:$U277))),2)</f>
        <v>0</v>
      </c>
      <c r="Z277" s="39" t="n">
        <f aca="false">ROUND(F277-P277-MIN(F277-P277,MAX(0,$AF277-SUMPRODUCT(--($B$4:$K$4&lt;F$4),$B277:$K277-$L277:$U277))),2)</f>
        <v>0</v>
      </c>
      <c r="AA277" s="39" t="n">
        <f aca="false">ROUND(G277-Q277-MIN(G277-Q277,MAX(0,$AF277-SUMPRODUCT(--($B$4:$K$4&lt;G$4),$B277:$K277-$L277:$U277))),2)</f>
        <v>0</v>
      </c>
      <c r="AB277" s="39" t="n">
        <f aca="false">ROUND(H277-R277-MIN(H277-R277,MAX(0,$AF277-SUMPRODUCT(--($B$4:$K$4&lt;H$4),$B277:$K277-$L277:$U277))),2)</f>
        <v>0</v>
      </c>
      <c r="AC277" s="39" t="n">
        <f aca="false">ROUND(I277-S277-MIN(I277-S277,MAX(0,$AF277-SUMPRODUCT(--($B$4:$K$4&lt;I$4),$B277:$K277-$L277:$U277))),2)</f>
        <v>0</v>
      </c>
      <c r="AD277" s="39" t="n">
        <f aca="false">ROUND(J277-T277-MIN(J277-T277,MAX(0,$AF277-SUMPRODUCT(--($B$4:$K$4&lt;J$4),$B277:$K277-$L277:$U277))),2)</f>
        <v>0</v>
      </c>
      <c r="AE277" s="39" t="n">
        <f aca="false">ROUND(K277-U277-MIN(K277-U277,MAX(0,$AF277-SUMPRODUCT(--($B$4:$K$4&lt;K$4),$B277:$K277-$L277:$U277))),2)</f>
        <v>0</v>
      </c>
      <c r="AF277" s="39" t="n">
        <f aca="false">MAX(0,'Start Here'!$C$5-SUM($L277:$U277))</f>
        <v>1200</v>
      </c>
      <c r="AG277" s="39" t="n">
        <f aca="false">SUM(V277:AE277)</f>
        <v>0</v>
      </c>
      <c r="AH277" s="39" t="n">
        <f aca="false">SUM(B277:K277)-AG276</f>
        <v>0</v>
      </c>
    </row>
    <row r="278" customFormat="false" ht="15" hidden="false" customHeight="false" outlineLevel="0" collapsed="false">
      <c r="A278" s="40" t="n">
        <f aca="false">DATE(YEAR('Start Here'!$C$6),MONTH('Start Here'!$C$6)+271,1)</f>
        <v>54544</v>
      </c>
      <c r="B278" s="39" t="n">
        <f aca="false">ROUND(V277*(1+N('My Debts'!$D$6)/12),2)</f>
        <v>0</v>
      </c>
      <c r="C278" s="39" t="n">
        <f aca="false">ROUND(W277*(1+N('My Debts'!$D$7)/12),2)</f>
        <v>0</v>
      </c>
      <c r="D278" s="39" t="n">
        <f aca="false">ROUND(X277*(1+N('My Debts'!$D$8)/12),2)</f>
        <v>0</v>
      </c>
      <c r="E278" s="39" t="n">
        <f aca="false">ROUND(Y277*(1+N('My Debts'!$D$9)/12),2)</f>
        <v>0</v>
      </c>
      <c r="F278" s="39" t="n">
        <f aca="false">ROUND(Z277*(1+N('My Debts'!$D$10)/12),2)</f>
        <v>0</v>
      </c>
      <c r="G278" s="39" t="n">
        <f aca="false">ROUND(AA277*(1+N('My Debts'!$D$11)/12),2)</f>
        <v>0</v>
      </c>
      <c r="H278" s="39" t="n">
        <f aca="false">ROUND(AB277*(1+N('My Debts'!$D$12)/12),2)</f>
        <v>0</v>
      </c>
      <c r="I278" s="39" t="n">
        <f aca="false">ROUND(AC277*(1+N('My Debts'!$D$13)/12),2)</f>
        <v>0</v>
      </c>
      <c r="J278" s="39" t="n">
        <f aca="false">ROUND(AD277*(1+N('My Debts'!$D$14)/12),2)</f>
        <v>0</v>
      </c>
      <c r="K278" s="39" t="n">
        <f aca="false">ROUND(AE277*(1+N('My Debts'!$D$15)/12),2)</f>
        <v>0</v>
      </c>
      <c r="L278" s="39" t="n">
        <f aca="false">MIN(N('My Debts'!$E$6),B278)</f>
        <v>0</v>
      </c>
      <c r="M278" s="39" t="n">
        <f aca="false">MIN(N('My Debts'!$E$7),C278)</f>
        <v>0</v>
      </c>
      <c r="N278" s="39" t="n">
        <f aca="false">MIN(N('My Debts'!$E$8),D278)</f>
        <v>0</v>
      </c>
      <c r="O278" s="39" t="n">
        <f aca="false">MIN(N('My Debts'!$E$9),E278)</f>
        <v>0</v>
      </c>
      <c r="P278" s="39" t="n">
        <f aca="false">MIN(N('My Debts'!$E$10),F278)</f>
        <v>0</v>
      </c>
      <c r="Q278" s="39" t="n">
        <f aca="false">MIN(N('My Debts'!$E$11),G278)</f>
        <v>0</v>
      </c>
      <c r="R278" s="39" t="n">
        <f aca="false">MIN(N('My Debts'!$E$12),H278)</f>
        <v>0</v>
      </c>
      <c r="S278" s="39" t="n">
        <f aca="false">MIN(N('My Debts'!$E$13),I278)</f>
        <v>0</v>
      </c>
      <c r="T278" s="39" t="n">
        <f aca="false">MIN(N('My Debts'!$E$14),J278)</f>
        <v>0</v>
      </c>
      <c r="U278" s="39" t="n">
        <f aca="false">MIN(N('My Debts'!$E$15),K278)</f>
        <v>0</v>
      </c>
      <c r="V278" s="39" t="n">
        <f aca="false">ROUND(B278-L278-MIN(B278-L278,MAX(0,$AF278-SUMPRODUCT(--($B$4:$K$4&lt;B$4),$B278:$K278-$L278:$U278))),2)</f>
        <v>0</v>
      </c>
      <c r="W278" s="39" t="n">
        <f aca="false">ROUND(C278-M278-MIN(C278-M278,MAX(0,$AF278-SUMPRODUCT(--($B$4:$K$4&lt;C$4),$B278:$K278-$L278:$U278))),2)</f>
        <v>0</v>
      </c>
      <c r="X278" s="39" t="n">
        <f aca="false">ROUND(D278-N278-MIN(D278-N278,MAX(0,$AF278-SUMPRODUCT(--($B$4:$K$4&lt;D$4),$B278:$K278-$L278:$U278))),2)</f>
        <v>0</v>
      </c>
      <c r="Y278" s="39" t="n">
        <f aca="false">ROUND(E278-O278-MIN(E278-O278,MAX(0,$AF278-SUMPRODUCT(--($B$4:$K$4&lt;E$4),$B278:$K278-$L278:$U278))),2)</f>
        <v>0</v>
      </c>
      <c r="Z278" s="39" t="n">
        <f aca="false">ROUND(F278-P278-MIN(F278-P278,MAX(0,$AF278-SUMPRODUCT(--($B$4:$K$4&lt;F$4),$B278:$K278-$L278:$U278))),2)</f>
        <v>0</v>
      </c>
      <c r="AA278" s="39" t="n">
        <f aca="false">ROUND(G278-Q278-MIN(G278-Q278,MAX(0,$AF278-SUMPRODUCT(--($B$4:$K$4&lt;G$4),$B278:$K278-$L278:$U278))),2)</f>
        <v>0</v>
      </c>
      <c r="AB278" s="39" t="n">
        <f aca="false">ROUND(H278-R278-MIN(H278-R278,MAX(0,$AF278-SUMPRODUCT(--($B$4:$K$4&lt;H$4),$B278:$K278-$L278:$U278))),2)</f>
        <v>0</v>
      </c>
      <c r="AC278" s="39" t="n">
        <f aca="false">ROUND(I278-S278-MIN(I278-S278,MAX(0,$AF278-SUMPRODUCT(--($B$4:$K$4&lt;I$4),$B278:$K278-$L278:$U278))),2)</f>
        <v>0</v>
      </c>
      <c r="AD278" s="39" t="n">
        <f aca="false">ROUND(J278-T278-MIN(J278-T278,MAX(0,$AF278-SUMPRODUCT(--($B$4:$K$4&lt;J$4),$B278:$K278-$L278:$U278))),2)</f>
        <v>0</v>
      </c>
      <c r="AE278" s="39" t="n">
        <f aca="false">ROUND(K278-U278-MIN(K278-U278,MAX(0,$AF278-SUMPRODUCT(--($B$4:$K$4&lt;K$4),$B278:$K278-$L278:$U278))),2)</f>
        <v>0</v>
      </c>
      <c r="AF278" s="39" t="n">
        <f aca="false">MAX(0,'Start Here'!$C$5-SUM($L278:$U278))</f>
        <v>1200</v>
      </c>
      <c r="AG278" s="39" t="n">
        <f aca="false">SUM(V278:AE278)</f>
        <v>0</v>
      </c>
      <c r="AH278" s="39" t="n">
        <f aca="false">SUM(B278:K278)-AG277</f>
        <v>0</v>
      </c>
    </row>
    <row r="279" customFormat="false" ht="15" hidden="false" customHeight="false" outlineLevel="0" collapsed="false">
      <c r="A279" s="40" t="n">
        <f aca="false">DATE(YEAR('Start Here'!$C$6),MONTH('Start Here'!$C$6)+272,1)</f>
        <v>54575</v>
      </c>
      <c r="B279" s="39" t="n">
        <f aca="false">ROUND(V278*(1+N('My Debts'!$D$6)/12),2)</f>
        <v>0</v>
      </c>
      <c r="C279" s="39" t="n">
        <f aca="false">ROUND(W278*(1+N('My Debts'!$D$7)/12),2)</f>
        <v>0</v>
      </c>
      <c r="D279" s="39" t="n">
        <f aca="false">ROUND(X278*(1+N('My Debts'!$D$8)/12),2)</f>
        <v>0</v>
      </c>
      <c r="E279" s="39" t="n">
        <f aca="false">ROUND(Y278*(1+N('My Debts'!$D$9)/12),2)</f>
        <v>0</v>
      </c>
      <c r="F279" s="39" t="n">
        <f aca="false">ROUND(Z278*(1+N('My Debts'!$D$10)/12),2)</f>
        <v>0</v>
      </c>
      <c r="G279" s="39" t="n">
        <f aca="false">ROUND(AA278*(1+N('My Debts'!$D$11)/12),2)</f>
        <v>0</v>
      </c>
      <c r="H279" s="39" t="n">
        <f aca="false">ROUND(AB278*(1+N('My Debts'!$D$12)/12),2)</f>
        <v>0</v>
      </c>
      <c r="I279" s="39" t="n">
        <f aca="false">ROUND(AC278*(1+N('My Debts'!$D$13)/12),2)</f>
        <v>0</v>
      </c>
      <c r="J279" s="39" t="n">
        <f aca="false">ROUND(AD278*(1+N('My Debts'!$D$14)/12),2)</f>
        <v>0</v>
      </c>
      <c r="K279" s="39" t="n">
        <f aca="false">ROUND(AE278*(1+N('My Debts'!$D$15)/12),2)</f>
        <v>0</v>
      </c>
      <c r="L279" s="39" t="n">
        <f aca="false">MIN(N('My Debts'!$E$6),B279)</f>
        <v>0</v>
      </c>
      <c r="M279" s="39" t="n">
        <f aca="false">MIN(N('My Debts'!$E$7),C279)</f>
        <v>0</v>
      </c>
      <c r="N279" s="39" t="n">
        <f aca="false">MIN(N('My Debts'!$E$8),D279)</f>
        <v>0</v>
      </c>
      <c r="O279" s="39" t="n">
        <f aca="false">MIN(N('My Debts'!$E$9),E279)</f>
        <v>0</v>
      </c>
      <c r="P279" s="39" t="n">
        <f aca="false">MIN(N('My Debts'!$E$10),F279)</f>
        <v>0</v>
      </c>
      <c r="Q279" s="39" t="n">
        <f aca="false">MIN(N('My Debts'!$E$11),G279)</f>
        <v>0</v>
      </c>
      <c r="R279" s="39" t="n">
        <f aca="false">MIN(N('My Debts'!$E$12),H279)</f>
        <v>0</v>
      </c>
      <c r="S279" s="39" t="n">
        <f aca="false">MIN(N('My Debts'!$E$13),I279)</f>
        <v>0</v>
      </c>
      <c r="T279" s="39" t="n">
        <f aca="false">MIN(N('My Debts'!$E$14),J279)</f>
        <v>0</v>
      </c>
      <c r="U279" s="39" t="n">
        <f aca="false">MIN(N('My Debts'!$E$15),K279)</f>
        <v>0</v>
      </c>
      <c r="V279" s="39" t="n">
        <f aca="false">ROUND(B279-L279-MIN(B279-L279,MAX(0,$AF279-SUMPRODUCT(--($B$4:$K$4&lt;B$4),$B279:$K279-$L279:$U279))),2)</f>
        <v>0</v>
      </c>
      <c r="W279" s="39" t="n">
        <f aca="false">ROUND(C279-M279-MIN(C279-M279,MAX(0,$AF279-SUMPRODUCT(--($B$4:$K$4&lt;C$4),$B279:$K279-$L279:$U279))),2)</f>
        <v>0</v>
      </c>
      <c r="X279" s="39" t="n">
        <f aca="false">ROUND(D279-N279-MIN(D279-N279,MAX(0,$AF279-SUMPRODUCT(--($B$4:$K$4&lt;D$4),$B279:$K279-$L279:$U279))),2)</f>
        <v>0</v>
      </c>
      <c r="Y279" s="39" t="n">
        <f aca="false">ROUND(E279-O279-MIN(E279-O279,MAX(0,$AF279-SUMPRODUCT(--($B$4:$K$4&lt;E$4),$B279:$K279-$L279:$U279))),2)</f>
        <v>0</v>
      </c>
      <c r="Z279" s="39" t="n">
        <f aca="false">ROUND(F279-P279-MIN(F279-P279,MAX(0,$AF279-SUMPRODUCT(--($B$4:$K$4&lt;F$4),$B279:$K279-$L279:$U279))),2)</f>
        <v>0</v>
      </c>
      <c r="AA279" s="39" t="n">
        <f aca="false">ROUND(G279-Q279-MIN(G279-Q279,MAX(0,$AF279-SUMPRODUCT(--($B$4:$K$4&lt;G$4),$B279:$K279-$L279:$U279))),2)</f>
        <v>0</v>
      </c>
      <c r="AB279" s="39" t="n">
        <f aca="false">ROUND(H279-R279-MIN(H279-R279,MAX(0,$AF279-SUMPRODUCT(--($B$4:$K$4&lt;H$4),$B279:$K279-$L279:$U279))),2)</f>
        <v>0</v>
      </c>
      <c r="AC279" s="39" t="n">
        <f aca="false">ROUND(I279-S279-MIN(I279-S279,MAX(0,$AF279-SUMPRODUCT(--($B$4:$K$4&lt;I$4),$B279:$K279-$L279:$U279))),2)</f>
        <v>0</v>
      </c>
      <c r="AD279" s="39" t="n">
        <f aca="false">ROUND(J279-T279-MIN(J279-T279,MAX(0,$AF279-SUMPRODUCT(--($B$4:$K$4&lt;J$4),$B279:$K279-$L279:$U279))),2)</f>
        <v>0</v>
      </c>
      <c r="AE279" s="39" t="n">
        <f aca="false">ROUND(K279-U279-MIN(K279-U279,MAX(0,$AF279-SUMPRODUCT(--($B$4:$K$4&lt;K$4),$B279:$K279-$L279:$U279))),2)</f>
        <v>0</v>
      </c>
      <c r="AF279" s="39" t="n">
        <f aca="false">MAX(0,'Start Here'!$C$5-SUM($L279:$U279))</f>
        <v>1200</v>
      </c>
      <c r="AG279" s="39" t="n">
        <f aca="false">SUM(V279:AE279)</f>
        <v>0</v>
      </c>
      <c r="AH279" s="39" t="n">
        <f aca="false">SUM(B279:K279)-AG278</f>
        <v>0</v>
      </c>
    </row>
    <row r="280" customFormat="false" ht="15" hidden="false" customHeight="false" outlineLevel="0" collapsed="false">
      <c r="A280" s="40" t="n">
        <f aca="false">DATE(YEAR('Start Here'!$C$6),MONTH('Start Here'!$C$6)+273,1)</f>
        <v>54605</v>
      </c>
      <c r="B280" s="39" t="n">
        <f aca="false">ROUND(V279*(1+N('My Debts'!$D$6)/12),2)</f>
        <v>0</v>
      </c>
      <c r="C280" s="39" t="n">
        <f aca="false">ROUND(W279*(1+N('My Debts'!$D$7)/12),2)</f>
        <v>0</v>
      </c>
      <c r="D280" s="39" t="n">
        <f aca="false">ROUND(X279*(1+N('My Debts'!$D$8)/12),2)</f>
        <v>0</v>
      </c>
      <c r="E280" s="39" t="n">
        <f aca="false">ROUND(Y279*(1+N('My Debts'!$D$9)/12),2)</f>
        <v>0</v>
      </c>
      <c r="F280" s="39" t="n">
        <f aca="false">ROUND(Z279*(1+N('My Debts'!$D$10)/12),2)</f>
        <v>0</v>
      </c>
      <c r="G280" s="39" t="n">
        <f aca="false">ROUND(AA279*(1+N('My Debts'!$D$11)/12),2)</f>
        <v>0</v>
      </c>
      <c r="H280" s="39" t="n">
        <f aca="false">ROUND(AB279*(1+N('My Debts'!$D$12)/12),2)</f>
        <v>0</v>
      </c>
      <c r="I280" s="39" t="n">
        <f aca="false">ROUND(AC279*(1+N('My Debts'!$D$13)/12),2)</f>
        <v>0</v>
      </c>
      <c r="J280" s="39" t="n">
        <f aca="false">ROUND(AD279*(1+N('My Debts'!$D$14)/12),2)</f>
        <v>0</v>
      </c>
      <c r="K280" s="39" t="n">
        <f aca="false">ROUND(AE279*(1+N('My Debts'!$D$15)/12),2)</f>
        <v>0</v>
      </c>
      <c r="L280" s="39" t="n">
        <f aca="false">MIN(N('My Debts'!$E$6),B280)</f>
        <v>0</v>
      </c>
      <c r="M280" s="39" t="n">
        <f aca="false">MIN(N('My Debts'!$E$7),C280)</f>
        <v>0</v>
      </c>
      <c r="N280" s="39" t="n">
        <f aca="false">MIN(N('My Debts'!$E$8),D280)</f>
        <v>0</v>
      </c>
      <c r="O280" s="39" t="n">
        <f aca="false">MIN(N('My Debts'!$E$9),E280)</f>
        <v>0</v>
      </c>
      <c r="P280" s="39" t="n">
        <f aca="false">MIN(N('My Debts'!$E$10),F280)</f>
        <v>0</v>
      </c>
      <c r="Q280" s="39" t="n">
        <f aca="false">MIN(N('My Debts'!$E$11),G280)</f>
        <v>0</v>
      </c>
      <c r="R280" s="39" t="n">
        <f aca="false">MIN(N('My Debts'!$E$12),H280)</f>
        <v>0</v>
      </c>
      <c r="S280" s="39" t="n">
        <f aca="false">MIN(N('My Debts'!$E$13),I280)</f>
        <v>0</v>
      </c>
      <c r="T280" s="39" t="n">
        <f aca="false">MIN(N('My Debts'!$E$14),J280)</f>
        <v>0</v>
      </c>
      <c r="U280" s="39" t="n">
        <f aca="false">MIN(N('My Debts'!$E$15),K280)</f>
        <v>0</v>
      </c>
      <c r="V280" s="39" t="n">
        <f aca="false">ROUND(B280-L280-MIN(B280-L280,MAX(0,$AF280-SUMPRODUCT(--($B$4:$K$4&lt;B$4),$B280:$K280-$L280:$U280))),2)</f>
        <v>0</v>
      </c>
      <c r="W280" s="39" t="n">
        <f aca="false">ROUND(C280-M280-MIN(C280-M280,MAX(0,$AF280-SUMPRODUCT(--($B$4:$K$4&lt;C$4),$B280:$K280-$L280:$U280))),2)</f>
        <v>0</v>
      </c>
      <c r="X280" s="39" t="n">
        <f aca="false">ROUND(D280-N280-MIN(D280-N280,MAX(0,$AF280-SUMPRODUCT(--($B$4:$K$4&lt;D$4),$B280:$K280-$L280:$U280))),2)</f>
        <v>0</v>
      </c>
      <c r="Y280" s="39" t="n">
        <f aca="false">ROUND(E280-O280-MIN(E280-O280,MAX(0,$AF280-SUMPRODUCT(--($B$4:$K$4&lt;E$4),$B280:$K280-$L280:$U280))),2)</f>
        <v>0</v>
      </c>
      <c r="Z280" s="39" t="n">
        <f aca="false">ROUND(F280-P280-MIN(F280-P280,MAX(0,$AF280-SUMPRODUCT(--($B$4:$K$4&lt;F$4),$B280:$K280-$L280:$U280))),2)</f>
        <v>0</v>
      </c>
      <c r="AA280" s="39" t="n">
        <f aca="false">ROUND(G280-Q280-MIN(G280-Q280,MAX(0,$AF280-SUMPRODUCT(--($B$4:$K$4&lt;G$4),$B280:$K280-$L280:$U280))),2)</f>
        <v>0</v>
      </c>
      <c r="AB280" s="39" t="n">
        <f aca="false">ROUND(H280-R280-MIN(H280-R280,MAX(0,$AF280-SUMPRODUCT(--($B$4:$K$4&lt;H$4),$B280:$K280-$L280:$U280))),2)</f>
        <v>0</v>
      </c>
      <c r="AC280" s="39" t="n">
        <f aca="false">ROUND(I280-S280-MIN(I280-S280,MAX(0,$AF280-SUMPRODUCT(--($B$4:$K$4&lt;I$4),$B280:$K280-$L280:$U280))),2)</f>
        <v>0</v>
      </c>
      <c r="AD280" s="39" t="n">
        <f aca="false">ROUND(J280-T280-MIN(J280-T280,MAX(0,$AF280-SUMPRODUCT(--($B$4:$K$4&lt;J$4),$B280:$K280-$L280:$U280))),2)</f>
        <v>0</v>
      </c>
      <c r="AE280" s="39" t="n">
        <f aca="false">ROUND(K280-U280-MIN(K280-U280,MAX(0,$AF280-SUMPRODUCT(--($B$4:$K$4&lt;K$4),$B280:$K280-$L280:$U280))),2)</f>
        <v>0</v>
      </c>
      <c r="AF280" s="39" t="n">
        <f aca="false">MAX(0,'Start Here'!$C$5-SUM($L280:$U280))</f>
        <v>1200</v>
      </c>
      <c r="AG280" s="39" t="n">
        <f aca="false">SUM(V280:AE280)</f>
        <v>0</v>
      </c>
      <c r="AH280" s="39" t="n">
        <f aca="false">SUM(B280:K280)-AG279</f>
        <v>0</v>
      </c>
    </row>
    <row r="281" customFormat="false" ht="15" hidden="false" customHeight="false" outlineLevel="0" collapsed="false">
      <c r="A281" s="40" t="n">
        <f aca="false">DATE(YEAR('Start Here'!$C$6),MONTH('Start Here'!$C$6)+274,1)</f>
        <v>54636</v>
      </c>
      <c r="B281" s="39" t="n">
        <f aca="false">ROUND(V280*(1+N('My Debts'!$D$6)/12),2)</f>
        <v>0</v>
      </c>
      <c r="C281" s="39" t="n">
        <f aca="false">ROUND(W280*(1+N('My Debts'!$D$7)/12),2)</f>
        <v>0</v>
      </c>
      <c r="D281" s="39" t="n">
        <f aca="false">ROUND(X280*(1+N('My Debts'!$D$8)/12),2)</f>
        <v>0</v>
      </c>
      <c r="E281" s="39" t="n">
        <f aca="false">ROUND(Y280*(1+N('My Debts'!$D$9)/12),2)</f>
        <v>0</v>
      </c>
      <c r="F281" s="39" t="n">
        <f aca="false">ROUND(Z280*(1+N('My Debts'!$D$10)/12),2)</f>
        <v>0</v>
      </c>
      <c r="G281" s="39" t="n">
        <f aca="false">ROUND(AA280*(1+N('My Debts'!$D$11)/12),2)</f>
        <v>0</v>
      </c>
      <c r="H281" s="39" t="n">
        <f aca="false">ROUND(AB280*(1+N('My Debts'!$D$12)/12),2)</f>
        <v>0</v>
      </c>
      <c r="I281" s="39" t="n">
        <f aca="false">ROUND(AC280*(1+N('My Debts'!$D$13)/12),2)</f>
        <v>0</v>
      </c>
      <c r="J281" s="39" t="n">
        <f aca="false">ROUND(AD280*(1+N('My Debts'!$D$14)/12),2)</f>
        <v>0</v>
      </c>
      <c r="K281" s="39" t="n">
        <f aca="false">ROUND(AE280*(1+N('My Debts'!$D$15)/12),2)</f>
        <v>0</v>
      </c>
      <c r="L281" s="39" t="n">
        <f aca="false">MIN(N('My Debts'!$E$6),B281)</f>
        <v>0</v>
      </c>
      <c r="M281" s="39" t="n">
        <f aca="false">MIN(N('My Debts'!$E$7),C281)</f>
        <v>0</v>
      </c>
      <c r="N281" s="39" t="n">
        <f aca="false">MIN(N('My Debts'!$E$8),D281)</f>
        <v>0</v>
      </c>
      <c r="O281" s="39" t="n">
        <f aca="false">MIN(N('My Debts'!$E$9),E281)</f>
        <v>0</v>
      </c>
      <c r="P281" s="39" t="n">
        <f aca="false">MIN(N('My Debts'!$E$10),F281)</f>
        <v>0</v>
      </c>
      <c r="Q281" s="39" t="n">
        <f aca="false">MIN(N('My Debts'!$E$11),G281)</f>
        <v>0</v>
      </c>
      <c r="R281" s="39" t="n">
        <f aca="false">MIN(N('My Debts'!$E$12),H281)</f>
        <v>0</v>
      </c>
      <c r="S281" s="39" t="n">
        <f aca="false">MIN(N('My Debts'!$E$13),I281)</f>
        <v>0</v>
      </c>
      <c r="T281" s="39" t="n">
        <f aca="false">MIN(N('My Debts'!$E$14),J281)</f>
        <v>0</v>
      </c>
      <c r="U281" s="39" t="n">
        <f aca="false">MIN(N('My Debts'!$E$15),K281)</f>
        <v>0</v>
      </c>
      <c r="V281" s="39" t="n">
        <f aca="false">ROUND(B281-L281-MIN(B281-L281,MAX(0,$AF281-SUMPRODUCT(--($B$4:$K$4&lt;B$4),$B281:$K281-$L281:$U281))),2)</f>
        <v>0</v>
      </c>
      <c r="W281" s="39" t="n">
        <f aca="false">ROUND(C281-M281-MIN(C281-M281,MAX(0,$AF281-SUMPRODUCT(--($B$4:$K$4&lt;C$4),$B281:$K281-$L281:$U281))),2)</f>
        <v>0</v>
      </c>
      <c r="X281" s="39" t="n">
        <f aca="false">ROUND(D281-N281-MIN(D281-N281,MAX(0,$AF281-SUMPRODUCT(--($B$4:$K$4&lt;D$4),$B281:$K281-$L281:$U281))),2)</f>
        <v>0</v>
      </c>
      <c r="Y281" s="39" t="n">
        <f aca="false">ROUND(E281-O281-MIN(E281-O281,MAX(0,$AF281-SUMPRODUCT(--($B$4:$K$4&lt;E$4),$B281:$K281-$L281:$U281))),2)</f>
        <v>0</v>
      </c>
      <c r="Z281" s="39" t="n">
        <f aca="false">ROUND(F281-P281-MIN(F281-P281,MAX(0,$AF281-SUMPRODUCT(--($B$4:$K$4&lt;F$4),$B281:$K281-$L281:$U281))),2)</f>
        <v>0</v>
      </c>
      <c r="AA281" s="39" t="n">
        <f aca="false">ROUND(G281-Q281-MIN(G281-Q281,MAX(0,$AF281-SUMPRODUCT(--($B$4:$K$4&lt;G$4),$B281:$K281-$L281:$U281))),2)</f>
        <v>0</v>
      </c>
      <c r="AB281" s="39" t="n">
        <f aca="false">ROUND(H281-R281-MIN(H281-R281,MAX(0,$AF281-SUMPRODUCT(--($B$4:$K$4&lt;H$4),$B281:$K281-$L281:$U281))),2)</f>
        <v>0</v>
      </c>
      <c r="AC281" s="39" t="n">
        <f aca="false">ROUND(I281-S281-MIN(I281-S281,MAX(0,$AF281-SUMPRODUCT(--($B$4:$K$4&lt;I$4),$B281:$K281-$L281:$U281))),2)</f>
        <v>0</v>
      </c>
      <c r="AD281" s="39" t="n">
        <f aca="false">ROUND(J281-T281-MIN(J281-T281,MAX(0,$AF281-SUMPRODUCT(--($B$4:$K$4&lt;J$4),$B281:$K281-$L281:$U281))),2)</f>
        <v>0</v>
      </c>
      <c r="AE281" s="39" t="n">
        <f aca="false">ROUND(K281-U281-MIN(K281-U281,MAX(0,$AF281-SUMPRODUCT(--($B$4:$K$4&lt;K$4),$B281:$K281-$L281:$U281))),2)</f>
        <v>0</v>
      </c>
      <c r="AF281" s="39" t="n">
        <f aca="false">MAX(0,'Start Here'!$C$5-SUM($L281:$U281))</f>
        <v>1200</v>
      </c>
      <c r="AG281" s="39" t="n">
        <f aca="false">SUM(V281:AE281)</f>
        <v>0</v>
      </c>
      <c r="AH281" s="39" t="n">
        <f aca="false">SUM(B281:K281)-AG280</f>
        <v>0</v>
      </c>
    </row>
    <row r="282" customFormat="false" ht="15" hidden="false" customHeight="false" outlineLevel="0" collapsed="false">
      <c r="A282" s="40" t="n">
        <f aca="false">DATE(YEAR('Start Here'!$C$6),MONTH('Start Here'!$C$6)+275,1)</f>
        <v>54667</v>
      </c>
      <c r="B282" s="39" t="n">
        <f aca="false">ROUND(V281*(1+N('My Debts'!$D$6)/12),2)</f>
        <v>0</v>
      </c>
      <c r="C282" s="39" t="n">
        <f aca="false">ROUND(W281*(1+N('My Debts'!$D$7)/12),2)</f>
        <v>0</v>
      </c>
      <c r="D282" s="39" t="n">
        <f aca="false">ROUND(X281*(1+N('My Debts'!$D$8)/12),2)</f>
        <v>0</v>
      </c>
      <c r="E282" s="39" t="n">
        <f aca="false">ROUND(Y281*(1+N('My Debts'!$D$9)/12),2)</f>
        <v>0</v>
      </c>
      <c r="F282" s="39" t="n">
        <f aca="false">ROUND(Z281*(1+N('My Debts'!$D$10)/12),2)</f>
        <v>0</v>
      </c>
      <c r="G282" s="39" t="n">
        <f aca="false">ROUND(AA281*(1+N('My Debts'!$D$11)/12),2)</f>
        <v>0</v>
      </c>
      <c r="H282" s="39" t="n">
        <f aca="false">ROUND(AB281*(1+N('My Debts'!$D$12)/12),2)</f>
        <v>0</v>
      </c>
      <c r="I282" s="39" t="n">
        <f aca="false">ROUND(AC281*(1+N('My Debts'!$D$13)/12),2)</f>
        <v>0</v>
      </c>
      <c r="J282" s="39" t="n">
        <f aca="false">ROUND(AD281*(1+N('My Debts'!$D$14)/12),2)</f>
        <v>0</v>
      </c>
      <c r="K282" s="39" t="n">
        <f aca="false">ROUND(AE281*(1+N('My Debts'!$D$15)/12),2)</f>
        <v>0</v>
      </c>
      <c r="L282" s="39" t="n">
        <f aca="false">MIN(N('My Debts'!$E$6),B282)</f>
        <v>0</v>
      </c>
      <c r="M282" s="39" t="n">
        <f aca="false">MIN(N('My Debts'!$E$7),C282)</f>
        <v>0</v>
      </c>
      <c r="N282" s="39" t="n">
        <f aca="false">MIN(N('My Debts'!$E$8),D282)</f>
        <v>0</v>
      </c>
      <c r="O282" s="39" t="n">
        <f aca="false">MIN(N('My Debts'!$E$9),E282)</f>
        <v>0</v>
      </c>
      <c r="P282" s="39" t="n">
        <f aca="false">MIN(N('My Debts'!$E$10),F282)</f>
        <v>0</v>
      </c>
      <c r="Q282" s="39" t="n">
        <f aca="false">MIN(N('My Debts'!$E$11),G282)</f>
        <v>0</v>
      </c>
      <c r="R282" s="39" t="n">
        <f aca="false">MIN(N('My Debts'!$E$12),H282)</f>
        <v>0</v>
      </c>
      <c r="S282" s="39" t="n">
        <f aca="false">MIN(N('My Debts'!$E$13),I282)</f>
        <v>0</v>
      </c>
      <c r="T282" s="39" t="n">
        <f aca="false">MIN(N('My Debts'!$E$14),J282)</f>
        <v>0</v>
      </c>
      <c r="U282" s="39" t="n">
        <f aca="false">MIN(N('My Debts'!$E$15),K282)</f>
        <v>0</v>
      </c>
      <c r="V282" s="39" t="n">
        <f aca="false">ROUND(B282-L282-MIN(B282-L282,MAX(0,$AF282-SUMPRODUCT(--($B$4:$K$4&lt;B$4),$B282:$K282-$L282:$U282))),2)</f>
        <v>0</v>
      </c>
      <c r="W282" s="39" t="n">
        <f aca="false">ROUND(C282-M282-MIN(C282-M282,MAX(0,$AF282-SUMPRODUCT(--($B$4:$K$4&lt;C$4),$B282:$K282-$L282:$U282))),2)</f>
        <v>0</v>
      </c>
      <c r="X282" s="39" t="n">
        <f aca="false">ROUND(D282-N282-MIN(D282-N282,MAX(0,$AF282-SUMPRODUCT(--($B$4:$K$4&lt;D$4),$B282:$K282-$L282:$U282))),2)</f>
        <v>0</v>
      </c>
      <c r="Y282" s="39" t="n">
        <f aca="false">ROUND(E282-O282-MIN(E282-O282,MAX(0,$AF282-SUMPRODUCT(--($B$4:$K$4&lt;E$4),$B282:$K282-$L282:$U282))),2)</f>
        <v>0</v>
      </c>
      <c r="Z282" s="39" t="n">
        <f aca="false">ROUND(F282-P282-MIN(F282-P282,MAX(0,$AF282-SUMPRODUCT(--($B$4:$K$4&lt;F$4),$B282:$K282-$L282:$U282))),2)</f>
        <v>0</v>
      </c>
      <c r="AA282" s="39" t="n">
        <f aca="false">ROUND(G282-Q282-MIN(G282-Q282,MAX(0,$AF282-SUMPRODUCT(--($B$4:$K$4&lt;G$4),$B282:$K282-$L282:$U282))),2)</f>
        <v>0</v>
      </c>
      <c r="AB282" s="39" t="n">
        <f aca="false">ROUND(H282-R282-MIN(H282-R282,MAX(0,$AF282-SUMPRODUCT(--($B$4:$K$4&lt;H$4),$B282:$K282-$L282:$U282))),2)</f>
        <v>0</v>
      </c>
      <c r="AC282" s="39" t="n">
        <f aca="false">ROUND(I282-S282-MIN(I282-S282,MAX(0,$AF282-SUMPRODUCT(--($B$4:$K$4&lt;I$4),$B282:$K282-$L282:$U282))),2)</f>
        <v>0</v>
      </c>
      <c r="AD282" s="39" t="n">
        <f aca="false">ROUND(J282-T282-MIN(J282-T282,MAX(0,$AF282-SUMPRODUCT(--($B$4:$K$4&lt;J$4),$B282:$K282-$L282:$U282))),2)</f>
        <v>0</v>
      </c>
      <c r="AE282" s="39" t="n">
        <f aca="false">ROUND(K282-U282-MIN(K282-U282,MAX(0,$AF282-SUMPRODUCT(--($B$4:$K$4&lt;K$4),$B282:$K282-$L282:$U282))),2)</f>
        <v>0</v>
      </c>
      <c r="AF282" s="39" t="n">
        <f aca="false">MAX(0,'Start Here'!$C$5-SUM($L282:$U282))</f>
        <v>1200</v>
      </c>
      <c r="AG282" s="39" t="n">
        <f aca="false">SUM(V282:AE282)</f>
        <v>0</v>
      </c>
      <c r="AH282" s="39" t="n">
        <f aca="false">SUM(B282:K282)-AG281</f>
        <v>0</v>
      </c>
    </row>
    <row r="283" customFormat="false" ht="15" hidden="false" customHeight="false" outlineLevel="0" collapsed="false">
      <c r="A283" s="40" t="n">
        <f aca="false">DATE(YEAR('Start Here'!$C$6),MONTH('Start Here'!$C$6)+276,1)</f>
        <v>54697</v>
      </c>
      <c r="B283" s="39" t="n">
        <f aca="false">ROUND(V282*(1+N('My Debts'!$D$6)/12),2)</f>
        <v>0</v>
      </c>
      <c r="C283" s="39" t="n">
        <f aca="false">ROUND(W282*(1+N('My Debts'!$D$7)/12),2)</f>
        <v>0</v>
      </c>
      <c r="D283" s="39" t="n">
        <f aca="false">ROUND(X282*(1+N('My Debts'!$D$8)/12),2)</f>
        <v>0</v>
      </c>
      <c r="E283" s="39" t="n">
        <f aca="false">ROUND(Y282*(1+N('My Debts'!$D$9)/12),2)</f>
        <v>0</v>
      </c>
      <c r="F283" s="39" t="n">
        <f aca="false">ROUND(Z282*(1+N('My Debts'!$D$10)/12),2)</f>
        <v>0</v>
      </c>
      <c r="G283" s="39" t="n">
        <f aca="false">ROUND(AA282*(1+N('My Debts'!$D$11)/12),2)</f>
        <v>0</v>
      </c>
      <c r="H283" s="39" t="n">
        <f aca="false">ROUND(AB282*(1+N('My Debts'!$D$12)/12),2)</f>
        <v>0</v>
      </c>
      <c r="I283" s="39" t="n">
        <f aca="false">ROUND(AC282*(1+N('My Debts'!$D$13)/12),2)</f>
        <v>0</v>
      </c>
      <c r="J283" s="39" t="n">
        <f aca="false">ROUND(AD282*(1+N('My Debts'!$D$14)/12),2)</f>
        <v>0</v>
      </c>
      <c r="K283" s="39" t="n">
        <f aca="false">ROUND(AE282*(1+N('My Debts'!$D$15)/12),2)</f>
        <v>0</v>
      </c>
      <c r="L283" s="39" t="n">
        <f aca="false">MIN(N('My Debts'!$E$6),B283)</f>
        <v>0</v>
      </c>
      <c r="M283" s="39" t="n">
        <f aca="false">MIN(N('My Debts'!$E$7),C283)</f>
        <v>0</v>
      </c>
      <c r="N283" s="39" t="n">
        <f aca="false">MIN(N('My Debts'!$E$8),D283)</f>
        <v>0</v>
      </c>
      <c r="O283" s="39" t="n">
        <f aca="false">MIN(N('My Debts'!$E$9),E283)</f>
        <v>0</v>
      </c>
      <c r="P283" s="39" t="n">
        <f aca="false">MIN(N('My Debts'!$E$10),F283)</f>
        <v>0</v>
      </c>
      <c r="Q283" s="39" t="n">
        <f aca="false">MIN(N('My Debts'!$E$11),G283)</f>
        <v>0</v>
      </c>
      <c r="R283" s="39" t="n">
        <f aca="false">MIN(N('My Debts'!$E$12),H283)</f>
        <v>0</v>
      </c>
      <c r="S283" s="39" t="n">
        <f aca="false">MIN(N('My Debts'!$E$13),I283)</f>
        <v>0</v>
      </c>
      <c r="T283" s="39" t="n">
        <f aca="false">MIN(N('My Debts'!$E$14),J283)</f>
        <v>0</v>
      </c>
      <c r="U283" s="39" t="n">
        <f aca="false">MIN(N('My Debts'!$E$15),K283)</f>
        <v>0</v>
      </c>
      <c r="V283" s="39" t="n">
        <f aca="false">ROUND(B283-L283-MIN(B283-L283,MAX(0,$AF283-SUMPRODUCT(--($B$4:$K$4&lt;B$4),$B283:$K283-$L283:$U283))),2)</f>
        <v>0</v>
      </c>
      <c r="W283" s="39" t="n">
        <f aca="false">ROUND(C283-M283-MIN(C283-M283,MAX(0,$AF283-SUMPRODUCT(--($B$4:$K$4&lt;C$4),$B283:$K283-$L283:$U283))),2)</f>
        <v>0</v>
      </c>
      <c r="X283" s="39" t="n">
        <f aca="false">ROUND(D283-N283-MIN(D283-N283,MAX(0,$AF283-SUMPRODUCT(--($B$4:$K$4&lt;D$4),$B283:$K283-$L283:$U283))),2)</f>
        <v>0</v>
      </c>
      <c r="Y283" s="39" t="n">
        <f aca="false">ROUND(E283-O283-MIN(E283-O283,MAX(0,$AF283-SUMPRODUCT(--($B$4:$K$4&lt;E$4),$B283:$K283-$L283:$U283))),2)</f>
        <v>0</v>
      </c>
      <c r="Z283" s="39" t="n">
        <f aca="false">ROUND(F283-P283-MIN(F283-P283,MAX(0,$AF283-SUMPRODUCT(--($B$4:$K$4&lt;F$4),$B283:$K283-$L283:$U283))),2)</f>
        <v>0</v>
      </c>
      <c r="AA283" s="39" t="n">
        <f aca="false">ROUND(G283-Q283-MIN(G283-Q283,MAX(0,$AF283-SUMPRODUCT(--($B$4:$K$4&lt;G$4),$B283:$K283-$L283:$U283))),2)</f>
        <v>0</v>
      </c>
      <c r="AB283" s="39" t="n">
        <f aca="false">ROUND(H283-R283-MIN(H283-R283,MAX(0,$AF283-SUMPRODUCT(--($B$4:$K$4&lt;H$4),$B283:$K283-$L283:$U283))),2)</f>
        <v>0</v>
      </c>
      <c r="AC283" s="39" t="n">
        <f aca="false">ROUND(I283-S283-MIN(I283-S283,MAX(0,$AF283-SUMPRODUCT(--($B$4:$K$4&lt;I$4),$B283:$K283-$L283:$U283))),2)</f>
        <v>0</v>
      </c>
      <c r="AD283" s="39" t="n">
        <f aca="false">ROUND(J283-T283-MIN(J283-T283,MAX(0,$AF283-SUMPRODUCT(--($B$4:$K$4&lt;J$4),$B283:$K283-$L283:$U283))),2)</f>
        <v>0</v>
      </c>
      <c r="AE283" s="39" t="n">
        <f aca="false">ROUND(K283-U283-MIN(K283-U283,MAX(0,$AF283-SUMPRODUCT(--($B$4:$K$4&lt;K$4),$B283:$K283-$L283:$U283))),2)</f>
        <v>0</v>
      </c>
      <c r="AF283" s="39" t="n">
        <f aca="false">MAX(0,'Start Here'!$C$5-SUM($L283:$U283))</f>
        <v>1200</v>
      </c>
      <c r="AG283" s="39" t="n">
        <f aca="false">SUM(V283:AE283)</f>
        <v>0</v>
      </c>
      <c r="AH283" s="39" t="n">
        <f aca="false">SUM(B283:K283)-AG282</f>
        <v>0</v>
      </c>
    </row>
    <row r="284" customFormat="false" ht="15" hidden="false" customHeight="false" outlineLevel="0" collapsed="false">
      <c r="A284" s="40" t="n">
        <f aca="false">DATE(YEAR('Start Here'!$C$6),MONTH('Start Here'!$C$6)+277,1)</f>
        <v>54728</v>
      </c>
      <c r="B284" s="39" t="n">
        <f aca="false">ROUND(V283*(1+N('My Debts'!$D$6)/12),2)</f>
        <v>0</v>
      </c>
      <c r="C284" s="39" t="n">
        <f aca="false">ROUND(W283*(1+N('My Debts'!$D$7)/12),2)</f>
        <v>0</v>
      </c>
      <c r="D284" s="39" t="n">
        <f aca="false">ROUND(X283*(1+N('My Debts'!$D$8)/12),2)</f>
        <v>0</v>
      </c>
      <c r="E284" s="39" t="n">
        <f aca="false">ROUND(Y283*(1+N('My Debts'!$D$9)/12),2)</f>
        <v>0</v>
      </c>
      <c r="F284" s="39" t="n">
        <f aca="false">ROUND(Z283*(1+N('My Debts'!$D$10)/12),2)</f>
        <v>0</v>
      </c>
      <c r="G284" s="39" t="n">
        <f aca="false">ROUND(AA283*(1+N('My Debts'!$D$11)/12),2)</f>
        <v>0</v>
      </c>
      <c r="H284" s="39" t="n">
        <f aca="false">ROUND(AB283*(1+N('My Debts'!$D$12)/12),2)</f>
        <v>0</v>
      </c>
      <c r="I284" s="39" t="n">
        <f aca="false">ROUND(AC283*(1+N('My Debts'!$D$13)/12),2)</f>
        <v>0</v>
      </c>
      <c r="J284" s="39" t="n">
        <f aca="false">ROUND(AD283*(1+N('My Debts'!$D$14)/12),2)</f>
        <v>0</v>
      </c>
      <c r="K284" s="39" t="n">
        <f aca="false">ROUND(AE283*(1+N('My Debts'!$D$15)/12),2)</f>
        <v>0</v>
      </c>
      <c r="L284" s="39" t="n">
        <f aca="false">MIN(N('My Debts'!$E$6),B284)</f>
        <v>0</v>
      </c>
      <c r="M284" s="39" t="n">
        <f aca="false">MIN(N('My Debts'!$E$7),C284)</f>
        <v>0</v>
      </c>
      <c r="N284" s="39" t="n">
        <f aca="false">MIN(N('My Debts'!$E$8),D284)</f>
        <v>0</v>
      </c>
      <c r="O284" s="39" t="n">
        <f aca="false">MIN(N('My Debts'!$E$9),E284)</f>
        <v>0</v>
      </c>
      <c r="P284" s="39" t="n">
        <f aca="false">MIN(N('My Debts'!$E$10),F284)</f>
        <v>0</v>
      </c>
      <c r="Q284" s="39" t="n">
        <f aca="false">MIN(N('My Debts'!$E$11),G284)</f>
        <v>0</v>
      </c>
      <c r="R284" s="39" t="n">
        <f aca="false">MIN(N('My Debts'!$E$12),H284)</f>
        <v>0</v>
      </c>
      <c r="S284" s="39" t="n">
        <f aca="false">MIN(N('My Debts'!$E$13),I284)</f>
        <v>0</v>
      </c>
      <c r="T284" s="39" t="n">
        <f aca="false">MIN(N('My Debts'!$E$14),J284)</f>
        <v>0</v>
      </c>
      <c r="U284" s="39" t="n">
        <f aca="false">MIN(N('My Debts'!$E$15),K284)</f>
        <v>0</v>
      </c>
      <c r="V284" s="39" t="n">
        <f aca="false">ROUND(B284-L284-MIN(B284-L284,MAX(0,$AF284-SUMPRODUCT(--($B$4:$K$4&lt;B$4),$B284:$K284-$L284:$U284))),2)</f>
        <v>0</v>
      </c>
      <c r="W284" s="39" t="n">
        <f aca="false">ROUND(C284-M284-MIN(C284-M284,MAX(0,$AF284-SUMPRODUCT(--($B$4:$K$4&lt;C$4),$B284:$K284-$L284:$U284))),2)</f>
        <v>0</v>
      </c>
      <c r="X284" s="39" t="n">
        <f aca="false">ROUND(D284-N284-MIN(D284-N284,MAX(0,$AF284-SUMPRODUCT(--($B$4:$K$4&lt;D$4),$B284:$K284-$L284:$U284))),2)</f>
        <v>0</v>
      </c>
      <c r="Y284" s="39" t="n">
        <f aca="false">ROUND(E284-O284-MIN(E284-O284,MAX(0,$AF284-SUMPRODUCT(--($B$4:$K$4&lt;E$4),$B284:$K284-$L284:$U284))),2)</f>
        <v>0</v>
      </c>
      <c r="Z284" s="39" t="n">
        <f aca="false">ROUND(F284-P284-MIN(F284-P284,MAX(0,$AF284-SUMPRODUCT(--($B$4:$K$4&lt;F$4),$B284:$K284-$L284:$U284))),2)</f>
        <v>0</v>
      </c>
      <c r="AA284" s="39" t="n">
        <f aca="false">ROUND(G284-Q284-MIN(G284-Q284,MAX(0,$AF284-SUMPRODUCT(--($B$4:$K$4&lt;G$4),$B284:$K284-$L284:$U284))),2)</f>
        <v>0</v>
      </c>
      <c r="AB284" s="39" t="n">
        <f aca="false">ROUND(H284-R284-MIN(H284-R284,MAX(0,$AF284-SUMPRODUCT(--($B$4:$K$4&lt;H$4),$B284:$K284-$L284:$U284))),2)</f>
        <v>0</v>
      </c>
      <c r="AC284" s="39" t="n">
        <f aca="false">ROUND(I284-S284-MIN(I284-S284,MAX(0,$AF284-SUMPRODUCT(--($B$4:$K$4&lt;I$4),$B284:$K284-$L284:$U284))),2)</f>
        <v>0</v>
      </c>
      <c r="AD284" s="39" t="n">
        <f aca="false">ROUND(J284-T284-MIN(J284-T284,MAX(0,$AF284-SUMPRODUCT(--($B$4:$K$4&lt;J$4),$B284:$K284-$L284:$U284))),2)</f>
        <v>0</v>
      </c>
      <c r="AE284" s="39" t="n">
        <f aca="false">ROUND(K284-U284-MIN(K284-U284,MAX(0,$AF284-SUMPRODUCT(--($B$4:$K$4&lt;K$4),$B284:$K284-$L284:$U284))),2)</f>
        <v>0</v>
      </c>
      <c r="AF284" s="39" t="n">
        <f aca="false">MAX(0,'Start Here'!$C$5-SUM($L284:$U284))</f>
        <v>1200</v>
      </c>
      <c r="AG284" s="39" t="n">
        <f aca="false">SUM(V284:AE284)</f>
        <v>0</v>
      </c>
      <c r="AH284" s="39" t="n">
        <f aca="false">SUM(B284:K284)-AG283</f>
        <v>0</v>
      </c>
    </row>
    <row r="285" customFormat="false" ht="15" hidden="false" customHeight="false" outlineLevel="0" collapsed="false">
      <c r="A285" s="40" t="n">
        <f aca="false">DATE(YEAR('Start Here'!$C$6),MONTH('Start Here'!$C$6)+278,1)</f>
        <v>54758</v>
      </c>
      <c r="B285" s="39" t="n">
        <f aca="false">ROUND(V284*(1+N('My Debts'!$D$6)/12),2)</f>
        <v>0</v>
      </c>
      <c r="C285" s="39" t="n">
        <f aca="false">ROUND(W284*(1+N('My Debts'!$D$7)/12),2)</f>
        <v>0</v>
      </c>
      <c r="D285" s="39" t="n">
        <f aca="false">ROUND(X284*(1+N('My Debts'!$D$8)/12),2)</f>
        <v>0</v>
      </c>
      <c r="E285" s="39" t="n">
        <f aca="false">ROUND(Y284*(1+N('My Debts'!$D$9)/12),2)</f>
        <v>0</v>
      </c>
      <c r="F285" s="39" t="n">
        <f aca="false">ROUND(Z284*(1+N('My Debts'!$D$10)/12),2)</f>
        <v>0</v>
      </c>
      <c r="G285" s="39" t="n">
        <f aca="false">ROUND(AA284*(1+N('My Debts'!$D$11)/12),2)</f>
        <v>0</v>
      </c>
      <c r="H285" s="39" t="n">
        <f aca="false">ROUND(AB284*(1+N('My Debts'!$D$12)/12),2)</f>
        <v>0</v>
      </c>
      <c r="I285" s="39" t="n">
        <f aca="false">ROUND(AC284*(1+N('My Debts'!$D$13)/12),2)</f>
        <v>0</v>
      </c>
      <c r="J285" s="39" t="n">
        <f aca="false">ROUND(AD284*(1+N('My Debts'!$D$14)/12),2)</f>
        <v>0</v>
      </c>
      <c r="K285" s="39" t="n">
        <f aca="false">ROUND(AE284*(1+N('My Debts'!$D$15)/12),2)</f>
        <v>0</v>
      </c>
      <c r="L285" s="39" t="n">
        <f aca="false">MIN(N('My Debts'!$E$6),B285)</f>
        <v>0</v>
      </c>
      <c r="M285" s="39" t="n">
        <f aca="false">MIN(N('My Debts'!$E$7),C285)</f>
        <v>0</v>
      </c>
      <c r="N285" s="39" t="n">
        <f aca="false">MIN(N('My Debts'!$E$8),D285)</f>
        <v>0</v>
      </c>
      <c r="O285" s="39" t="n">
        <f aca="false">MIN(N('My Debts'!$E$9),E285)</f>
        <v>0</v>
      </c>
      <c r="P285" s="39" t="n">
        <f aca="false">MIN(N('My Debts'!$E$10),F285)</f>
        <v>0</v>
      </c>
      <c r="Q285" s="39" t="n">
        <f aca="false">MIN(N('My Debts'!$E$11),G285)</f>
        <v>0</v>
      </c>
      <c r="R285" s="39" t="n">
        <f aca="false">MIN(N('My Debts'!$E$12),H285)</f>
        <v>0</v>
      </c>
      <c r="S285" s="39" t="n">
        <f aca="false">MIN(N('My Debts'!$E$13),I285)</f>
        <v>0</v>
      </c>
      <c r="T285" s="39" t="n">
        <f aca="false">MIN(N('My Debts'!$E$14),J285)</f>
        <v>0</v>
      </c>
      <c r="U285" s="39" t="n">
        <f aca="false">MIN(N('My Debts'!$E$15),K285)</f>
        <v>0</v>
      </c>
      <c r="V285" s="39" t="n">
        <f aca="false">ROUND(B285-L285-MIN(B285-L285,MAX(0,$AF285-SUMPRODUCT(--($B$4:$K$4&lt;B$4),$B285:$K285-$L285:$U285))),2)</f>
        <v>0</v>
      </c>
      <c r="W285" s="39" t="n">
        <f aca="false">ROUND(C285-M285-MIN(C285-M285,MAX(0,$AF285-SUMPRODUCT(--($B$4:$K$4&lt;C$4),$B285:$K285-$L285:$U285))),2)</f>
        <v>0</v>
      </c>
      <c r="X285" s="39" t="n">
        <f aca="false">ROUND(D285-N285-MIN(D285-N285,MAX(0,$AF285-SUMPRODUCT(--($B$4:$K$4&lt;D$4),$B285:$K285-$L285:$U285))),2)</f>
        <v>0</v>
      </c>
      <c r="Y285" s="39" t="n">
        <f aca="false">ROUND(E285-O285-MIN(E285-O285,MAX(0,$AF285-SUMPRODUCT(--($B$4:$K$4&lt;E$4),$B285:$K285-$L285:$U285))),2)</f>
        <v>0</v>
      </c>
      <c r="Z285" s="39" t="n">
        <f aca="false">ROUND(F285-P285-MIN(F285-P285,MAX(0,$AF285-SUMPRODUCT(--($B$4:$K$4&lt;F$4),$B285:$K285-$L285:$U285))),2)</f>
        <v>0</v>
      </c>
      <c r="AA285" s="39" t="n">
        <f aca="false">ROUND(G285-Q285-MIN(G285-Q285,MAX(0,$AF285-SUMPRODUCT(--($B$4:$K$4&lt;G$4),$B285:$K285-$L285:$U285))),2)</f>
        <v>0</v>
      </c>
      <c r="AB285" s="39" t="n">
        <f aca="false">ROUND(H285-R285-MIN(H285-R285,MAX(0,$AF285-SUMPRODUCT(--($B$4:$K$4&lt;H$4),$B285:$K285-$L285:$U285))),2)</f>
        <v>0</v>
      </c>
      <c r="AC285" s="39" t="n">
        <f aca="false">ROUND(I285-S285-MIN(I285-S285,MAX(0,$AF285-SUMPRODUCT(--($B$4:$K$4&lt;I$4),$B285:$K285-$L285:$U285))),2)</f>
        <v>0</v>
      </c>
      <c r="AD285" s="39" t="n">
        <f aca="false">ROUND(J285-T285-MIN(J285-T285,MAX(0,$AF285-SUMPRODUCT(--($B$4:$K$4&lt;J$4),$B285:$K285-$L285:$U285))),2)</f>
        <v>0</v>
      </c>
      <c r="AE285" s="39" t="n">
        <f aca="false">ROUND(K285-U285-MIN(K285-U285,MAX(0,$AF285-SUMPRODUCT(--($B$4:$K$4&lt;K$4),$B285:$K285-$L285:$U285))),2)</f>
        <v>0</v>
      </c>
      <c r="AF285" s="39" t="n">
        <f aca="false">MAX(0,'Start Here'!$C$5-SUM($L285:$U285))</f>
        <v>1200</v>
      </c>
      <c r="AG285" s="39" t="n">
        <f aca="false">SUM(V285:AE285)</f>
        <v>0</v>
      </c>
      <c r="AH285" s="39" t="n">
        <f aca="false">SUM(B285:K285)-AG284</f>
        <v>0</v>
      </c>
    </row>
    <row r="286" customFormat="false" ht="15" hidden="false" customHeight="false" outlineLevel="0" collapsed="false">
      <c r="A286" s="40" t="n">
        <f aca="false">DATE(YEAR('Start Here'!$C$6),MONTH('Start Here'!$C$6)+279,1)</f>
        <v>54789</v>
      </c>
      <c r="B286" s="39" t="n">
        <f aca="false">ROUND(V285*(1+N('My Debts'!$D$6)/12),2)</f>
        <v>0</v>
      </c>
      <c r="C286" s="39" t="n">
        <f aca="false">ROUND(W285*(1+N('My Debts'!$D$7)/12),2)</f>
        <v>0</v>
      </c>
      <c r="D286" s="39" t="n">
        <f aca="false">ROUND(X285*(1+N('My Debts'!$D$8)/12),2)</f>
        <v>0</v>
      </c>
      <c r="E286" s="39" t="n">
        <f aca="false">ROUND(Y285*(1+N('My Debts'!$D$9)/12),2)</f>
        <v>0</v>
      </c>
      <c r="F286" s="39" t="n">
        <f aca="false">ROUND(Z285*(1+N('My Debts'!$D$10)/12),2)</f>
        <v>0</v>
      </c>
      <c r="G286" s="39" t="n">
        <f aca="false">ROUND(AA285*(1+N('My Debts'!$D$11)/12),2)</f>
        <v>0</v>
      </c>
      <c r="H286" s="39" t="n">
        <f aca="false">ROUND(AB285*(1+N('My Debts'!$D$12)/12),2)</f>
        <v>0</v>
      </c>
      <c r="I286" s="39" t="n">
        <f aca="false">ROUND(AC285*(1+N('My Debts'!$D$13)/12),2)</f>
        <v>0</v>
      </c>
      <c r="J286" s="39" t="n">
        <f aca="false">ROUND(AD285*(1+N('My Debts'!$D$14)/12),2)</f>
        <v>0</v>
      </c>
      <c r="K286" s="39" t="n">
        <f aca="false">ROUND(AE285*(1+N('My Debts'!$D$15)/12),2)</f>
        <v>0</v>
      </c>
      <c r="L286" s="39" t="n">
        <f aca="false">MIN(N('My Debts'!$E$6),B286)</f>
        <v>0</v>
      </c>
      <c r="M286" s="39" t="n">
        <f aca="false">MIN(N('My Debts'!$E$7),C286)</f>
        <v>0</v>
      </c>
      <c r="N286" s="39" t="n">
        <f aca="false">MIN(N('My Debts'!$E$8),D286)</f>
        <v>0</v>
      </c>
      <c r="O286" s="39" t="n">
        <f aca="false">MIN(N('My Debts'!$E$9),E286)</f>
        <v>0</v>
      </c>
      <c r="P286" s="39" t="n">
        <f aca="false">MIN(N('My Debts'!$E$10),F286)</f>
        <v>0</v>
      </c>
      <c r="Q286" s="39" t="n">
        <f aca="false">MIN(N('My Debts'!$E$11),G286)</f>
        <v>0</v>
      </c>
      <c r="R286" s="39" t="n">
        <f aca="false">MIN(N('My Debts'!$E$12),H286)</f>
        <v>0</v>
      </c>
      <c r="S286" s="39" t="n">
        <f aca="false">MIN(N('My Debts'!$E$13),I286)</f>
        <v>0</v>
      </c>
      <c r="T286" s="39" t="n">
        <f aca="false">MIN(N('My Debts'!$E$14),J286)</f>
        <v>0</v>
      </c>
      <c r="U286" s="39" t="n">
        <f aca="false">MIN(N('My Debts'!$E$15),K286)</f>
        <v>0</v>
      </c>
      <c r="V286" s="39" t="n">
        <f aca="false">ROUND(B286-L286-MIN(B286-L286,MAX(0,$AF286-SUMPRODUCT(--($B$4:$K$4&lt;B$4),$B286:$K286-$L286:$U286))),2)</f>
        <v>0</v>
      </c>
      <c r="W286" s="39" t="n">
        <f aca="false">ROUND(C286-M286-MIN(C286-M286,MAX(0,$AF286-SUMPRODUCT(--($B$4:$K$4&lt;C$4),$B286:$K286-$L286:$U286))),2)</f>
        <v>0</v>
      </c>
      <c r="X286" s="39" t="n">
        <f aca="false">ROUND(D286-N286-MIN(D286-N286,MAX(0,$AF286-SUMPRODUCT(--($B$4:$K$4&lt;D$4),$B286:$K286-$L286:$U286))),2)</f>
        <v>0</v>
      </c>
      <c r="Y286" s="39" t="n">
        <f aca="false">ROUND(E286-O286-MIN(E286-O286,MAX(0,$AF286-SUMPRODUCT(--($B$4:$K$4&lt;E$4),$B286:$K286-$L286:$U286))),2)</f>
        <v>0</v>
      </c>
      <c r="Z286" s="39" t="n">
        <f aca="false">ROUND(F286-P286-MIN(F286-P286,MAX(0,$AF286-SUMPRODUCT(--($B$4:$K$4&lt;F$4),$B286:$K286-$L286:$U286))),2)</f>
        <v>0</v>
      </c>
      <c r="AA286" s="39" t="n">
        <f aca="false">ROUND(G286-Q286-MIN(G286-Q286,MAX(0,$AF286-SUMPRODUCT(--($B$4:$K$4&lt;G$4),$B286:$K286-$L286:$U286))),2)</f>
        <v>0</v>
      </c>
      <c r="AB286" s="39" t="n">
        <f aca="false">ROUND(H286-R286-MIN(H286-R286,MAX(0,$AF286-SUMPRODUCT(--($B$4:$K$4&lt;H$4),$B286:$K286-$L286:$U286))),2)</f>
        <v>0</v>
      </c>
      <c r="AC286" s="39" t="n">
        <f aca="false">ROUND(I286-S286-MIN(I286-S286,MAX(0,$AF286-SUMPRODUCT(--($B$4:$K$4&lt;I$4),$B286:$K286-$L286:$U286))),2)</f>
        <v>0</v>
      </c>
      <c r="AD286" s="39" t="n">
        <f aca="false">ROUND(J286-T286-MIN(J286-T286,MAX(0,$AF286-SUMPRODUCT(--($B$4:$K$4&lt;J$4),$B286:$K286-$L286:$U286))),2)</f>
        <v>0</v>
      </c>
      <c r="AE286" s="39" t="n">
        <f aca="false">ROUND(K286-U286-MIN(K286-U286,MAX(0,$AF286-SUMPRODUCT(--($B$4:$K$4&lt;K$4),$B286:$K286-$L286:$U286))),2)</f>
        <v>0</v>
      </c>
      <c r="AF286" s="39" t="n">
        <f aca="false">MAX(0,'Start Here'!$C$5-SUM($L286:$U286))</f>
        <v>1200</v>
      </c>
      <c r="AG286" s="39" t="n">
        <f aca="false">SUM(V286:AE286)</f>
        <v>0</v>
      </c>
      <c r="AH286" s="39" t="n">
        <f aca="false">SUM(B286:K286)-AG285</f>
        <v>0</v>
      </c>
    </row>
    <row r="287" customFormat="false" ht="15" hidden="false" customHeight="false" outlineLevel="0" collapsed="false">
      <c r="A287" s="40" t="n">
        <f aca="false">DATE(YEAR('Start Here'!$C$6),MONTH('Start Here'!$C$6)+280,1)</f>
        <v>54820</v>
      </c>
      <c r="B287" s="39" t="n">
        <f aca="false">ROUND(V286*(1+N('My Debts'!$D$6)/12),2)</f>
        <v>0</v>
      </c>
      <c r="C287" s="39" t="n">
        <f aca="false">ROUND(W286*(1+N('My Debts'!$D$7)/12),2)</f>
        <v>0</v>
      </c>
      <c r="D287" s="39" t="n">
        <f aca="false">ROUND(X286*(1+N('My Debts'!$D$8)/12),2)</f>
        <v>0</v>
      </c>
      <c r="E287" s="39" t="n">
        <f aca="false">ROUND(Y286*(1+N('My Debts'!$D$9)/12),2)</f>
        <v>0</v>
      </c>
      <c r="F287" s="39" t="n">
        <f aca="false">ROUND(Z286*(1+N('My Debts'!$D$10)/12),2)</f>
        <v>0</v>
      </c>
      <c r="G287" s="39" t="n">
        <f aca="false">ROUND(AA286*(1+N('My Debts'!$D$11)/12),2)</f>
        <v>0</v>
      </c>
      <c r="H287" s="39" t="n">
        <f aca="false">ROUND(AB286*(1+N('My Debts'!$D$12)/12),2)</f>
        <v>0</v>
      </c>
      <c r="I287" s="39" t="n">
        <f aca="false">ROUND(AC286*(1+N('My Debts'!$D$13)/12),2)</f>
        <v>0</v>
      </c>
      <c r="J287" s="39" t="n">
        <f aca="false">ROUND(AD286*(1+N('My Debts'!$D$14)/12),2)</f>
        <v>0</v>
      </c>
      <c r="K287" s="39" t="n">
        <f aca="false">ROUND(AE286*(1+N('My Debts'!$D$15)/12),2)</f>
        <v>0</v>
      </c>
      <c r="L287" s="39" t="n">
        <f aca="false">MIN(N('My Debts'!$E$6),B287)</f>
        <v>0</v>
      </c>
      <c r="M287" s="39" t="n">
        <f aca="false">MIN(N('My Debts'!$E$7),C287)</f>
        <v>0</v>
      </c>
      <c r="N287" s="39" t="n">
        <f aca="false">MIN(N('My Debts'!$E$8),D287)</f>
        <v>0</v>
      </c>
      <c r="O287" s="39" t="n">
        <f aca="false">MIN(N('My Debts'!$E$9),E287)</f>
        <v>0</v>
      </c>
      <c r="P287" s="39" t="n">
        <f aca="false">MIN(N('My Debts'!$E$10),F287)</f>
        <v>0</v>
      </c>
      <c r="Q287" s="39" t="n">
        <f aca="false">MIN(N('My Debts'!$E$11),G287)</f>
        <v>0</v>
      </c>
      <c r="R287" s="39" t="n">
        <f aca="false">MIN(N('My Debts'!$E$12),H287)</f>
        <v>0</v>
      </c>
      <c r="S287" s="39" t="n">
        <f aca="false">MIN(N('My Debts'!$E$13),I287)</f>
        <v>0</v>
      </c>
      <c r="T287" s="39" t="n">
        <f aca="false">MIN(N('My Debts'!$E$14),J287)</f>
        <v>0</v>
      </c>
      <c r="U287" s="39" t="n">
        <f aca="false">MIN(N('My Debts'!$E$15),K287)</f>
        <v>0</v>
      </c>
      <c r="V287" s="39" t="n">
        <f aca="false">ROUND(B287-L287-MIN(B287-L287,MAX(0,$AF287-SUMPRODUCT(--($B$4:$K$4&lt;B$4),$B287:$K287-$L287:$U287))),2)</f>
        <v>0</v>
      </c>
      <c r="W287" s="39" t="n">
        <f aca="false">ROUND(C287-M287-MIN(C287-M287,MAX(0,$AF287-SUMPRODUCT(--($B$4:$K$4&lt;C$4),$B287:$K287-$L287:$U287))),2)</f>
        <v>0</v>
      </c>
      <c r="X287" s="39" t="n">
        <f aca="false">ROUND(D287-N287-MIN(D287-N287,MAX(0,$AF287-SUMPRODUCT(--($B$4:$K$4&lt;D$4),$B287:$K287-$L287:$U287))),2)</f>
        <v>0</v>
      </c>
      <c r="Y287" s="39" t="n">
        <f aca="false">ROUND(E287-O287-MIN(E287-O287,MAX(0,$AF287-SUMPRODUCT(--($B$4:$K$4&lt;E$4),$B287:$K287-$L287:$U287))),2)</f>
        <v>0</v>
      </c>
      <c r="Z287" s="39" t="n">
        <f aca="false">ROUND(F287-P287-MIN(F287-P287,MAX(0,$AF287-SUMPRODUCT(--($B$4:$K$4&lt;F$4),$B287:$K287-$L287:$U287))),2)</f>
        <v>0</v>
      </c>
      <c r="AA287" s="39" t="n">
        <f aca="false">ROUND(G287-Q287-MIN(G287-Q287,MAX(0,$AF287-SUMPRODUCT(--($B$4:$K$4&lt;G$4),$B287:$K287-$L287:$U287))),2)</f>
        <v>0</v>
      </c>
      <c r="AB287" s="39" t="n">
        <f aca="false">ROUND(H287-R287-MIN(H287-R287,MAX(0,$AF287-SUMPRODUCT(--($B$4:$K$4&lt;H$4),$B287:$K287-$L287:$U287))),2)</f>
        <v>0</v>
      </c>
      <c r="AC287" s="39" t="n">
        <f aca="false">ROUND(I287-S287-MIN(I287-S287,MAX(0,$AF287-SUMPRODUCT(--($B$4:$K$4&lt;I$4),$B287:$K287-$L287:$U287))),2)</f>
        <v>0</v>
      </c>
      <c r="AD287" s="39" t="n">
        <f aca="false">ROUND(J287-T287-MIN(J287-T287,MAX(0,$AF287-SUMPRODUCT(--($B$4:$K$4&lt;J$4),$B287:$K287-$L287:$U287))),2)</f>
        <v>0</v>
      </c>
      <c r="AE287" s="39" t="n">
        <f aca="false">ROUND(K287-U287-MIN(K287-U287,MAX(0,$AF287-SUMPRODUCT(--($B$4:$K$4&lt;K$4),$B287:$K287-$L287:$U287))),2)</f>
        <v>0</v>
      </c>
      <c r="AF287" s="39" t="n">
        <f aca="false">MAX(0,'Start Here'!$C$5-SUM($L287:$U287))</f>
        <v>1200</v>
      </c>
      <c r="AG287" s="39" t="n">
        <f aca="false">SUM(V287:AE287)</f>
        <v>0</v>
      </c>
      <c r="AH287" s="39" t="n">
        <f aca="false">SUM(B287:K287)-AG286</f>
        <v>0</v>
      </c>
    </row>
    <row r="288" customFormat="false" ht="15" hidden="false" customHeight="false" outlineLevel="0" collapsed="false">
      <c r="A288" s="40" t="n">
        <f aca="false">DATE(YEAR('Start Here'!$C$6),MONTH('Start Here'!$C$6)+281,1)</f>
        <v>54848</v>
      </c>
      <c r="B288" s="39" t="n">
        <f aca="false">ROUND(V287*(1+N('My Debts'!$D$6)/12),2)</f>
        <v>0</v>
      </c>
      <c r="C288" s="39" t="n">
        <f aca="false">ROUND(W287*(1+N('My Debts'!$D$7)/12),2)</f>
        <v>0</v>
      </c>
      <c r="D288" s="39" t="n">
        <f aca="false">ROUND(X287*(1+N('My Debts'!$D$8)/12),2)</f>
        <v>0</v>
      </c>
      <c r="E288" s="39" t="n">
        <f aca="false">ROUND(Y287*(1+N('My Debts'!$D$9)/12),2)</f>
        <v>0</v>
      </c>
      <c r="F288" s="39" t="n">
        <f aca="false">ROUND(Z287*(1+N('My Debts'!$D$10)/12),2)</f>
        <v>0</v>
      </c>
      <c r="G288" s="39" t="n">
        <f aca="false">ROUND(AA287*(1+N('My Debts'!$D$11)/12),2)</f>
        <v>0</v>
      </c>
      <c r="H288" s="39" t="n">
        <f aca="false">ROUND(AB287*(1+N('My Debts'!$D$12)/12),2)</f>
        <v>0</v>
      </c>
      <c r="I288" s="39" t="n">
        <f aca="false">ROUND(AC287*(1+N('My Debts'!$D$13)/12),2)</f>
        <v>0</v>
      </c>
      <c r="J288" s="39" t="n">
        <f aca="false">ROUND(AD287*(1+N('My Debts'!$D$14)/12),2)</f>
        <v>0</v>
      </c>
      <c r="K288" s="39" t="n">
        <f aca="false">ROUND(AE287*(1+N('My Debts'!$D$15)/12),2)</f>
        <v>0</v>
      </c>
      <c r="L288" s="39" t="n">
        <f aca="false">MIN(N('My Debts'!$E$6),B288)</f>
        <v>0</v>
      </c>
      <c r="M288" s="39" t="n">
        <f aca="false">MIN(N('My Debts'!$E$7),C288)</f>
        <v>0</v>
      </c>
      <c r="N288" s="39" t="n">
        <f aca="false">MIN(N('My Debts'!$E$8),D288)</f>
        <v>0</v>
      </c>
      <c r="O288" s="39" t="n">
        <f aca="false">MIN(N('My Debts'!$E$9),E288)</f>
        <v>0</v>
      </c>
      <c r="P288" s="39" t="n">
        <f aca="false">MIN(N('My Debts'!$E$10),F288)</f>
        <v>0</v>
      </c>
      <c r="Q288" s="39" t="n">
        <f aca="false">MIN(N('My Debts'!$E$11),G288)</f>
        <v>0</v>
      </c>
      <c r="R288" s="39" t="n">
        <f aca="false">MIN(N('My Debts'!$E$12),H288)</f>
        <v>0</v>
      </c>
      <c r="S288" s="39" t="n">
        <f aca="false">MIN(N('My Debts'!$E$13),I288)</f>
        <v>0</v>
      </c>
      <c r="T288" s="39" t="n">
        <f aca="false">MIN(N('My Debts'!$E$14),J288)</f>
        <v>0</v>
      </c>
      <c r="U288" s="39" t="n">
        <f aca="false">MIN(N('My Debts'!$E$15),K288)</f>
        <v>0</v>
      </c>
      <c r="V288" s="39" t="n">
        <f aca="false">ROUND(B288-L288-MIN(B288-L288,MAX(0,$AF288-SUMPRODUCT(--($B$4:$K$4&lt;B$4),$B288:$K288-$L288:$U288))),2)</f>
        <v>0</v>
      </c>
      <c r="W288" s="39" t="n">
        <f aca="false">ROUND(C288-M288-MIN(C288-M288,MAX(0,$AF288-SUMPRODUCT(--($B$4:$K$4&lt;C$4),$B288:$K288-$L288:$U288))),2)</f>
        <v>0</v>
      </c>
      <c r="X288" s="39" t="n">
        <f aca="false">ROUND(D288-N288-MIN(D288-N288,MAX(0,$AF288-SUMPRODUCT(--($B$4:$K$4&lt;D$4),$B288:$K288-$L288:$U288))),2)</f>
        <v>0</v>
      </c>
      <c r="Y288" s="39" t="n">
        <f aca="false">ROUND(E288-O288-MIN(E288-O288,MAX(0,$AF288-SUMPRODUCT(--($B$4:$K$4&lt;E$4),$B288:$K288-$L288:$U288))),2)</f>
        <v>0</v>
      </c>
      <c r="Z288" s="39" t="n">
        <f aca="false">ROUND(F288-P288-MIN(F288-P288,MAX(0,$AF288-SUMPRODUCT(--($B$4:$K$4&lt;F$4),$B288:$K288-$L288:$U288))),2)</f>
        <v>0</v>
      </c>
      <c r="AA288" s="39" t="n">
        <f aca="false">ROUND(G288-Q288-MIN(G288-Q288,MAX(0,$AF288-SUMPRODUCT(--($B$4:$K$4&lt;G$4),$B288:$K288-$L288:$U288))),2)</f>
        <v>0</v>
      </c>
      <c r="AB288" s="39" t="n">
        <f aca="false">ROUND(H288-R288-MIN(H288-R288,MAX(0,$AF288-SUMPRODUCT(--($B$4:$K$4&lt;H$4),$B288:$K288-$L288:$U288))),2)</f>
        <v>0</v>
      </c>
      <c r="AC288" s="39" t="n">
        <f aca="false">ROUND(I288-S288-MIN(I288-S288,MAX(0,$AF288-SUMPRODUCT(--($B$4:$K$4&lt;I$4),$B288:$K288-$L288:$U288))),2)</f>
        <v>0</v>
      </c>
      <c r="AD288" s="39" t="n">
        <f aca="false">ROUND(J288-T288-MIN(J288-T288,MAX(0,$AF288-SUMPRODUCT(--($B$4:$K$4&lt;J$4),$B288:$K288-$L288:$U288))),2)</f>
        <v>0</v>
      </c>
      <c r="AE288" s="39" t="n">
        <f aca="false">ROUND(K288-U288-MIN(K288-U288,MAX(0,$AF288-SUMPRODUCT(--($B$4:$K$4&lt;K$4),$B288:$K288-$L288:$U288))),2)</f>
        <v>0</v>
      </c>
      <c r="AF288" s="39" t="n">
        <f aca="false">MAX(0,'Start Here'!$C$5-SUM($L288:$U288))</f>
        <v>1200</v>
      </c>
      <c r="AG288" s="39" t="n">
        <f aca="false">SUM(V288:AE288)</f>
        <v>0</v>
      </c>
      <c r="AH288" s="39" t="n">
        <f aca="false">SUM(B288:K288)-AG287</f>
        <v>0</v>
      </c>
    </row>
    <row r="289" customFormat="false" ht="15" hidden="false" customHeight="false" outlineLevel="0" collapsed="false">
      <c r="A289" s="40" t="n">
        <f aca="false">DATE(YEAR('Start Here'!$C$6),MONTH('Start Here'!$C$6)+282,1)</f>
        <v>54879</v>
      </c>
      <c r="B289" s="39" t="n">
        <f aca="false">ROUND(V288*(1+N('My Debts'!$D$6)/12),2)</f>
        <v>0</v>
      </c>
      <c r="C289" s="39" t="n">
        <f aca="false">ROUND(W288*(1+N('My Debts'!$D$7)/12),2)</f>
        <v>0</v>
      </c>
      <c r="D289" s="39" t="n">
        <f aca="false">ROUND(X288*(1+N('My Debts'!$D$8)/12),2)</f>
        <v>0</v>
      </c>
      <c r="E289" s="39" t="n">
        <f aca="false">ROUND(Y288*(1+N('My Debts'!$D$9)/12),2)</f>
        <v>0</v>
      </c>
      <c r="F289" s="39" t="n">
        <f aca="false">ROUND(Z288*(1+N('My Debts'!$D$10)/12),2)</f>
        <v>0</v>
      </c>
      <c r="G289" s="39" t="n">
        <f aca="false">ROUND(AA288*(1+N('My Debts'!$D$11)/12),2)</f>
        <v>0</v>
      </c>
      <c r="H289" s="39" t="n">
        <f aca="false">ROUND(AB288*(1+N('My Debts'!$D$12)/12),2)</f>
        <v>0</v>
      </c>
      <c r="I289" s="39" t="n">
        <f aca="false">ROUND(AC288*(1+N('My Debts'!$D$13)/12),2)</f>
        <v>0</v>
      </c>
      <c r="J289" s="39" t="n">
        <f aca="false">ROUND(AD288*(1+N('My Debts'!$D$14)/12),2)</f>
        <v>0</v>
      </c>
      <c r="K289" s="39" t="n">
        <f aca="false">ROUND(AE288*(1+N('My Debts'!$D$15)/12),2)</f>
        <v>0</v>
      </c>
      <c r="L289" s="39" t="n">
        <f aca="false">MIN(N('My Debts'!$E$6),B289)</f>
        <v>0</v>
      </c>
      <c r="M289" s="39" t="n">
        <f aca="false">MIN(N('My Debts'!$E$7),C289)</f>
        <v>0</v>
      </c>
      <c r="N289" s="39" t="n">
        <f aca="false">MIN(N('My Debts'!$E$8),D289)</f>
        <v>0</v>
      </c>
      <c r="O289" s="39" t="n">
        <f aca="false">MIN(N('My Debts'!$E$9),E289)</f>
        <v>0</v>
      </c>
      <c r="P289" s="39" t="n">
        <f aca="false">MIN(N('My Debts'!$E$10),F289)</f>
        <v>0</v>
      </c>
      <c r="Q289" s="39" t="n">
        <f aca="false">MIN(N('My Debts'!$E$11),G289)</f>
        <v>0</v>
      </c>
      <c r="R289" s="39" t="n">
        <f aca="false">MIN(N('My Debts'!$E$12),H289)</f>
        <v>0</v>
      </c>
      <c r="S289" s="39" t="n">
        <f aca="false">MIN(N('My Debts'!$E$13),I289)</f>
        <v>0</v>
      </c>
      <c r="T289" s="39" t="n">
        <f aca="false">MIN(N('My Debts'!$E$14),J289)</f>
        <v>0</v>
      </c>
      <c r="U289" s="39" t="n">
        <f aca="false">MIN(N('My Debts'!$E$15),K289)</f>
        <v>0</v>
      </c>
      <c r="V289" s="39" t="n">
        <f aca="false">ROUND(B289-L289-MIN(B289-L289,MAX(0,$AF289-SUMPRODUCT(--($B$4:$K$4&lt;B$4),$B289:$K289-$L289:$U289))),2)</f>
        <v>0</v>
      </c>
      <c r="W289" s="39" t="n">
        <f aca="false">ROUND(C289-M289-MIN(C289-M289,MAX(0,$AF289-SUMPRODUCT(--($B$4:$K$4&lt;C$4),$B289:$K289-$L289:$U289))),2)</f>
        <v>0</v>
      </c>
      <c r="X289" s="39" t="n">
        <f aca="false">ROUND(D289-N289-MIN(D289-N289,MAX(0,$AF289-SUMPRODUCT(--($B$4:$K$4&lt;D$4),$B289:$K289-$L289:$U289))),2)</f>
        <v>0</v>
      </c>
      <c r="Y289" s="39" t="n">
        <f aca="false">ROUND(E289-O289-MIN(E289-O289,MAX(0,$AF289-SUMPRODUCT(--($B$4:$K$4&lt;E$4),$B289:$K289-$L289:$U289))),2)</f>
        <v>0</v>
      </c>
      <c r="Z289" s="39" t="n">
        <f aca="false">ROUND(F289-P289-MIN(F289-P289,MAX(0,$AF289-SUMPRODUCT(--($B$4:$K$4&lt;F$4),$B289:$K289-$L289:$U289))),2)</f>
        <v>0</v>
      </c>
      <c r="AA289" s="39" t="n">
        <f aca="false">ROUND(G289-Q289-MIN(G289-Q289,MAX(0,$AF289-SUMPRODUCT(--($B$4:$K$4&lt;G$4),$B289:$K289-$L289:$U289))),2)</f>
        <v>0</v>
      </c>
      <c r="AB289" s="39" t="n">
        <f aca="false">ROUND(H289-R289-MIN(H289-R289,MAX(0,$AF289-SUMPRODUCT(--($B$4:$K$4&lt;H$4),$B289:$K289-$L289:$U289))),2)</f>
        <v>0</v>
      </c>
      <c r="AC289" s="39" t="n">
        <f aca="false">ROUND(I289-S289-MIN(I289-S289,MAX(0,$AF289-SUMPRODUCT(--($B$4:$K$4&lt;I$4),$B289:$K289-$L289:$U289))),2)</f>
        <v>0</v>
      </c>
      <c r="AD289" s="39" t="n">
        <f aca="false">ROUND(J289-T289-MIN(J289-T289,MAX(0,$AF289-SUMPRODUCT(--($B$4:$K$4&lt;J$4),$B289:$K289-$L289:$U289))),2)</f>
        <v>0</v>
      </c>
      <c r="AE289" s="39" t="n">
        <f aca="false">ROUND(K289-U289-MIN(K289-U289,MAX(0,$AF289-SUMPRODUCT(--($B$4:$K$4&lt;K$4),$B289:$K289-$L289:$U289))),2)</f>
        <v>0</v>
      </c>
      <c r="AF289" s="39" t="n">
        <f aca="false">MAX(0,'Start Here'!$C$5-SUM($L289:$U289))</f>
        <v>1200</v>
      </c>
      <c r="AG289" s="39" t="n">
        <f aca="false">SUM(V289:AE289)</f>
        <v>0</v>
      </c>
      <c r="AH289" s="39" t="n">
        <f aca="false">SUM(B289:K289)-AG288</f>
        <v>0</v>
      </c>
    </row>
    <row r="290" customFormat="false" ht="15" hidden="false" customHeight="false" outlineLevel="0" collapsed="false">
      <c r="A290" s="40" t="n">
        <f aca="false">DATE(YEAR('Start Here'!$C$6),MONTH('Start Here'!$C$6)+283,1)</f>
        <v>54909</v>
      </c>
      <c r="B290" s="39" t="n">
        <f aca="false">ROUND(V289*(1+N('My Debts'!$D$6)/12),2)</f>
        <v>0</v>
      </c>
      <c r="C290" s="39" t="n">
        <f aca="false">ROUND(W289*(1+N('My Debts'!$D$7)/12),2)</f>
        <v>0</v>
      </c>
      <c r="D290" s="39" t="n">
        <f aca="false">ROUND(X289*(1+N('My Debts'!$D$8)/12),2)</f>
        <v>0</v>
      </c>
      <c r="E290" s="39" t="n">
        <f aca="false">ROUND(Y289*(1+N('My Debts'!$D$9)/12),2)</f>
        <v>0</v>
      </c>
      <c r="F290" s="39" t="n">
        <f aca="false">ROUND(Z289*(1+N('My Debts'!$D$10)/12),2)</f>
        <v>0</v>
      </c>
      <c r="G290" s="39" t="n">
        <f aca="false">ROUND(AA289*(1+N('My Debts'!$D$11)/12),2)</f>
        <v>0</v>
      </c>
      <c r="H290" s="39" t="n">
        <f aca="false">ROUND(AB289*(1+N('My Debts'!$D$12)/12),2)</f>
        <v>0</v>
      </c>
      <c r="I290" s="39" t="n">
        <f aca="false">ROUND(AC289*(1+N('My Debts'!$D$13)/12),2)</f>
        <v>0</v>
      </c>
      <c r="J290" s="39" t="n">
        <f aca="false">ROUND(AD289*(1+N('My Debts'!$D$14)/12),2)</f>
        <v>0</v>
      </c>
      <c r="K290" s="39" t="n">
        <f aca="false">ROUND(AE289*(1+N('My Debts'!$D$15)/12),2)</f>
        <v>0</v>
      </c>
      <c r="L290" s="39" t="n">
        <f aca="false">MIN(N('My Debts'!$E$6),B290)</f>
        <v>0</v>
      </c>
      <c r="M290" s="39" t="n">
        <f aca="false">MIN(N('My Debts'!$E$7),C290)</f>
        <v>0</v>
      </c>
      <c r="N290" s="39" t="n">
        <f aca="false">MIN(N('My Debts'!$E$8),D290)</f>
        <v>0</v>
      </c>
      <c r="O290" s="39" t="n">
        <f aca="false">MIN(N('My Debts'!$E$9),E290)</f>
        <v>0</v>
      </c>
      <c r="P290" s="39" t="n">
        <f aca="false">MIN(N('My Debts'!$E$10),F290)</f>
        <v>0</v>
      </c>
      <c r="Q290" s="39" t="n">
        <f aca="false">MIN(N('My Debts'!$E$11),G290)</f>
        <v>0</v>
      </c>
      <c r="R290" s="39" t="n">
        <f aca="false">MIN(N('My Debts'!$E$12),H290)</f>
        <v>0</v>
      </c>
      <c r="S290" s="39" t="n">
        <f aca="false">MIN(N('My Debts'!$E$13),I290)</f>
        <v>0</v>
      </c>
      <c r="T290" s="39" t="n">
        <f aca="false">MIN(N('My Debts'!$E$14),J290)</f>
        <v>0</v>
      </c>
      <c r="U290" s="39" t="n">
        <f aca="false">MIN(N('My Debts'!$E$15),K290)</f>
        <v>0</v>
      </c>
      <c r="V290" s="39" t="n">
        <f aca="false">ROUND(B290-L290-MIN(B290-L290,MAX(0,$AF290-SUMPRODUCT(--($B$4:$K$4&lt;B$4),$B290:$K290-$L290:$U290))),2)</f>
        <v>0</v>
      </c>
      <c r="W290" s="39" t="n">
        <f aca="false">ROUND(C290-M290-MIN(C290-M290,MAX(0,$AF290-SUMPRODUCT(--($B$4:$K$4&lt;C$4),$B290:$K290-$L290:$U290))),2)</f>
        <v>0</v>
      </c>
      <c r="X290" s="39" t="n">
        <f aca="false">ROUND(D290-N290-MIN(D290-N290,MAX(0,$AF290-SUMPRODUCT(--($B$4:$K$4&lt;D$4),$B290:$K290-$L290:$U290))),2)</f>
        <v>0</v>
      </c>
      <c r="Y290" s="39" t="n">
        <f aca="false">ROUND(E290-O290-MIN(E290-O290,MAX(0,$AF290-SUMPRODUCT(--($B$4:$K$4&lt;E$4),$B290:$K290-$L290:$U290))),2)</f>
        <v>0</v>
      </c>
      <c r="Z290" s="39" t="n">
        <f aca="false">ROUND(F290-P290-MIN(F290-P290,MAX(0,$AF290-SUMPRODUCT(--($B$4:$K$4&lt;F$4),$B290:$K290-$L290:$U290))),2)</f>
        <v>0</v>
      </c>
      <c r="AA290" s="39" t="n">
        <f aca="false">ROUND(G290-Q290-MIN(G290-Q290,MAX(0,$AF290-SUMPRODUCT(--($B$4:$K$4&lt;G$4),$B290:$K290-$L290:$U290))),2)</f>
        <v>0</v>
      </c>
      <c r="AB290" s="39" t="n">
        <f aca="false">ROUND(H290-R290-MIN(H290-R290,MAX(0,$AF290-SUMPRODUCT(--($B$4:$K$4&lt;H$4),$B290:$K290-$L290:$U290))),2)</f>
        <v>0</v>
      </c>
      <c r="AC290" s="39" t="n">
        <f aca="false">ROUND(I290-S290-MIN(I290-S290,MAX(0,$AF290-SUMPRODUCT(--($B$4:$K$4&lt;I$4),$B290:$K290-$L290:$U290))),2)</f>
        <v>0</v>
      </c>
      <c r="AD290" s="39" t="n">
        <f aca="false">ROUND(J290-T290-MIN(J290-T290,MAX(0,$AF290-SUMPRODUCT(--($B$4:$K$4&lt;J$4),$B290:$K290-$L290:$U290))),2)</f>
        <v>0</v>
      </c>
      <c r="AE290" s="39" t="n">
        <f aca="false">ROUND(K290-U290-MIN(K290-U290,MAX(0,$AF290-SUMPRODUCT(--($B$4:$K$4&lt;K$4),$B290:$K290-$L290:$U290))),2)</f>
        <v>0</v>
      </c>
      <c r="AF290" s="39" t="n">
        <f aca="false">MAX(0,'Start Here'!$C$5-SUM($L290:$U290))</f>
        <v>1200</v>
      </c>
      <c r="AG290" s="39" t="n">
        <f aca="false">SUM(V290:AE290)</f>
        <v>0</v>
      </c>
      <c r="AH290" s="39" t="n">
        <f aca="false">SUM(B290:K290)-AG289</f>
        <v>0</v>
      </c>
    </row>
    <row r="291" customFormat="false" ht="15" hidden="false" customHeight="false" outlineLevel="0" collapsed="false">
      <c r="A291" s="40" t="n">
        <f aca="false">DATE(YEAR('Start Here'!$C$6),MONTH('Start Here'!$C$6)+284,1)</f>
        <v>54940</v>
      </c>
      <c r="B291" s="39" t="n">
        <f aca="false">ROUND(V290*(1+N('My Debts'!$D$6)/12),2)</f>
        <v>0</v>
      </c>
      <c r="C291" s="39" t="n">
        <f aca="false">ROUND(W290*(1+N('My Debts'!$D$7)/12),2)</f>
        <v>0</v>
      </c>
      <c r="D291" s="39" t="n">
        <f aca="false">ROUND(X290*(1+N('My Debts'!$D$8)/12),2)</f>
        <v>0</v>
      </c>
      <c r="E291" s="39" t="n">
        <f aca="false">ROUND(Y290*(1+N('My Debts'!$D$9)/12),2)</f>
        <v>0</v>
      </c>
      <c r="F291" s="39" t="n">
        <f aca="false">ROUND(Z290*(1+N('My Debts'!$D$10)/12),2)</f>
        <v>0</v>
      </c>
      <c r="G291" s="39" t="n">
        <f aca="false">ROUND(AA290*(1+N('My Debts'!$D$11)/12),2)</f>
        <v>0</v>
      </c>
      <c r="H291" s="39" t="n">
        <f aca="false">ROUND(AB290*(1+N('My Debts'!$D$12)/12),2)</f>
        <v>0</v>
      </c>
      <c r="I291" s="39" t="n">
        <f aca="false">ROUND(AC290*(1+N('My Debts'!$D$13)/12),2)</f>
        <v>0</v>
      </c>
      <c r="J291" s="39" t="n">
        <f aca="false">ROUND(AD290*(1+N('My Debts'!$D$14)/12),2)</f>
        <v>0</v>
      </c>
      <c r="K291" s="39" t="n">
        <f aca="false">ROUND(AE290*(1+N('My Debts'!$D$15)/12),2)</f>
        <v>0</v>
      </c>
      <c r="L291" s="39" t="n">
        <f aca="false">MIN(N('My Debts'!$E$6),B291)</f>
        <v>0</v>
      </c>
      <c r="M291" s="39" t="n">
        <f aca="false">MIN(N('My Debts'!$E$7),C291)</f>
        <v>0</v>
      </c>
      <c r="N291" s="39" t="n">
        <f aca="false">MIN(N('My Debts'!$E$8),D291)</f>
        <v>0</v>
      </c>
      <c r="O291" s="39" t="n">
        <f aca="false">MIN(N('My Debts'!$E$9),E291)</f>
        <v>0</v>
      </c>
      <c r="P291" s="39" t="n">
        <f aca="false">MIN(N('My Debts'!$E$10),F291)</f>
        <v>0</v>
      </c>
      <c r="Q291" s="39" t="n">
        <f aca="false">MIN(N('My Debts'!$E$11),G291)</f>
        <v>0</v>
      </c>
      <c r="R291" s="39" t="n">
        <f aca="false">MIN(N('My Debts'!$E$12),H291)</f>
        <v>0</v>
      </c>
      <c r="S291" s="39" t="n">
        <f aca="false">MIN(N('My Debts'!$E$13),I291)</f>
        <v>0</v>
      </c>
      <c r="T291" s="39" t="n">
        <f aca="false">MIN(N('My Debts'!$E$14),J291)</f>
        <v>0</v>
      </c>
      <c r="U291" s="39" t="n">
        <f aca="false">MIN(N('My Debts'!$E$15),K291)</f>
        <v>0</v>
      </c>
      <c r="V291" s="39" t="n">
        <f aca="false">ROUND(B291-L291-MIN(B291-L291,MAX(0,$AF291-SUMPRODUCT(--($B$4:$K$4&lt;B$4),$B291:$K291-$L291:$U291))),2)</f>
        <v>0</v>
      </c>
      <c r="W291" s="39" t="n">
        <f aca="false">ROUND(C291-M291-MIN(C291-M291,MAX(0,$AF291-SUMPRODUCT(--($B$4:$K$4&lt;C$4),$B291:$K291-$L291:$U291))),2)</f>
        <v>0</v>
      </c>
      <c r="X291" s="39" t="n">
        <f aca="false">ROUND(D291-N291-MIN(D291-N291,MAX(0,$AF291-SUMPRODUCT(--($B$4:$K$4&lt;D$4),$B291:$K291-$L291:$U291))),2)</f>
        <v>0</v>
      </c>
      <c r="Y291" s="39" t="n">
        <f aca="false">ROUND(E291-O291-MIN(E291-O291,MAX(0,$AF291-SUMPRODUCT(--($B$4:$K$4&lt;E$4),$B291:$K291-$L291:$U291))),2)</f>
        <v>0</v>
      </c>
      <c r="Z291" s="39" t="n">
        <f aca="false">ROUND(F291-P291-MIN(F291-P291,MAX(0,$AF291-SUMPRODUCT(--($B$4:$K$4&lt;F$4),$B291:$K291-$L291:$U291))),2)</f>
        <v>0</v>
      </c>
      <c r="AA291" s="39" t="n">
        <f aca="false">ROUND(G291-Q291-MIN(G291-Q291,MAX(0,$AF291-SUMPRODUCT(--($B$4:$K$4&lt;G$4),$B291:$K291-$L291:$U291))),2)</f>
        <v>0</v>
      </c>
      <c r="AB291" s="39" t="n">
        <f aca="false">ROUND(H291-R291-MIN(H291-R291,MAX(0,$AF291-SUMPRODUCT(--($B$4:$K$4&lt;H$4),$B291:$K291-$L291:$U291))),2)</f>
        <v>0</v>
      </c>
      <c r="AC291" s="39" t="n">
        <f aca="false">ROUND(I291-S291-MIN(I291-S291,MAX(0,$AF291-SUMPRODUCT(--($B$4:$K$4&lt;I$4),$B291:$K291-$L291:$U291))),2)</f>
        <v>0</v>
      </c>
      <c r="AD291" s="39" t="n">
        <f aca="false">ROUND(J291-T291-MIN(J291-T291,MAX(0,$AF291-SUMPRODUCT(--($B$4:$K$4&lt;J$4),$B291:$K291-$L291:$U291))),2)</f>
        <v>0</v>
      </c>
      <c r="AE291" s="39" t="n">
        <f aca="false">ROUND(K291-U291-MIN(K291-U291,MAX(0,$AF291-SUMPRODUCT(--($B$4:$K$4&lt;K$4),$B291:$K291-$L291:$U291))),2)</f>
        <v>0</v>
      </c>
      <c r="AF291" s="39" t="n">
        <f aca="false">MAX(0,'Start Here'!$C$5-SUM($L291:$U291))</f>
        <v>1200</v>
      </c>
      <c r="AG291" s="39" t="n">
        <f aca="false">SUM(V291:AE291)</f>
        <v>0</v>
      </c>
      <c r="AH291" s="39" t="n">
        <f aca="false">SUM(B291:K291)-AG290</f>
        <v>0</v>
      </c>
    </row>
    <row r="292" customFormat="false" ht="15" hidden="false" customHeight="false" outlineLevel="0" collapsed="false">
      <c r="A292" s="40" t="n">
        <f aca="false">DATE(YEAR('Start Here'!$C$6),MONTH('Start Here'!$C$6)+285,1)</f>
        <v>54970</v>
      </c>
      <c r="B292" s="39" t="n">
        <f aca="false">ROUND(V291*(1+N('My Debts'!$D$6)/12),2)</f>
        <v>0</v>
      </c>
      <c r="C292" s="39" t="n">
        <f aca="false">ROUND(W291*(1+N('My Debts'!$D$7)/12),2)</f>
        <v>0</v>
      </c>
      <c r="D292" s="39" t="n">
        <f aca="false">ROUND(X291*(1+N('My Debts'!$D$8)/12),2)</f>
        <v>0</v>
      </c>
      <c r="E292" s="39" t="n">
        <f aca="false">ROUND(Y291*(1+N('My Debts'!$D$9)/12),2)</f>
        <v>0</v>
      </c>
      <c r="F292" s="39" t="n">
        <f aca="false">ROUND(Z291*(1+N('My Debts'!$D$10)/12),2)</f>
        <v>0</v>
      </c>
      <c r="G292" s="39" t="n">
        <f aca="false">ROUND(AA291*(1+N('My Debts'!$D$11)/12),2)</f>
        <v>0</v>
      </c>
      <c r="H292" s="39" t="n">
        <f aca="false">ROUND(AB291*(1+N('My Debts'!$D$12)/12),2)</f>
        <v>0</v>
      </c>
      <c r="I292" s="39" t="n">
        <f aca="false">ROUND(AC291*(1+N('My Debts'!$D$13)/12),2)</f>
        <v>0</v>
      </c>
      <c r="J292" s="39" t="n">
        <f aca="false">ROUND(AD291*(1+N('My Debts'!$D$14)/12),2)</f>
        <v>0</v>
      </c>
      <c r="K292" s="39" t="n">
        <f aca="false">ROUND(AE291*(1+N('My Debts'!$D$15)/12),2)</f>
        <v>0</v>
      </c>
      <c r="L292" s="39" t="n">
        <f aca="false">MIN(N('My Debts'!$E$6),B292)</f>
        <v>0</v>
      </c>
      <c r="M292" s="39" t="n">
        <f aca="false">MIN(N('My Debts'!$E$7),C292)</f>
        <v>0</v>
      </c>
      <c r="N292" s="39" t="n">
        <f aca="false">MIN(N('My Debts'!$E$8),D292)</f>
        <v>0</v>
      </c>
      <c r="O292" s="39" t="n">
        <f aca="false">MIN(N('My Debts'!$E$9),E292)</f>
        <v>0</v>
      </c>
      <c r="P292" s="39" t="n">
        <f aca="false">MIN(N('My Debts'!$E$10),F292)</f>
        <v>0</v>
      </c>
      <c r="Q292" s="39" t="n">
        <f aca="false">MIN(N('My Debts'!$E$11),G292)</f>
        <v>0</v>
      </c>
      <c r="R292" s="39" t="n">
        <f aca="false">MIN(N('My Debts'!$E$12),H292)</f>
        <v>0</v>
      </c>
      <c r="S292" s="39" t="n">
        <f aca="false">MIN(N('My Debts'!$E$13),I292)</f>
        <v>0</v>
      </c>
      <c r="T292" s="39" t="n">
        <f aca="false">MIN(N('My Debts'!$E$14),J292)</f>
        <v>0</v>
      </c>
      <c r="U292" s="39" t="n">
        <f aca="false">MIN(N('My Debts'!$E$15),K292)</f>
        <v>0</v>
      </c>
      <c r="V292" s="39" t="n">
        <f aca="false">ROUND(B292-L292-MIN(B292-L292,MAX(0,$AF292-SUMPRODUCT(--($B$4:$K$4&lt;B$4),$B292:$K292-$L292:$U292))),2)</f>
        <v>0</v>
      </c>
      <c r="W292" s="39" t="n">
        <f aca="false">ROUND(C292-M292-MIN(C292-M292,MAX(0,$AF292-SUMPRODUCT(--($B$4:$K$4&lt;C$4),$B292:$K292-$L292:$U292))),2)</f>
        <v>0</v>
      </c>
      <c r="X292" s="39" t="n">
        <f aca="false">ROUND(D292-N292-MIN(D292-N292,MAX(0,$AF292-SUMPRODUCT(--($B$4:$K$4&lt;D$4),$B292:$K292-$L292:$U292))),2)</f>
        <v>0</v>
      </c>
      <c r="Y292" s="39" t="n">
        <f aca="false">ROUND(E292-O292-MIN(E292-O292,MAX(0,$AF292-SUMPRODUCT(--($B$4:$K$4&lt;E$4),$B292:$K292-$L292:$U292))),2)</f>
        <v>0</v>
      </c>
      <c r="Z292" s="39" t="n">
        <f aca="false">ROUND(F292-P292-MIN(F292-P292,MAX(0,$AF292-SUMPRODUCT(--($B$4:$K$4&lt;F$4),$B292:$K292-$L292:$U292))),2)</f>
        <v>0</v>
      </c>
      <c r="AA292" s="39" t="n">
        <f aca="false">ROUND(G292-Q292-MIN(G292-Q292,MAX(0,$AF292-SUMPRODUCT(--($B$4:$K$4&lt;G$4),$B292:$K292-$L292:$U292))),2)</f>
        <v>0</v>
      </c>
      <c r="AB292" s="39" t="n">
        <f aca="false">ROUND(H292-R292-MIN(H292-R292,MAX(0,$AF292-SUMPRODUCT(--($B$4:$K$4&lt;H$4),$B292:$K292-$L292:$U292))),2)</f>
        <v>0</v>
      </c>
      <c r="AC292" s="39" t="n">
        <f aca="false">ROUND(I292-S292-MIN(I292-S292,MAX(0,$AF292-SUMPRODUCT(--($B$4:$K$4&lt;I$4),$B292:$K292-$L292:$U292))),2)</f>
        <v>0</v>
      </c>
      <c r="AD292" s="39" t="n">
        <f aca="false">ROUND(J292-T292-MIN(J292-T292,MAX(0,$AF292-SUMPRODUCT(--($B$4:$K$4&lt;J$4),$B292:$K292-$L292:$U292))),2)</f>
        <v>0</v>
      </c>
      <c r="AE292" s="39" t="n">
        <f aca="false">ROUND(K292-U292-MIN(K292-U292,MAX(0,$AF292-SUMPRODUCT(--($B$4:$K$4&lt;K$4),$B292:$K292-$L292:$U292))),2)</f>
        <v>0</v>
      </c>
      <c r="AF292" s="39" t="n">
        <f aca="false">MAX(0,'Start Here'!$C$5-SUM($L292:$U292))</f>
        <v>1200</v>
      </c>
      <c r="AG292" s="39" t="n">
        <f aca="false">SUM(V292:AE292)</f>
        <v>0</v>
      </c>
      <c r="AH292" s="39" t="n">
        <f aca="false">SUM(B292:K292)-AG291</f>
        <v>0</v>
      </c>
    </row>
    <row r="293" customFormat="false" ht="15" hidden="false" customHeight="false" outlineLevel="0" collapsed="false">
      <c r="A293" s="40" t="n">
        <f aca="false">DATE(YEAR('Start Here'!$C$6),MONTH('Start Here'!$C$6)+286,1)</f>
        <v>55001</v>
      </c>
      <c r="B293" s="39" t="n">
        <f aca="false">ROUND(V292*(1+N('My Debts'!$D$6)/12),2)</f>
        <v>0</v>
      </c>
      <c r="C293" s="39" t="n">
        <f aca="false">ROUND(W292*(1+N('My Debts'!$D$7)/12),2)</f>
        <v>0</v>
      </c>
      <c r="D293" s="39" t="n">
        <f aca="false">ROUND(X292*(1+N('My Debts'!$D$8)/12),2)</f>
        <v>0</v>
      </c>
      <c r="E293" s="39" t="n">
        <f aca="false">ROUND(Y292*(1+N('My Debts'!$D$9)/12),2)</f>
        <v>0</v>
      </c>
      <c r="F293" s="39" t="n">
        <f aca="false">ROUND(Z292*(1+N('My Debts'!$D$10)/12),2)</f>
        <v>0</v>
      </c>
      <c r="G293" s="39" t="n">
        <f aca="false">ROUND(AA292*(1+N('My Debts'!$D$11)/12),2)</f>
        <v>0</v>
      </c>
      <c r="H293" s="39" t="n">
        <f aca="false">ROUND(AB292*(1+N('My Debts'!$D$12)/12),2)</f>
        <v>0</v>
      </c>
      <c r="I293" s="39" t="n">
        <f aca="false">ROUND(AC292*(1+N('My Debts'!$D$13)/12),2)</f>
        <v>0</v>
      </c>
      <c r="J293" s="39" t="n">
        <f aca="false">ROUND(AD292*(1+N('My Debts'!$D$14)/12),2)</f>
        <v>0</v>
      </c>
      <c r="K293" s="39" t="n">
        <f aca="false">ROUND(AE292*(1+N('My Debts'!$D$15)/12),2)</f>
        <v>0</v>
      </c>
      <c r="L293" s="39" t="n">
        <f aca="false">MIN(N('My Debts'!$E$6),B293)</f>
        <v>0</v>
      </c>
      <c r="M293" s="39" t="n">
        <f aca="false">MIN(N('My Debts'!$E$7),C293)</f>
        <v>0</v>
      </c>
      <c r="N293" s="39" t="n">
        <f aca="false">MIN(N('My Debts'!$E$8),D293)</f>
        <v>0</v>
      </c>
      <c r="O293" s="39" t="n">
        <f aca="false">MIN(N('My Debts'!$E$9),E293)</f>
        <v>0</v>
      </c>
      <c r="P293" s="39" t="n">
        <f aca="false">MIN(N('My Debts'!$E$10),F293)</f>
        <v>0</v>
      </c>
      <c r="Q293" s="39" t="n">
        <f aca="false">MIN(N('My Debts'!$E$11),G293)</f>
        <v>0</v>
      </c>
      <c r="R293" s="39" t="n">
        <f aca="false">MIN(N('My Debts'!$E$12),H293)</f>
        <v>0</v>
      </c>
      <c r="S293" s="39" t="n">
        <f aca="false">MIN(N('My Debts'!$E$13),I293)</f>
        <v>0</v>
      </c>
      <c r="T293" s="39" t="n">
        <f aca="false">MIN(N('My Debts'!$E$14),J293)</f>
        <v>0</v>
      </c>
      <c r="U293" s="39" t="n">
        <f aca="false">MIN(N('My Debts'!$E$15),K293)</f>
        <v>0</v>
      </c>
      <c r="V293" s="39" t="n">
        <f aca="false">ROUND(B293-L293-MIN(B293-L293,MAX(0,$AF293-SUMPRODUCT(--($B$4:$K$4&lt;B$4),$B293:$K293-$L293:$U293))),2)</f>
        <v>0</v>
      </c>
      <c r="W293" s="39" t="n">
        <f aca="false">ROUND(C293-M293-MIN(C293-M293,MAX(0,$AF293-SUMPRODUCT(--($B$4:$K$4&lt;C$4),$B293:$K293-$L293:$U293))),2)</f>
        <v>0</v>
      </c>
      <c r="X293" s="39" t="n">
        <f aca="false">ROUND(D293-N293-MIN(D293-N293,MAX(0,$AF293-SUMPRODUCT(--($B$4:$K$4&lt;D$4),$B293:$K293-$L293:$U293))),2)</f>
        <v>0</v>
      </c>
      <c r="Y293" s="39" t="n">
        <f aca="false">ROUND(E293-O293-MIN(E293-O293,MAX(0,$AF293-SUMPRODUCT(--($B$4:$K$4&lt;E$4),$B293:$K293-$L293:$U293))),2)</f>
        <v>0</v>
      </c>
      <c r="Z293" s="39" t="n">
        <f aca="false">ROUND(F293-P293-MIN(F293-P293,MAX(0,$AF293-SUMPRODUCT(--($B$4:$K$4&lt;F$4),$B293:$K293-$L293:$U293))),2)</f>
        <v>0</v>
      </c>
      <c r="AA293" s="39" t="n">
        <f aca="false">ROUND(G293-Q293-MIN(G293-Q293,MAX(0,$AF293-SUMPRODUCT(--($B$4:$K$4&lt;G$4),$B293:$K293-$L293:$U293))),2)</f>
        <v>0</v>
      </c>
      <c r="AB293" s="39" t="n">
        <f aca="false">ROUND(H293-R293-MIN(H293-R293,MAX(0,$AF293-SUMPRODUCT(--($B$4:$K$4&lt;H$4),$B293:$K293-$L293:$U293))),2)</f>
        <v>0</v>
      </c>
      <c r="AC293" s="39" t="n">
        <f aca="false">ROUND(I293-S293-MIN(I293-S293,MAX(0,$AF293-SUMPRODUCT(--($B$4:$K$4&lt;I$4),$B293:$K293-$L293:$U293))),2)</f>
        <v>0</v>
      </c>
      <c r="AD293" s="39" t="n">
        <f aca="false">ROUND(J293-T293-MIN(J293-T293,MAX(0,$AF293-SUMPRODUCT(--($B$4:$K$4&lt;J$4),$B293:$K293-$L293:$U293))),2)</f>
        <v>0</v>
      </c>
      <c r="AE293" s="39" t="n">
        <f aca="false">ROUND(K293-U293-MIN(K293-U293,MAX(0,$AF293-SUMPRODUCT(--($B$4:$K$4&lt;K$4),$B293:$K293-$L293:$U293))),2)</f>
        <v>0</v>
      </c>
      <c r="AF293" s="39" t="n">
        <f aca="false">MAX(0,'Start Here'!$C$5-SUM($L293:$U293))</f>
        <v>1200</v>
      </c>
      <c r="AG293" s="39" t="n">
        <f aca="false">SUM(V293:AE293)</f>
        <v>0</v>
      </c>
      <c r="AH293" s="39" t="n">
        <f aca="false">SUM(B293:K293)-AG292</f>
        <v>0</v>
      </c>
    </row>
    <row r="294" customFormat="false" ht="15" hidden="false" customHeight="false" outlineLevel="0" collapsed="false">
      <c r="A294" s="40" t="n">
        <f aca="false">DATE(YEAR('Start Here'!$C$6),MONTH('Start Here'!$C$6)+287,1)</f>
        <v>55032</v>
      </c>
      <c r="B294" s="39" t="n">
        <f aca="false">ROUND(V293*(1+N('My Debts'!$D$6)/12),2)</f>
        <v>0</v>
      </c>
      <c r="C294" s="39" t="n">
        <f aca="false">ROUND(W293*(1+N('My Debts'!$D$7)/12),2)</f>
        <v>0</v>
      </c>
      <c r="D294" s="39" t="n">
        <f aca="false">ROUND(X293*(1+N('My Debts'!$D$8)/12),2)</f>
        <v>0</v>
      </c>
      <c r="E294" s="39" t="n">
        <f aca="false">ROUND(Y293*(1+N('My Debts'!$D$9)/12),2)</f>
        <v>0</v>
      </c>
      <c r="F294" s="39" t="n">
        <f aca="false">ROUND(Z293*(1+N('My Debts'!$D$10)/12),2)</f>
        <v>0</v>
      </c>
      <c r="G294" s="39" t="n">
        <f aca="false">ROUND(AA293*(1+N('My Debts'!$D$11)/12),2)</f>
        <v>0</v>
      </c>
      <c r="H294" s="39" t="n">
        <f aca="false">ROUND(AB293*(1+N('My Debts'!$D$12)/12),2)</f>
        <v>0</v>
      </c>
      <c r="I294" s="39" t="n">
        <f aca="false">ROUND(AC293*(1+N('My Debts'!$D$13)/12),2)</f>
        <v>0</v>
      </c>
      <c r="J294" s="39" t="n">
        <f aca="false">ROUND(AD293*(1+N('My Debts'!$D$14)/12),2)</f>
        <v>0</v>
      </c>
      <c r="K294" s="39" t="n">
        <f aca="false">ROUND(AE293*(1+N('My Debts'!$D$15)/12),2)</f>
        <v>0</v>
      </c>
      <c r="L294" s="39" t="n">
        <f aca="false">MIN(N('My Debts'!$E$6),B294)</f>
        <v>0</v>
      </c>
      <c r="M294" s="39" t="n">
        <f aca="false">MIN(N('My Debts'!$E$7),C294)</f>
        <v>0</v>
      </c>
      <c r="N294" s="39" t="n">
        <f aca="false">MIN(N('My Debts'!$E$8),D294)</f>
        <v>0</v>
      </c>
      <c r="O294" s="39" t="n">
        <f aca="false">MIN(N('My Debts'!$E$9),E294)</f>
        <v>0</v>
      </c>
      <c r="P294" s="39" t="n">
        <f aca="false">MIN(N('My Debts'!$E$10),F294)</f>
        <v>0</v>
      </c>
      <c r="Q294" s="39" t="n">
        <f aca="false">MIN(N('My Debts'!$E$11),G294)</f>
        <v>0</v>
      </c>
      <c r="R294" s="39" t="n">
        <f aca="false">MIN(N('My Debts'!$E$12),H294)</f>
        <v>0</v>
      </c>
      <c r="S294" s="39" t="n">
        <f aca="false">MIN(N('My Debts'!$E$13),I294)</f>
        <v>0</v>
      </c>
      <c r="T294" s="39" t="n">
        <f aca="false">MIN(N('My Debts'!$E$14),J294)</f>
        <v>0</v>
      </c>
      <c r="U294" s="39" t="n">
        <f aca="false">MIN(N('My Debts'!$E$15),K294)</f>
        <v>0</v>
      </c>
      <c r="V294" s="39" t="n">
        <f aca="false">ROUND(B294-L294-MIN(B294-L294,MAX(0,$AF294-SUMPRODUCT(--($B$4:$K$4&lt;B$4),$B294:$K294-$L294:$U294))),2)</f>
        <v>0</v>
      </c>
      <c r="W294" s="39" t="n">
        <f aca="false">ROUND(C294-M294-MIN(C294-M294,MAX(0,$AF294-SUMPRODUCT(--($B$4:$K$4&lt;C$4),$B294:$K294-$L294:$U294))),2)</f>
        <v>0</v>
      </c>
      <c r="X294" s="39" t="n">
        <f aca="false">ROUND(D294-N294-MIN(D294-N294,MAX(0,$AF294-SUMPRODUCT(--($B$4:$K$4&lt;D$4),$B294:$K294-$L294:$U294))),2)</f>
        <v>0</v>
      </c>
      <c r="Y294" s="39" t="n">
        <f aca="false">ROUND(E294-O294-MIN(E294-O294,MAX(0,$AF294-SUMPRODUCT(--($B$4:$K$4&lt;E$4),$B294:$K294-$L294:$U294))),2)</f>
        <v>0</v>
      </c>
      <c r="Z294" s="39" t="n">
        <f aca="false">ROUND(F294-P294-MIN(F294-P294,MAX(0,$AF294-SUMPRODUCT(--($B$4:$K$4&lt;F$4),$B294:$K294-$L294:$U294))),2)</f>
        <v>0</v>
      </c>
      <c r="AA294" s="39" t="n">
        <f aca="false">ROUND(G294-Q294-MIN(G294-Q294,MAX(0,$AF294-SUMPRODUCT(--($B$4:$K$4&lt;G$4),$B294:$K294-$L294:$U294))),2)</f>
        <v>0</v>
      </c>
      <c r="AB294" s="39" t="n">
        <f aca="false">ROUND(H294-R294-MIN(H294-R294,MAX(0,$AF294-SUMPRODUCT(--($B$4:$K$4&lt;H$4),$B294:$K294-$L294:$U294))),2)</f>
        <v>0</v>
      </c>
      <c r="AC294" s="39" t="n">
        <f aca="false">ROUND(I294-S294-MIN(I294-S294,MAX(0,$AF294-SUMPRODUCT(--($B$4:$K$4&lt;I$4),$B294:$K294-$L294:$U294))),2)</f>
        <v>0</v>
      </c>
      <c r="AD294" s="39" t="n">
        <f aca="false">ROUND(J294-T294-MIN(J294-T294,MAX(0,$AF294-SUMPRODUCT(--($B$4:$K$4&lt;J$4),$B294:$K294-$L294:$U294))),2)</f>
        <v>0</v>
      </c>
      <c r="AE294" s="39" t="n">
        <f aca="false">ROUND(K294-U294-MIN(K294-U294,MAX(0,$AF294-SUMPRODUCT(--($B$4:$K$4&lt;K$4),$B294:$K294-$L294:$U294))),2)</f>
        <v>0</v>
      </c>
      <c r="AF294" s="39" t="n">
        <f aca="false">MAX(0,'Start Here'!$C$5-SUM($L294:$U294))</f>
        <v>1200</v>
      </c>
      <c r="AG294" s="39" t="n">
        <f aca="false">SUM(V294:AE294)</f>
        <v>0</v>
      </c>
      <c r="AH294" s="39" t="n">
        <f aca="false">SUM(B294:K294)-AG293</f>
        <v>0</v>
      </c>
    </row>
    <row r="295" customFormat="false" ht="15" hidden="false" customHeight="false" outlineLevel="0" collapsed="false">
      <c r="A295" s="40" t="n">
        <f aca="false">DATE(YEAR('Start Here'!$C$6),MONTH('Start Here'!$C$6)+288,1)</f>
        <v>55062</v>
      </c>
      <c r="B295" s="39" t="n">
        <f aca="false">ROUND(V294*(1+N('My Debts'!$D$6)/12),2)</f>
        <v>0</v>
      </c>
      <c r="C295" s="39" t="n">
        <f aca="false">ROUND(W294*(1+N('My Debts'!$D$7)/12),2)</f>
        <v>0</v>
      </c>
      <c r="D295" s="39" t="n">
        <f aca="false">ROUND(X294*(1+N('My Debts'!$D$8)/12),2)</f>
        <v>0</v>
      </c>
      <c r="E295" s="39" t="n">
        <f aca="false">ROUND(Y294*(1+N('My Debts'!$D$9)/12),2)</f>
        <v>0</v>
      </c>
      <c r="F295" s="39" t="n">
        <f aca="false">ROUND(Z294*(1+N('My Debts'!$D$10)/12),2)</f>
        <v>0</v>
      </c>
      <c r="G295" s="39" t="n">
        <f aca="false">ROUND(AA294*(1+N('My Debts'!$D$11)/12),2)</f>
        <v>0</v>
      </c>
      <c r="H295" s="39" t="n">
        <f aca="false">ROUND(AB294*(1+N('My Debts'!$D$12)/12),2)</f>
        <v>0</v>
      </c>
      <c r="I295" s="39" t="n">
        <f aca="false">ROUND(AC294*(1+N('My Debts'!$D$13)/12),2)</f>
        <v>0</v>
      </c>
      <c r="J295" s="39" t="n">
        <f aca="false">ROUND(AD294*(1+N('My Debts'!$D$14)/12),2)</f>
        <v>0</v>
      </c>
      <c r="K295" s="39" t="n">
        <f aca="false">ROUND(AE294*(1+N('My Debts'!$D$15)/12),2)</f>
        <v>0</v>
      </c>
      <c r="L295" s="39" t="n">
        <f aca="false">MIN(N('My Debts'!$E$6),B295)</f>
        <v>0</v>
      </c>
      <c r="M295" s="39" t="n">
        <f aca="false">MIN(N('My Debts'!$E$7),C295)</f>
        <v>0</v>
      </c>
      <c r="N295" s="39" t="n">
        <f aca="false">MIN(N('My Debts'!$E$8),D295)</f>
        <v>0</v>
      </c>
      <c r="O295" s="39" t="n">
        <f aca="false">MIN(N('My Debts'!$E$9),E295)</f>
        <v>0</v>
      </c>
      <c r="P295" s="39" t="n">
        <f aca="false">MIN(N('My Debts'!$E$10),F295)</f>
        <v>0</v>
      </c>
      <c r="Q295" s="39" t="n">
        <f aca="false">MIN(N('My Debts'!$E$11),G295)</f>
        <v>0</v>
      </c>
      <c r="R295" s="39" t="n">
        <f aca="false">MIN(N('My Debts'!$E$12),H295)</f>
        <v>0</v>
      </c>
      <c r="S295" s="39" t="n">
        <f aca="false">MIN(N('My Debts'!$E$13),I295)</f>
        <v>0</v>
      </c>
      <c r="T295" s="39" t="n">
        <f aca="false">MIN(N('My Debts'!$E$14),J295)</f>
        <v>0</v>
      </c>
      <c r="U295" s="39" t="n">
        <f aca="false">MIN(N('My Debts'!$E$15),K295)</f>
        <v>0</v>
      </c>
      <c r="V295" s="39" t="n">
        <f aca="false">ROUND(B295-L295-MIN(B295-L295,MAX(0,$AF295-SUMPRODUCT(--($B$4:$K$4&lt;B$4),$B295:$K295-$L295:$U295))),2)</f>
        <v>0</v>
      </c>
      <c r="W295" s="39" t="n">
        <f aca="false">ROUND(C295-M295-MIN(C295-M295,MAX(0,$AF295-SUMPRODUCT(--($B$4:$K$4&lt;C$4),$B295:$K295-$L295:$U295))),2)</f>
        <v>0</v>
      </c>
      <c r="X295" s="39" t="n">
        <f aca="false">ROUND(D295-N295-MIN(D295-N295,MAX(0,$AF295-SUMPRODUCT(--($B$4:$K$4&lt;D$4),$B295:$K295-$L295:$U295))),2)</f>
        <v>0</v>
      </c>
      <c r="Y295" s="39" t="n">
        <f aca="false">ROUND(E295-O295-MIN(E295-O295,MAX(0,$AF295-SUMPRODUCT(--($B$4:$K$4&lt;E$4),$B295:$K295-$L295:$U295))),2)</f>
        <v>0</v>
      </c>
      <c r="Z295" s="39" t="n">
        <f aca="false">ROUND(F295-P295-MIN(F295-P295,MAX(0,$AF295-SUMPRODUCT(--($B$4:$K$4&lt;F$4),$B295:$K295-$L295:$U295))),2)</f>
        <v>0</v>
      </c>
      <c r="AA295" s="39" t="n">
        <f aca="false">ROUND(G295-Q295-MIN(G295-Q295,MAX(0,$AF295-SUMPRODUCT(--($B$4:$K$4&lt;G$4),$B295:$K295-$L295:$U295))),2)</f>
        <v>0</v>
      </c>
      <c r="AB295" s="39" t="n">
        <f aca="false">ROUND(H295-R295-MIN(H295-R295,MAX(0,$AF295-SUMPRODUCT(--($B$4:$K$4&lt;H$4),$B295:$K295-$L295:$U295))),2)</f>
        <v>0</v>
      </c>
      <c r="AC295" s="39" t="n">
        <f aca="false">ROUND(I295-S295-MIN(I295-S295,MAX(0,$AF295-SUMPRODUCT(--($B$4:$K$4&lt;I$4),$B295:$K295-$L295:$U295))),2)</f>
        <v>0</v>
      </c>
      <c r="AD295" s="39" t="n">
        <f aca="false">ROUND(J295-T295-MIN(J295-T295,MAX(0,$AF295-SUMPRODUCT(--($B$4:$K$4&lt;J$4),$B295:$K295-$L295:$U295))),2)</f>
        <v>0</v>
      </c>
      <c r="AE295" s="39" t="n">
        <f aca="false">ROUND(K295-U295-MIN(K295-U295,MAX(0,$AF295-SUMPRODUCT(--($B$4:$K$4&lt;K$4),$B295:$K295-$L295:$U295))),2)</f>
        <v>0</v>
      </c>
      <c r="AF295" s="39" t="n">
        <f aca="false">MAX(0,'Start Here'!$C$5-SUM($L295:$U295))</f>
        <v>1200</v>
      </c>
      <c r="AG295" s="39" t="n">
        <f aca="false">SUM(V295:AE295)</f>
        <v>0</v>
      </c>
      <c r="AH295" s="39" t="n">
        <f aca="false">SUM(B295:K295)-AG294</f>
        <v>0</v>
      </c>
    </row>
    <row r="296" customFormat="false" ht="15" hidden="false" customHeight="false" outlineLevel="0" collapsed="false">
      <c r="A296" s="40" t="n">
        <f aca="false">DATE(YEAR('Start Here'!$C$6),MONTH('Start Here'!$C$6)+289,1)</f>
        <v>55093</v>
      </c>
      <c r="B296" s="39" t="n">
        <f aca="false">ROUND(V295*(1+N('My Debts'!$D$6)/12),2)</f>
        <v>0</v>
      </c>
      <c r="C296" s="39" t="n">
        <f aca="false">ROUND(W295*(1+N('My Debts'!$D$7)/12),2)</f>
        <v>0</v>
      </c>
      <c r="D296" s="39" t="n">
        <f aca="false">ROUND(X295*(1+N('My Debts'!$D$8)/12),2)</f>
        <v>0</v>
      </c>
      <c r="E296" s="39" t="n">
        <f aca="false">ROUND(Y295*(1+N('My Debts'!$D$9)/12),2)</f>
        <v>0</v>
      </c>
      <c r="F296" s="39" t="n">
        <f aca="false">ROUND(Z295*(1+N('My Debts'!$D$10)/12),2)</f>
        <v>0</v>
      </c>
      <c r="G296" s="39" t="n">
        <f aca="false">ROUND(AA295*(1+N('My Debts'!$D$11)/12),2)</f>
        <v>0</v>
      </c>
      <c r="H296" s="39" t="n">
        <f aca="false">ROUND(AB295*(1+N('My Debts'!$D$12)/12),2)</f>
        <v>0</v>
      </c>
      <c r="I296" s="39" t="n">
        <f aca="false">ROUND(AC295*(1+N('My Debts'!$D$13)/12),2)</f>
        <v>0</v>
      </c>
      <c r="J296" s="39" t="n">
        <f aca="false">ROUND(AD295*(1+N('My Debts'!$D$14)/12),2)</f>
        <v>0</v>
      </c>
      <c r="K296" s="39" t="n">
        <f aca="false">ROUND(AE295*(1+N('My Debts'!$D$15)/12),2)</f>
        <v>0</v>
      </c>
      <c r="L296" s="39" t="n">
        <f aca="false">MIN(N('My Debts'!$E$6),B296)</f>
        <v>0</v>
      </c>
      <c r="M296" s="39" t="n">
        <f aca="false">MIN(N('My Debts'!$E$7),C296)</f>
        <v>0</v>
      </c>
      <c r="N296" s="39" t="n">
        <f aca="false">MIN(N('My Debts'!$E$8),D296)</f>
        <v>0</v>
      </c>
      <c r="O296" s="39" t="n">
        <f aca="false">MIN(N('My Debts'!$E$9),E296)</f>
        <v>0</v>
      </c>
      <c r="P296" s="39" t="n">
        <f aca="false">MIN(N('My Debts'!$E$10),F296)</f>
        <v>0</v>
      </c>
      <c r="Q296" s="39" t="n">
        <f aca="false">MIN(N('My Debts'!$E$11),G296)</f>
        <v>0</v>
      </c>
      <c r="R296" s="39" t="n">
        <f aca="false">MIN(N('My Debts'!$E$12),H296)</f>
        <v>0</v>
      </c>
      <c r="S296" s="39" t="n">
        <f aca="false">MIN(N('My Debts'!$E$13),I296)</f>
        <v>0</v>
      </c>
      <c r="T296" s="39" t="n">
        <f aca="false">MIN(N('My Debts'!$E$14),J296)</f>
        <v>0</v>
      </c>
      <c r="U296" s="39" t="n">
        <f aca="false">MIN(N('My Debts'!$E$15),K296)</f>
        <v>0</v>
      </c>
      <c r="V296" s="39" t="n">
        <f aca="false">ROUND(B296-L296-MIN(B296-L296,MAX(0,$AF296-SUMPRODUCT(--($B$4:$K$4&lt;B$4),$B296:$K296-$L296:$U296))),2)</f>
        <v>0</v>
      </c>
      <c r="W296" s="39" t="n">
        <f aca="false">ROUND(C296-M296-MIN(C296-M296,MAX(0,$AF296-SUMPRODUCT(--($B$4:$K$4&lt;C$4),$B296:$K296-$L296:$U296))),2)</f>
        <v>0</v>
      </c>
      <c r="X296" s="39" t="n">
        <f aca="false">ROUND(D296-N296-MIN(D296-N296,MAX(0,$AF296-SUMPRODUCT(--($B$4:$K$4&lt;D$4),$B296:$K296-$L296:$U296))),2)</f>
        <v>0</v>
      </c>
      <c r="Y296" s="39" t="n">
        <f aca="false">ROUND(E296-O296-MIN(E296-O296,MAX(0,$AF296-SUMPRODUCT(--($B$4:$K$4&lt;E$4),$B296:$K296-$L296:$U296))),2)</f>
        <v>0</v>
      </c>
      <c r="Z296" s="39" t="n">
        <f aca="false">ROUND(F296-P296-MIN(F296-P296,MAX(0,$AF296-SUMPRODUCT(--($B$4:$K$4&lt;F$4),$B296:$K296-$L296:$U296))),2)</f>
        <v>0</v>
      </c>
      <c r="AA296" s="39" t="n">
        <f aca="false">ROUND(G296-Q296-MIN(G296-Q296,MAX(0,$AF296-SUMPRODUCT(--($B$4:$K$4&lt;G$4),$B296:$K296-$L296:$U296))),2)</f>
        <v>0</v>
      </c>
      <c r="AB296" s="39" t="n">
        <f aca="false">ROUND(H296-R296-MIN(H296-R296,MAX(0,$AF296-SUMPRODUCT(--($B$4:$K$4&lt;H$4),$B296:$K296-$L296:$U296))),2)</f>
        <v>0</v>
      </c>
      <c r="AC296" s="39" t="n">
        <f aca="false">ROUND(I296-S296-MIN(I296-S296,MAX(0,$AF296-SUMPRODUCT(--($B$4:$K$4&lt;I$4),$B296:$K296-$L296:$U296))),2)</f>
        <v>0</v>
      </c>
      <c r="AD296" s="39" t="n">
        <f aca="false">ROUND(J296-T296-MIN(J296-T296,MAX(0,$AF296-SUMPRODUCT(--($B$4:$K$4&lt;J$4),$B296:$K296-$L296:$U296))),2)</f>
        <v>0</v>
      </c>
      <c r="AE296" s="39" t="n">
        <f aca="false">ROUND(K296-U296-MIN(K296-U296,MAX(0,$AF296-SUMPRODUCT(--($B$4:$K$4&lt;K$4),$B296:$K296-$L296:$U296))),2)</f>
        <v>0</v>
      </c>
      <c r="AF296" s="39" t="n">
        <f aca="false">MAX(0,'Start Here'!$C$5-SUM($L296:$U296))</f>
        <v>1200</v>
      </c>
      <c r="AG296" s="39" t="n">
        <f aca="false">SUM(V296:AE296)</f>
        <v>0</v>
      </c>
      <c r="AH296" s="39" t="n">
        <f aca="false">SUM(B296:K296)-AG295</f>
        <v>0</v>
      </c>
    </row>
    <row r="297" customFormat="false" ht="15" hidden="false" customHeight="false" outlineLevel="0" collapsed="false">
      <c r="A297" s="40" t="n">
        <f aca="false">DATE(YEAR('Start Here'!$C$6),MONTH('Start Here'!$C$6)+290,1)</f>
        <v>55123</v>
      </c>
      <c r="B297" s="39" t="n">
        <f aca="false">ROUND(V296*(1+N('My Debts'!$D$6)/12),2)</f>
        <v>0</v>
      </c>
      <c r="C297" s="39" t="n">
        <f aca="false">ROUND(W296*(1+N('My Debts'!$D$7)/12),2)</f>
        <v>0</v>
      </c>
      <c r="D297" s="39" t="n">
        <f aca="false">ROUND(X296*(1+N('My Debts'!$D$8)/12),2)</f>
        <v>0</v>
      </c>
      <c r="E297" s="39" t="n">
        <f aca="false">ROUND(Y296*(1+N('My Debts'!$D$9)/12),2)</f>
        <v>0</v>
      </c>
      <c r="F297" s="39" t="n">
        <f aca="false">ROUND(Z296*(1+N('My Debts'!$D$10)/12),2)</f>
        <v>0</v>
      </c>
      <c r="G297" s="39" t="n">
        <f aca="false">ROUND(AA296*(1+N('My Debts'!$D$11)/12),2)</f>
        <v>0</v>
      </c>
      <c r="H297" s="39" t="n">
        <f aca="false">ROUND(AB296*(1+N('My Debts'!$D$12)/12),2)</f>
        <v>0</v>
      </c>
      <c r="I297" s="39" t="n">
        <f aca="false">ROUND(AC296*(1+N('My Debts'!$D$13)/12),2)</f>
        <v>0</v>
      </c>
      <c r="J297" s="39" t="n">
        <f aca="false">ROUND(AD296*(1+N('My Debts'!$D$14)/12),2)</f>
        <v>0</v>
      </c>
      <c r="K297" s="39" t="n">
        <f aca="false">ROUND(AE296*(1+N('My Debts'!$D$15)/12),2)</f>
        <v>0</v>
      </c>
      <c r="L297" s="39" t="n">
        <f aca="false">MIN(N('My Debts'!$E$6),B297)</f>
        <v>0</v>
      </c>
      <c r="M297" s="39" t="n">
        <f aca="false">MIN(N('My Debts'!$E$7),C297)</f>
        <v>0</v>
      </c>
      <c r="N297" s="39" t="n">
        <f aca="false">MIN(N('My Debts'!$E$8),D297)</f>
        <v>0</v>
      </c>
      <c r="O297" s="39" t="n">
        <f aca="false">MIN(N('My Debts'!$E$9),E297)</f>
        <v>0</v>
      </c>
      <c r="P297" s="39" t="n">
        <f aca="false">MIN(N('My Debts'!$E$10),F297)</f>
        <v>0</v>
      </c>
      <c r="Q297" s="39" t="n">
        <f aca="false">MIN(N('My Debts'!$E$11),G297)</f>
        <v>0</v>
      </c>
      <c r="R297" s="39" t="n">
        <f aca="false">MIN(N('My Debts'!$E$12),H297)</f>
        <v>0</v>
      </c>
      <c r="S297" s="39" t="n">
        <f aca="false">MIN(N('My Debts'!$E$13),I297)</f>
        <v>0</v>
      </c>
      <c r="T297" s="39" t="n">
        <f aca="false">MIN(N('My Debts'!$E$14),J297)</f>
        <v>0</v>
      </c>
      <c r="U297" s="39" t="n">
        <f aca="false">MIN(N('My Debts'!$E$15),K297)</f>
        <v>0</v>
      </c>
      <c r="V297" s="39" t="n">
        <f aca="false">ROUND(B297-L297-MIN(B297-L297,MAX(0,$AF297-SUMPRODUCT(--($B$4:$K$4&lt;B$4),$B297:$K297-$L297:$U297))),2)</f>
        <v>0</v>
      </c>
      <c r="W297" s="39" t="n">
        <f aca="false">ROUND(C297-M297-MIN(C297-M297,MAX(0,$AF297-SUMPRODUCT(--($B$4:$K$4&lt;C$4),$B297:$K297-$L297:$U297))),2)</f>
        <v>0</v>
      </c>
      <c r="X297" s="39" t="n">
        <f aca="false">ROUND(D297-N297-MIN(D297-N297,MAX(0,$AF297-SUMPRODUCT(--($B$4:$K$4&lt;D$4),$B297:$K297-$L297:$U297))),2)</f>
        <v>0</v>
      </c>
      <c r="Y297" s="39" t="n">
        <f aca="false">ROUND(E297-O297-MIN(E297-O297,MAX(0,$AF297-SUMPRODUCT(--($B$4:$K$4&lt;E$4),$B297:$K297-$L297:$U297))),2)</f>
        <v>0</v>
      </c>
      <c r="Z297" s="39" t="n">
        <f aca="false">ROUND(F297-P297-MIN(F297-P297,MAX(0,$AF297-SUMPRODUCT(--($B$4:$K$4&lt;F$4),$B297:$K297-$L297:$U297))),2)</f>
        <v>0</v>
      </c>
      <c r="AA297" s="39" t="n">
        <f aca="false">ROUND(G297-Q297-MIN(G297-Q297,MAX(0,$AF297-SUMPRODUCT(--($B$4:$K$4&lt;G$4),$B297:$K297-$L297:$U297))),2)</f>
        <v>0</v>
      </c>
      <c r="AB297" s="39" t="n">
        <f aca="false">ROUND(H297-R297-MIN(H297-R297,MAX(0,$AF297-SUMPRODUCT(--($B$4:$K$4&lt;H$4),$B297:$K297-$L297:$U297))),2)</f>
        <v>0</v>
      </c>
      <c r="AC297" s="39" t="n">
        <f aca="false">ROUND(I297-S297-MIN(I297-S297,MAX(0,$AF297-SUMPRODUCT(--($B$4:$K$4&lt;I$4),$B297:$K297-$L297:$U297))),2)</f>
        <v>0</v>
      </c>
      <c r="AD297" s="39" t="n">
        <f aca="false">ROUND(J297-T297-MIN(J297-T297,MAX(0,$AF297-SUMPRODUCT(--($B$4:$K$4&lt;J$4),$B297:$K297-$L297:$U297))),2)</f>
        <v>0</v>
      </c>
      <c r="AE297" s="39" t="n">
        <f aca="false">ROUND(K297-U297-MIN(K297-U297,MAX(0,$AF297-SUMPRODUCT(--($B$4:$K$4&lt;K$4),$B297:$K297-$L297:$U297))),2)</f>
        <v>0</v>
      </c>
      <c r="AF297" s="39" t="n">
        <f aca="false">MAX(0,'Start Here'!$C$5-SUM($L297:$U297))</f>
        <v>1200</v>
      </c>
      <c r="AG297" s="39" t="n">
        <f aca="false">SUM(V297:AE297)</f>
        <v>0</v>
      </c>
      <c r="AH297" s="39" t="n">
        <f aca="false">SUM(B297:K297)-AG296</f>
        <v>0</v>
      </c>
    </row>
    <row r="298" customFormat="false" ht="15" hidden="false" customHeight="false" outlineLevel="0" collapsed="false">
      <c r="A298" s="40" t="n">
        <f aca="false">DATE(YEAR('Start Here'!$C$6),MONTH('Start Here'!$C$6)+291,1)</f>
        <v>55154</v>
      </c>
      <c r="B298" s="39" t="n">
        <f aca="false">ROUND(V297*(1+N('My Debts'!$D$6)/12),2)</f>
        <v>0</v>
      </c>
      <c r="C298" s="39" t="n">
        <f aca="false">ROUND(W297*(1+N('My Debts'!$D$7)/12),2)</f>
        <v>0</v>
      </c>
      <c r="D298" s="39" t="n">
        <f aca="false">ROUND(X297*(1+N('My Debts'!$D$8)/12),2)</f>
        <v>0</v>
      </c>
      <c r="E298" s="39" t="n">
        <f aca="false">ROUND(Y297*(1+N('My Debts'!$D$9)/12),2)</f>
        <v>0</v>
      </c>
      <c r="F298" s="39" t="n">
        <f aca="false">ROUND(Z297*(1+N('My Debts'!$D$10)/12),2)</f>
        <v>0</v>
      </c>
      <c r="G298" s="39" t="n">
        <f aca="false">ROUND(AA297*(1+N('My Debts'!$D$11)/12),2)</f>
        <v>0</v>
      </c>
      <c r="H298" s="39" t="n">
        <f aca="false">ROUND(AB297*(1+N('My Debts'!$D$12)/12),2)</f>
        <v>0</v>
      </c>
      <c r="I298" s="39" t="n">
        <f aca="false">ROUND(AC297*(1+N('My Debts'!$D$13)/12),2)</f>
        <v>0</v>
      </c>
      <c r="J298" s="39" t="n">
        <f aca="false">ROUND(AD297*(1+N('My Debts'!$D$14)/12),2)</f>
        <v>0</v>
      </c>
      <c r="K298" s="39" t="n">
        <f aca="false">ROUND(AE297*(1+N('My Debts'!$D$15)/12),2)</f>
        <v>0</v>
      </c>
      <c r="L298" s="39" t="n">
        <f aca="false">MIN(N('My Debts'!$E$6),B298)</f>
        <v>0</v>
      </c>
      <c r="M298" s="39" t="n">
        <f aca="false">MIN(N('My Debts'!$E$7),C298)</f>
        <v>0</v>
      </c>
      <c r="N298" s="39" t="n">
        <f aca="false">MIN(N('My Debts'!$E$8),D298)</f>
        <v>0</v>
      </c>
      <c r="O298" s="39" t="n">
        <f aca="false">MIN(N('My Debts'!$E$9),E298)</f>
        <v>0</v>
      </c>
      <c r="P298" s="39" t="n">
        <f aca="false">MIN(N('My Debts'!$E$10),F298)</f>
        <v>0</v>
      </c>
      <c r="Q298" s="39" t="n">
        <f aca="false">MIN(N('My Debts'!$E$11),G298)</f>
        <v>0</v>
      </c>
      <c r="R298" s="39" t="n">
        <f aca="false">MIN(N('My Debts'!$E$12),H298)</f>
        <v>0</v>
      </c>
      <c r="S298" s="39" t="n">
        <f aca="false">MIN(N('My Debts'!$E$13),I298)</f>
        <v>0</v>
      </c>
      <c r="T298" s="39" t="n">
        <f aca="false">MIN(N('My Debts'!$E$14),J298)</f>
        <v>0</v>
      </c>
      <c r="U298" s="39" t="n">
        <f aca="false">MIN(N('My Debts'!$E$15),K298)</f>
        <v>0</v>
      </c>
      <c r="V298" s="39" t="n">
        <f aca="false">ROUND(B298-L298-MIN(B298-L298,MAX(0,$AF298-SUMPRODUCT(--($B$4:$K$4&lt;B$4),$B298:$K298-$L298:$U298))),2)</f>
        <v>0</v>
      </c>
      <c r="W298" s="39" t="n">
        <f aca="false">ROUND(C298-M298-MIN(C298-M298,MAX(0,$AF298-SUMPRODUCT(--($B$4:$K$4&lt;C$4),$B298:$K298-$L298:$U298))),2)</f>
        <v>0</v>
      </c>
      <c r="X298" s="39" t="n">
        <f aca="false">ROUND(D298-N298-MIN(D298-N298,MAX(0,$AF298-SUMPRODUCT(--($B$4:$K$4&lt;D$4),$B298:$K298-$L298:$U298))),2)</f>
        <v>0</v>
      </c>
      <c r="Y298" s="39" t="n">
        <f aca="false">ROUND(E298-O298-MIN(E298-O298,MAX(0,$AF298-SUMPRODUCT(--($B$4:$K$4&lt;E$4),$B298:$K298-$L298:$U298))),2)</f>
        <v>0</v>
      </c>
      <c r="Z298" s="39" t="n">
        <f aca="false">ROUND(F298-P298-MIN(F298-P298,MAX(0,$AF298-SUMPRODUCT(--($B$4:$K$4&lt;F$4),$B298:$K298-$L298:$U298))),2)</f>
        <v>0</v>
      </c>
      <c r="AA298" s="39" t="n">
        <f aca="false">ROUND(G298-Q298-MIN(G298-Q298,MAX(0,$AF298-SUMPRODUCT(--($B$4:$K$4&lt;G$4),$B298:$K298-$L298:$U298))),2)</f>
        <v>0</v>
      </c>
      <c r="AB298" s="39" t="n">
        <f aca="false">ROUND(H298-R298-MIN(H298-R298,MAX(0,$AF298-SUMPRODUCT(--($B$4:$K$4&lt;H$4),$B298:$K298-$L298:$U298))),2)</f>
        <v>0</v>
      </c>
      <c r="AC298" s="39" t="n">
        <f aca="false">ROUND(I298-S298-MIN(I298-S298,MAX(0,$AF298-SUMPRODUCT(--($B$4:$K$4&lt;I$4),$B298:$K298-$L298:$U298))),2)</f>
        <v>0</v>
      </c>
      <c r="AD298" s="39" t="n">
        <f aca="false">ROUND(J298-T298-MIN(J298-T298,MAX(0,$AF298-SUMPRODUCT(--($B$4:$K$4&lt;J$4),$B298:$K298-$L298:$U298))),2)</f>
        <v>0</v>
      </c>
      <c r="AE298" s="39" t="n">
        <f aca="false">ROUND(K298-U298-MIN(K298-U298,MAX(0,$AF298-SUMPRODUCT(--($B$4:$K$4&lt;K$4),$B298:$K298-$L298:$U298))),2)</f>
        <v>0</v>
      </c>
      <c r="AF298" s="39" t="n">
        <f aca="false">MAX(0,'Start Here'!$C$5-SUM($L298:$U298))</f>
        <v>1200</v>
      </c>
      <c r="AG298" s="39" t="n">
        <f aca="false">SUM(V298:AE298)</f>
        <v>0</v>
      </c>
      <c r="AH298" s="39" t="n">
        <f aca="false">SUM(B298:K298)-AG297</f>
        <v>0</v>
      </c>
    </row>
    <row r="299" customFormat="false" ht="15" hidden="false" customHeight="false" outlineLevel="0" collapsed="false">
      <c r="A299" s="40" t="n">
        <f aca="false">DATE(YEAR('Start Here'!$C$6),MONTH('Start Here'!$C$6)+292,1)</f>
        <v>55185</v>
      </c>
      <c r="B299" s="39" t="n">
        <f aca="false">ROUND(V298*(1+N('My Debts'!$D$6)/12),2)</f>
        <v>0</v>
      </c>
      <c r="C299" s="39" t="n">
        <f aca="false">ROUND(W298*(1+N('My Debts'!$D$7)/12),2)</f>
        <v>0</v>
      </c>
      <c r="D299" s="39" t="n">
        <f aca="false">ROUND(X298*(1+N('My Debts'!$D$8)/12),2)</f>
        <v>0</v>
      </c>
      <c r="E299" s="39" t="n">
        <f aca="false">ROUND(Y298*(1+N('My Debts'!$D$9)/12),2)</f>
        <v>0</v>
      </c>
      <c r="F299" s="39" t="n">
        <f aca="false">ROUND(Z298*(1+N('My Debts'!$D$10)/12),2)</f>
        <v>0</v>
      </c>
      <c r="G299" s="39" t="n">
        <f aca="false">ROUND(AA298*(1+N('My Debts'!$D$11)/12),2)</f>
        <v>0</v>
      </c>
      <c r="H299" s="39" t="n">
        <f aca="false">ROUND(AB298*(1+N('My Debts'!$D$12)/12),2)</f>
        <v>0</v>
      </c>
      <c r="I299" s="39" t="n">
        <f aca="false">ROUND(AC298*(1+N('My Debts'!$D$13)/12),2)</f>
        <v>0</v>
      </c>
      <c r="J299" s="39" t="n">
        <f aca="false">ROUND(AD298*(1+N('My Debts'!$D$14)/12),2)</f>
        <v>0</v>
      </c>
      <c r="K299" s="39" t="n">
        <f aca="false">ROUND(AE298*(1+N('My Debts'!$D$15)/12),2)</f>
        <v>0</v>
      </c>
      <c r="L299" s="39" t="n">
        <f aca="false">MIN(N('My Debts'!$E$6),B299)</f>
        <v>0</v>
      </c>
      <c r="M299" s="39" t="n">
        <f aca="false">MIN(N('My Debts'!$E$7),C299)</f>
        <v>0</v>
      </c>
      <c r="N299" s="39" t="n">
        <f aca="false">MIN(N('My Debts'!$E$8),D299)</f>
        <v>0</v>
      </c>
      <c r="O299" s="39" t="n">
        <f aca="false">MIN(N('My Debts'!$E$9),E299)</f>
        <v>0</v>
      </c>
      <c r="P299" s="39" t="n">
        <f aca="false">MIN(N('My Debts'!$E$10),F299)</f>
        <v>0</v>
      </c>
      <c r="Q299" s="39" t="n">
        <f aca="false">MIN(N('My Debts'!$E$11),G299)</f>
        <v>0</v>
      </c>
      <c r="R299" s="39" t="n">
        <f aca="false">MIN(N('My Debts'!$E$12),H299)</f>
        <v>0</v>
      </c>
      <c r="S299" s="39" t="n">
        <f aca="false">MIN(N('My Debts'!$E$13),I299)</f>
        <v>0</v>
      </c>
      <c r="T299" s="39" t="n">
        <f aca="false">MIN(N('My Debts'!$E$14),J299)</f>
        <v>0</v>
      </c>
      <c r="U299" s="39" t="n">
        <f aca="false">MIN(N('My Debts'!$E$15),K299)</f>
        <v>0</v>
      </c>
      <c r="V299" s="39" t="n">
        <f aca="false">ROUND(B299-L299-MIN(B299-L299,MAX(0,$AF299-SUMPRODUCT(--($B$4:$K$4&lt;B$4),$B299:$K299-$L299:$U299))),2)</f>
        <v>0</v>
      </c>
      <c r="W299" s="39" t="n">
        <f aca="false">ROUND(C299-M299-MIN(C299-M299,MAX(0,$AF299-SUMPRODUCT(--($B$4:$K$4&lt;C$4),$B299:$K299-$L299:$U299))),2)</f>
        <v>0</v>
      </c>
      <c r="X299" s="39" t="n">
        <f aca="false">ROUND(D299-N299-MIN(D299-N299,MAX(0,$AF299-SUMPRODUCT(--($B$4:$K$4&lt;D$4),$B299:$K299-$L299:$U299))),2)</f>
        <v>0</v>
      </c>
      <c r="Y299" s="39" t="n">
        <f aca="false">ROUND(E299-O299-MIN(E299-O299,MAX(0,$AF299-SUMPRODUCT(--($B$4:$K$4&lt;E$4),$B299:$K299-$L299:$U299))),2)</f>
        <v>0</v>
      </c>
      <c r="Z299" s="39" t="n">
        <f aca="false">ROUND(F299-P299-MIN(F299-P299,MAX(0,$AF299-SUMPRODUCT(--($B$4:$K$4&lt;F$4),$B299:$K299-$L299:$U299))),2)</f>
        <v>0</v>
      </c>
      <c r="AA299" s="39" t="n">
        <f aca="false">ROUND(G299-Q299-MIN(G299-Q299,MAX(0,$AF299-SUMPRODUCT(--($B$4:$K$4&lt;G$4),$B299:$K299-$L299:$U299))),2)</f>
        <v>0</v>
      </c>
      <c r="AB299" s="39" t="n">
        <f aca="false">ROUND(H299-R299-MIN(H299-R299,MAX(0,$AF299-SUMPRODUCT(--($B$4:$K$4&lt;H$4),$B299:$K299-$L299:$U299))),2)</f>
        <v>0</v>
      </c>
      <c r="AC299" s="39" t="n">
        <f aca="false">ROUND(I299-S299-MIN(I299-S299,MAX(0,$AF299-SUMPRODUCT(--($B$4:$K$4&lt;I$4),$B299:$K299-$L299:$U299))),2)</f>
        <v>0</v>
      </c>
      <c r="AD299" s="39" t="n">
        <f aca="false">ROUND(J299-T299-MIN(J299-T299,MAX(0,$AF299-SUMPRODUCT(--($B$4:$K$4&lt;J$4),$B299:$K299-$L299:$U299))),2)</f>
        <v>0</v>
      </c>
      <c r="AE299" s="39" t="n">
        <f aca="false">ROUND(K299-U299-MIN(K299-U299,MAX(0,$AF299-SUMPRODUCT(--($B$4:$K$4&lt;K$4),$B299:$K299-$L299:$U299))),2)</f>
        <v>0</v>
      </c>
      <c r="AF299" s="39" t="n">
        <f aca="false">MAX(0,'Start Here'!$C$5-SUM($L299:$U299))</f>
        <v>1200</v>
      </c>
      <c r="AG299" s="39" t="n">
        <f aca="false">SUM(V299:AE299)</f>
        <v>0</v>
      </c>
      <c r="AH299" s="39" t="n">
        <f aca="false">SUM(B299:K299)-AG298</f>
        <v>0</v>
      </c>
    </row>
    <row r="300" customFormat="false" ht="15" hidden="false" customHeight="false" outlineLevel="0" collapsed="false">
      <c r="A300" s="40" t="n">
        <f aca="false">DATE(YEAR('Start Here'!$C$6),MONTH('Start Here'!$C$6)+293,1)</f>
        <v>55213</v>
      </c>
      <c r="B300" s="39" t="n">
        <f aca="false">ROUND(V299*(1+N('My Debts'!$D$6)/12),2)</f>
        <v>0</v>
      </c>
      <c r="C300" s="39" t="n">
        <f aca="false">ROUND(W299*(1+N('My Debts'!$D$7)/12),2)</f>
        <v>0</v>
      </c>
      <c r="D300" s="39" t="n">
        <f aca="false">ROUND(X299*(1+N('My Debts'!$D$8)/12),2)</f>
        <v>0</v>
      </c>
      <c r="E300" s="39" t="n">
        <f aca="false">ROUND(Y299*(1+N('My Debts'!$D$9)/12),2)</f>
        <v>0</v>
      </c>
      <c r="F300" s="39" t="n">
        <f aca="false">ROUND(Z299*(1+N('My Debts'!$D$10)/12),2)</f>
        <v>0</v>
      </c>
      <c r="G300" s="39" t="n">
        <f aca="false">ROUND(AA299*(1+N('My Debts'!$D$11)/12),2)</f>
        <v>0</v>
      </c>
      <c r="H300" s="39" t="n">
        <f aca="false">ROUND(AB299*(1+N('My Debts'!$D$12)/12),2)</f>
        <v>0</v>
      </c>
      <c r="I300" s="39" t="n">
        <f aca="false">ROUND(AC299*(1+N('My Debts'!$D$13)/12),2)</f>
        <v>0</v>
      </c>
      <c r="J300" s="39" t="n">
        <f aca="false">ROUND(AD299*(1+N('My Debts'!$D$14)/12),2)</f>
        <v>0</v>
      </c>
      <c r="K300" s="39" t="n">
        <f aca="false">ROUND(AE299*(1+N('My Debts'!$D$15)/12),2)</f>
        <v>0</v>
      </c>
      <c r="L300" s="39" t="n">
        <f aca="false">MIN(N('My Debts'!$E$6),B300)</f>
        <v>0</v>
      </c>
      <c r="M300" s="39" t="n">
        <f aca="false">MIN(N('My Debts'!$E$7),C300)</f>
        <v>0</v>
      </c>
      <c r="N300" s="39" t="n">
        <f aca="false">MIN(N('My Debts'!$E$8),D300)</f>
        <v>0</v>
      </c>
      <c r="O300" s="39" t="n">
        <f aca="false">MIN(N('My Debts'!$E$9),E300)</f>
        <v>0</v>
      </c>
      <c r="P300" s="39" t="n">
        <f aca="false">MIN(N('My Debts'!$E$10),F300)</f>
        <v>0</v>
      </c>
      <c r="Q300" s="39" t="n">
        <f aca="false">MIN(N('My Debts'!$E$11),G300)</f>
        <v>0</v>
      </c>
      <c r="R300" s="39" t="n">
        <f aca="false">MIN(N('My Debts'!$E$12),H300)</f>
        <v>0</v>
      </c>
      <c r="S300" s="39" t="n">
        <f aca="false">MIN(N('My Debts'!$E$13),I300)</f>
        <v>0</v>
      </c>
      <c r="T300" s="39" t="n">
        <f aca="false">MIN(N('My Debts'!$E$14),J300)</f>
        <v>0</v>
      </c>
      <c r="U300" s="39" t="n">
        <f aca="false">MIN(N('My Debts'!$E$15),K300)</f>
        <v>0</v>
      </c>
      <c r="V300" s="39" t="n">
        <f aca="false">ROUND(B300-L300-MIN(B300-L300,MAX(0,$AF300-SUMPRODUCT(--($B$4:$K$4&lt;B$4),$B300:$K300-$L300:$U300))),2)</f>
        <v>0</v>
      </c>
      <c r="W300" s="39" t="n">
        <f aca="false">ROUND(C300-M300-MIN(C300-M300,MAX(0,$AF300-SUMPRODUCT(--($B$4:$K$4&lt;C$4),$B300:$K300-$L300:$U300))),2)</f>
        <v>0</v>
      </c>
      <c r="X300" s="39" t="n">
        <f aca="false">ROUND(D300-N300-MIN(D300-N300,MAX(0,$AF300-SUMPRODUCT(--($B$4:$K$4&lt;D$4),$B300:$K300-$L300:$U300))),2)</f>
        <v>0</v>
      </c>
      <c r="Y300" s="39" t="n">
        <f aca="false">ROUND(E300-O300-MIN(E300-O300,MAX(0,$AF300-SUMPRODUCT(--($B$4:$K$4&lt;E$4),$B300:$K300-$L300:$U300))),2)</f>
        <v>0</v>
      </c>
      <c r="Z300" s="39" t="n">
        <f aca="false">ROUND(F300-P300-MIN(F300-P300,MAX(0,$AF300-SUMPRODUCT(--($B$4:$K$4&lt;F$4),$B300:$K300-$L300:$U300))),2)</f>
        <v>0</v>
      </c>
      <c r="AA300" s="39" t="n">
        <f aca="false">ROUND(G300-Q300-MIN(G300-Q300,MAX(0,$AF300-SUMPRODUCT(--($B$4:$K$4&lt;G$4),$B300:$K300-$L300:$U300))),2)</f>
        <v>0</v>
      </c>
      <c r="AB300" s="39" t="n">
        <f aca="false">ROUND(H300-R300-MIN(H300-R300,MAX(0,$AF300-SUMPRODUCT(--($B$4:$K$4&lt;H$4),$B300:$K300-$L300:$U300))),2)</f>
        <v>0</v>
      </c>
      <c r="AC300" s="39" t="n">
        <f aca="false">ROUND(I300-S300-MIN(I300-S300,MAX(0,$AF300-SUMPRODUCT(--($B$4:$K$4&lt;I$4),$B300:$K300-$L300:$U300))),2)</f>
        <v>0</v>
      </c>
      <c r="AD300" s="39" t="n">
        <f aca="false">ROUND(J300-T300-MIN(J300-T300,MAX(0,$AF300-SUMPRODUCT(--($B$4:$K$4&lt;J$4),$B300:$K300-$L300:$U300))),2)</f>
        <v>0</v>
      </c>
      <c r="AE300" s="39" t="n">
        <f aca="false">ROUND(K300-U300-MIN(K300-U300,MAX(0,$AF300-SUMPRODUCT(--($B$4:$K$4&lt;K$4),$B300:$K300-$L300:$U300))),2)</f>
        <v>0</v>
      </c>
      <c r="AF300" s="39" t="n">
        <f aca="false">MAX(0,'Start Here'!$C$5-SUM($L300:$U300))</f>
        <v>1200</v>
      </c>
      <c r="AG300" s="39" t="n">
        <f aca="false">SUM(V300:AE300)</f>
        <v>0</v>
      </c>
      <c r="AH300" s="39" t="n">
        <f aca="false">SUM(B300:K300)-AG299</f>
        <v>0</v>
      </c>
    </row>
    <row r="301" customFormat="false" ht="15" hidden="false" customHeight="false" outlineLevel="0" collapsed="false">
      <c r="A301" s="40" t="n">
        <f aca="false">DATE(YEAR('Start Here'!$C$6),MONTH('Start Here'!$C$6)+294,1)</f>
        <v>55244</v>
      </c>
      <c r="B301" s="39" t="n">
        <f aca="false">ROUND(V300*(1+N('My Debts'!$D$6)/12),2)</f>
        <v>0</v>
      </c>
      <c r="C301" s="39" t="n">
        <f aca="false">ROUND(W300*(1+N('My Debts'!$D$7)/12),2)</f>
        <v>0</v>
      </c>
      <c r="D301" s="39" t="n">
        <f aca="false">ROUND(X300*(1+N('My Debts'!$D$8)/12),2)</f>
        <v>0</v>
      </c>
      <c r="E301" s="39" t="n">
        <f aca="false">ROUND(Y300*(1+N('My Debts'!$D$9)/12),2)</f>
        <v>0</v>
      </c>
      <c r="F301" s="39" t="n">
        <f aca="false">ROUND(Z300*(1+N('My Debts'!$D$10)/12),2)</f>
        <v>0</v>
      </c>
      <c r="G301" s="39" t="n">
        <f aca="false">ROUND(AA300*(1+N('My Debts'!$D$11)/12),2)</f>
        <v>0</v>
      </c>
      <c r="H301" s="39" t="n">
        <f aca="false">ROUND(AB300*(1+N('My Debts'!$D$12)/12),2)</f>
        <v>0</v>
      </c>
      <c r="I301" s="39" t="n">
        <f aca="false">ROUND(AC300*(1+N('My Debts'!$D$13)/12),2)</f>
        <v>0</v>
      </c>
      <c r="J301" s="39" t="n">
        <f aca="false">ROUND(AD300*(1+N('My Debts'!$D$14)/12),2)</f>
        <v>0</v>
      </c>
      <c r="K301" s="39" t="n">
        <f aca="false">ROUND(AE300*(1+N('My Debts'!$D$15)/12),2)</f>
        <v>0</v>
      </c>
      <c r="L301" s="39" t="n">
        <f aca="false">MIN(N('My Debts'!$E$6),B301)</f>
        <v>0</v>
      </c>
      <c r="M301" s="39" t="n">
        <f aca="false">MIN(N('My Debts'!$E$7),C301)</f>
        <v>0</v>
      </c>
      <c r="N301" s="39" t="n">
        <f aca="false">MIN(N('My Debts'!$E$8),D301)</f>
        <v>0</v>
      </c>
      <c r="O301" s="39" t="n">
        <f aca="false">MIN(N('My Debts'!$E$9),E301)</f>
        <v>0</v>
      </c>
      <c r="P301" s="39" t="n">
        <f aca="false">MIN(N('My Debts'!$E$10),F301)</f>
        <v>0</v>
      </c>
      <c r="Q301" s="39" t="n">
        <f aca="false">MIN(N('My Debts'!$E$11),G301)</f>
        <v>0</v>
      </c>
      <c r="R301" s="39" t="n">
        <f aca="false">MIN(N('My Debts'!$E$12),H301)</f>
        <v>0</v>
      </c>
      <c r="S301" s="39" t="n">
        <f aca="false">MIN(N('My Debts'!$E$13),I301)</f>
        <v>0</v>
      </c>
      <c r="T301" s="39" t="n">
        <f aca="false">MIN(N('My Debts'!$E$14),J301)</f>
        <v>0</v>
      </c>
      <c r="U301" s="39" t="n">
        <f aca="false">MIN(N('My Debts'!$E$15),K301)</f>
        <v>0</v>
      </c>
      <c r="V301" s="39" t="n">
        <f aca="false">ROUND(B301-L301-MIN(B301-L301,MAX(0,$AF301-SUMPRODUCT(--($B$4:$K$4&lt;B$4),$B301:$K301-$L301:$U301))),2)</f>
        <v>0</v>
      </c>
      <c r="W301" s="39" t="n">
        <f aca="false">ROUND(C301-M301-MIN(C301-M301,MAX(0,$AF301-SUMPRODUCT(--($B$4:$K$4&lt;C$4),$B301:$K301-$L301:$U301))),2)</f>
        <v>0</v>
      </c>
      <c r="X301" s="39" t="n">
        <f aca="false">ROUND(D301-N301-MIN(D301-N301,MAX(0,$AF301-SUMPRODUCT(--($B$4:$K$4&lt;D$4),$B301:$K301-$L301:$U301))),2)</f>
        <v>0</v>
      </c>
      <c r="Y301" s="39" t="n">
        <f aca="false">ROUND(E301-O301-MIN(E301-O301,MAX(0,$AF301-SUMPRODUCT(--($B$4:$K$4&lt;E$4),$B301:$K301-$L301:$U301))),2)</f>
        <v>0</v>
      </c>
      <c r="Z301" s="39" t="n">
        <f aca="false">ROUND(F301-P301-MIN(F301-P301,MAX(0,$AF301-SUMPRODUCT(--($B$4:$K$4&lt;F$4),$B301:$K301-$L301:$U301))),2)</f>
        <v>0</v>
      </c>
      <c r="AA301" s="39" t="n">
        <f aca="false">ROUND(G301-Q301-MIN(G301-Q301,MAX(0,$AF301-SUMPRODUCT(--($B$4:$K$4&lt;G$4),$B301:$K301-$L301:$U301))),2)</f>
        <v>0</v>
      </c>
      <c r="AB301" s="39" t="n">
        <f aca="false">ROUND(H301-R301-MIN(H301-R301,MAX(0,$AF301-SUMPRODUCT(--($B$4:$K$4&lt;H$4),$B301:$K301-$L301:$U301))),2)</f>
        <v>0</v>
      </c>
      <c r="AC301" s="39" t="n">
        <f aca="false">ROUND(I301-S301-MIN(I301-S301,MAX(0,$AF301-SUMPRODUCT(--($B$4:$K$4&lt;I$4),$B301:$K301-$L301:$U301))),2)</f>
        <v>0</v>
      </c>
      <c r="AD301" s="39" t="n">
        <f aca="false">ROUND(J301-T301-MIN(J301-T301,MAX(0,$AF301-SUMPRODUCT(--($B$4:$K$4&lt;J$4),$B301:$K301-$L301:$U301))),2)</f>
        <v>0</v>
      </c>
      <c r="AE301" s="39" t="n">
        <f aca="false">ROUND(K301-U301-MIN(K301-U301,MAX(0,$AF301-SUMPRODUCT(--($B$4:$K$4&lt;K$4),$B301:$K301-$L301:$U301))),2)</f>
        <v>0</v>
      </c>
      <c r="AF301" s="39" t="n">
        <f aca="false">MAX(0,'Start Here'!$C$5-SUM($L301:$U301))</f>
        <v>1200</v>
      </c>
      <c r="AG301" s="39" t="n">
        <f aca="false">SUM(V301:AE301)</f>
        <v>0</v>
      </c>
      <c r="AH301" s="39" t="n">
        <f aca="false">SUM(B301:K301)-AG300</f>
        <v>0</v>
      </c>
    </row>
    <row r="302" customFormat="false" ht="15" hidden="false" customHeight="false" outlineLevel="0" collapsed="false">
      <c r="A302" s="40" t="n">
        <f aca="false">DATE(YEAR('Start Here'!$C$6),MONTH('Start Here'!$C$6)+295,1)</f>
        <v>55274</v>
      </c>
      <c r="B302" s="39" t="n">
        <f aca="false">ROUND(V301*(1+N('My Debts'!$D$6)/12),2)</f>
        <v>0</v>
      </c>
      <c r="C302" s="39" t="n">
        <f aca="false">ROUND(W301*(1+N('My Debts'!$D$7)/12),2)</f>
        <v>0</v>
      </c>
      <c r="D302" s="39" t="n">
        <f aca="false">ROUND(X301*(1+N('My Debts'!$D$8)/12),2)</f>
        <v>0</v>
      </c>
      <c r="E302" s="39" t="n">
        <f aca="false">ROUND(Y301*(1+N('My Debts'!$D$9)/12),2)</f>
        <v>0</v>
      </c>
      <c r="F302" s="39" t="n">
        <f aca="false">ROUND(Z301*(1+N('My Debts'!$D$10)/12),2)</f>
        <v>0</v>
      </c>
      <c r="G302" s="39" t="n">
        <f aca="false">ROUND(AA301*(1+N('My Debts'!$D$11)/12),2)</f>
        <v>0</v>
      </c>
      <c r="H302" s="39" t="n">
        <f aca="false">ROUND(AB301*(1+N('My Debts'!$D$12)/12),2)</f>
        <v>0</v>
      </c>
      <c r="I302" s="39" t="n">
        <f aca="false">ROUND(AC301*(1+N('My Debts'!$D$13)/12),2)</f>
        <v>0</v>
      </c>
      <c r="J302" s="39" t="n">
        <f aca="false">ROUND(AD301*(1+N('My Debts'!$D$14)/12),2)</f>
        <v>0</v>
      </c>
      <c r="K302" s="39" t="n">
        <f aca="false">ROUND(AE301*(1+N('My Debts'!$D$15)/12),2)</f>
        <v>0</v>
      </c>
      <c r="L302" s="39" t="n">
        <f aca="false">MIN(N('My Debts'!$E$6),B302)</f>
        <v>0</v>
      </c>
      <c r="M302" s="39" t="n">
        <f aca="false">MIN(N('My Debts'!$E$7),C302)</f>
        <v>0</v>
      </c>
      <c r="N302" s="39" t="n">
        <f aca="false">MIN(N('My Debts'!$E$8),D302)</f>
        <v>0</v>
      </c>
      <c r="O302" s="39" t="n">
        <f aca="false">MIN(N('My Debts'!$E$9),E302)</f>
        <v>0</v>
      </c>
      <c r="P302" s="39" t="n">
        <f aca="false">MIN(N('My Debts'!$E$10),F302)</f>
        <v>0</v>
      </c>
      <c r="Q302" s="39" t="n">
        <f aca="false">MIN(N('My Debts'!$E$11),G302)</f>
        <v>0</v>
      </c>
      <c r="R302" s="39" t="n">
        <f aca="false">MIN(N('My Debts'!$E$12),H302)</f>
        <v>0</v>
      </c>
      <c r="S302" s="39" t="n">
        <f aca="false">MIN(N('My Debts'!$E$13),I302)</f>
        <v>0</v>
      </c>
      <c r="T302" s="39" t="n">
        <f aca="false">MIN(N('My Debts'!$E$14),J302)</f>
        <v>0</v>
      </c>
      <c r="U302" s="39" t="n">
        <f aca="false">MIN(N('My Debts'!$E$15),K302)</f>
        <v>0</v>
      </c>
      <c r="V302" s="39" t="n">
        <f aca="false">ROUND(B302-L302-MIN(B302-L302,MAX(0,$AF302-SUMPRODUCT(--($B$4:$K$4&lt;B$4),$B302:$K302-$L302:$U302))),2)</f>
        <v>0</v>
      </c>
      <c r="W302" s="39" t="n">
        <f aca="false">ROUND(C302-M302-MIN(C302-M302,MAX(0,$AF302-SUMPRODUCT(--($B$4:$K$4&lt;C$4),$B302:$K302-$L302:$U302))),2)</f>
        <v>0</v>
      </c>
      <c r="X302" s="39" t="n">
        <f aca="false">ROUND(D302-N302-MIN(D302-N302,MAX(0,$AF302-SUMPRODUCT(--($B$4:$K$4&lt;D$4),$B302:$K302-$L302:$U302))),2)</f>
        <v>0</v>
      </c>
      <c r="Y302" s="39" t="n">
        <f aca="false">ROUND(E302-O302-MIN(E302-O302,MAX(0,$AF302-SUMPRODUCT(--($B$4:$K$4&lt;E$4),$B302:$K302-$L302:$U302))),2)</f>
        <v>0</v>
      </c>
      <c r="Z302" s="39" t="n">
        <f aca="false">ROUND(F302-P302-MIN(F302-P302,MAX(0,$AF302-SUMPRODUCT(--($B$4:$K$4&lt;F$4),$B302:$K302-$L302:$U302))),2)</f>
        <v>0</v>
      </c>
      <c r="AA302" s="39" t="n">
        <f aca="false">ROUND(G302-Q302-MIN(G302-Q302,MAX(0,$AF302-SUMPRODUCT(--($B$4:$K$4&lt;G$4),$B302:$K302-$L302:$U302))),2)</f>
        <v>0</v>
      </c>
      <c r="AB302" s="39" t="n">
        <f aca="false">ROUND(H302-R302-MIN(H302-R302,MAX(0,$AF302-SUMPRODUCT(--($B$4:$K$4&lt;H$4),$B302:$K302-$L302:$U302))),2)</f>
        <v>0</v>
      </c>
      <c r="AC302" s="39" t="n">
        <f aca="false">ROUND(I302-S302-MIN(I302-S302,MAX(0,$AF302-SUMPRODUCT(--($B$4:$K$4&lt;I$4),$B302:$K302-$L302:$U302))),2)</f>
        <v>0</v>
      </c>
      <c r="AD302" s="39" t="n">
        <f aca="false">ROUND(J302-T302-MIN(J302-T302,MAX(0,$AF302-SUMPRODUCT(--($B$4:$K$4&lt;J$4),$B302:$K302-$L302:$U302))),2)</f>
        <v>0</v>
      </c>
      <c r="AE302" s="39" t="n">
        <f aca="false">ROUND(K302-U302-MIN(K302-U302,MAX(0,$AF302-SUMPRODUCT(--($B$4:$K$4&lt;K$4),$B302:$K302-$L302:$U302))),2)</f>
        <v>0</v>
      </c>
      <c r="AF302" s="39" t="n">
        <f aca="false">MAX(0,'Start Here'!$C$5-SUM($L302:$U302))</f>
        <v>1200</v>
      </c>
      <c r="AG302" s="39" t="n">
        <f aca="false">SUM(V302:AE302)</f>
        <v>0</v>
      </c>
      <c r="AH302" s="39" t="n">
        <f aca="false">SUM(B302:K302)-AG301</f>
        <v>0</v>
      </c>
    </row>
    <row r="303" customFormat="false" ht="15" hidden="false" customHeight="false" outlineLevel="0" collapsed="false">
      <c r="A303" s="40" t="n">
        <f aca="false">DATE(YEAR('Start Here'!$C$6),MONTH('Start Here'!$C$6)+296,1)</f>
        <v>55305</v>
      </c>
      <c r="B303" s="39" t="n">
        <f aca="false">ROUND(V302*(1+N('My Debts'!$D$6)/12),2)</f>
        <v>0</v>
      </c>
      <c r="C303" s="39" t="n">
        <f aca="false">ROUND(W302*(1+N('My Debts'!$D$7)/12),2)</f>
        <v>0</v>
      </c>
      <c r="D303" s="39" t="n">
        <f aca="false">ROUND(X302*(1+N('My Debts'!$D$8)/12),2)</f>
        <v>0</v>
      </c>
      <c r="E303" s="39" t="n">
        <f aca="false">ROUND(Y302*(1+N('My Debts'!$D$9)/12),2)</f>
        <v>0</v>
      </c>
      <c r="F303" s="39" t="n">
        <f aca="false">ROUND(Z302*(1+N('My Debts'!$D$10)/12),2)</f>
        <v>0</v>
      </c>
      <c r="G303" s="39" t="n">
        <f aca="false">ROUND(AA302*(1+N('My Debts'!$D$11)/12),2)</f>
        <v>0</v>
      </c>
      <c r="H303" s="39" t="n">
        <f aca="false">ROUND(AB302*(1+N('My Debts'!$D$12)/12),2)</f>
        <v>0</v>
      </c>
      <c r="I303" s="39" t="n">
        <f aca="false">ROUND(AC302*(1+N('My Debts'!$D$13)/12),2)</f>
        <v>0</v>
      </c>
      <c r="J303" s="39" t="n">
        <f aca="false">ROUND(AD302*(1+N('My Debts'!$D$14)/12),2)</f>
        <v>0</v>
      </c>
      <c r="K303" s="39" t="n">
        <f aca="false">ROUND(AE302*(1+N('My Debts'!$D$15)/12),2)</f>
        <v>0</v>
      </c>
      <c r="L303" s="39" t="n">
        <f aca="false">MIN(N('My Debts'!$E$6),B303)</f>
        <v>0</v>
      </c>
      <c r="M303" s="39" t="n">
        <f aca="false">MIN(N('My Debts'!$E$7),C303)</f>
        <v>0</v>
      </c>
      <c r="N303" s="39" t="n">
        <f aca="false">MIN(N('My Debts'!$E$8),D303)</f>
        <v>0</v>
      </c>
      <c r="O303" s="39" t="n">
        <f aca="false">MIN(N('My Debts'!$E$9),E303)</f>
        <v>0</v>
      </c>
      <c r="P303" s="39" t="n">
        <f aca="false">MIN(N('My Debts'!$E$10),F303)</f>
        <v>0</v>
      </c>
      <c r="Q303" s="39" t="n">
        <f aca="false">MIN(N('My Debts'!$E$11),G303)</f>
        <v>0</v>
      </c>
      <c r="R303" s="39" t="n">
        <f aca="false">MIN(N('My Debts'!$E$12),H303)</f>
        <v>0</v>
      </c>
      <c r="S303" s="39" t="n">
        <f aca="false">MIN(N('My Debts'!$E$13),I303)</f>
        <v>0</v>
      </c>
      <c r="T303" s="39" t="n">
        <f aca="false">MIN(N('My Debts'!$E$14),J303)</f>
        <v>0</v>
      </c>
      <c r="U303" s="39" t="n">
        <f aca="false">MIN(N('My Debts'!$E$15),K303)</f>
        <v>0</v>
      </c>
      <c r="V303" s="39" t="n">
        <f aca="false">ROUND(B303-L303-MIN(B303-L303,MAX(0,$AF303-SUMPRODUCT(--($B$4:$K$4&lt;B$4),$B303:$K303-$L303:$U303))),2)</f>
        <v>0</v>
      </c>
      <c r="W303" s="39" t="n">
        <f aca="false">ROUND(C303-M303-MIN(C303-M303,MAX(0,$AF303-SUMPRODUCT(--($B$4:$K$4&lt;C$4),$B303:$K303-$L303:$U303))),2)</f>
        <v>0</v>
      </c>
      <c r="X303" s="39" t="n">
        <f aca="false">ROUND(D303-N303-MIN(D303-N303,MAX(0,$AF303-SUMPRODUCT(--($B$4:$K$4&lt;D$4),$B303:$K303-$L303:$U303))),2)</f>
        <v>0</v>
      </c>
      <c r="Y303" s="39" t="n">
        <f aca="false">ROUND(E303-O303-MIN(E303-O303,MAX(0,$AF303-SUMPRODUCT(--($B$4:$K$4&lt;E$4),$B303:$K303-$L303:$U303))),2)</f>
        <v>0</v>
      </c>
      <c r="Z303" s="39" t="n">
        <f aca="false">ROUND(F303-P303-MIN(F303-P303,MAX(0,$AF303-SUMPRODUCT(--($B$4:$K$4&lt;F$4),$B303:$K303-$L303:$U303))),2)</f>
        <v>0</v>
      </c>
      <c r="AA303" s="39" t="n">
        <f aca="false">ROUND(G303-Q303-MIN(G303-Q303,MAX(0,$AF303-SUMPRODUCT(--($B$4:$K$4&lt;G$4),$B303:$K303-$L303:$U303))),2)</f>
        <v>0</v>
      </c>
      <c r="AB303" s="39" t="n">
        <f aca="false">ROUND(H303-R303-MIN(H303-R303,MAX(0,$AF303-SUMPRODUCT(--($B$4:$K$4&lt;H$4),$B303:$K303-$L303:$U303))),2)</f>
        <v>0</v>
      </c>
      <c r="AC303" s="39" t="n">
        <f aca="false">ROUND(I303-S303-MIN(I303-S303,MAX(0,$AF303-SUMPRODUCT(--($B$4:$K$4&lt;I$4),$B303:$K303-$L303:$U303))),2)</f>
        <v>0</v>
      </c>
      <c r="AD303" s="39" t="n">
        <f aca="false">ROUND(J303-T303-MIN(J303-T303,MAX(0,$AF303-SUMPRODUCT(--($B$4:$K$4&lt;J$4),$B303:$K303-$L303:$U303))),2)</f>
        <v>0</v>
      </c>
      <c r="AE303" s="39" t="n">
        <f aca="false">ROUND(K303-U303-MIN(K303-U303,MAX(0,$AF303-SUMPRODUCT(--($B$4:$K$4&lt;K$4),$B303:$K303-$L303:$U303))),2)</f>
        <v>0</v>
      </c>
      <c r="AF303" s="39" t="n">
        <f aca="false">MAX(0,'Start Here'!$C$5-SUM($L303:$U303))</f>
        <v>1200</v>
      </c>
      <c r="AG303" s="39" t="n">
        <f aca="false">SUM(V303:AE303)</f>
        <v>0</v>
      </c>
      <c r="AH303" s="39" t="n">
        <f aca="false">SUM(B303:K303)-AG302</f>
        <v>0</v>
      </c>
    </row>
    <row r="304" customFormat="false" ht="15" hidden="false" customHeight="false" outlineLevel="0" collapsed="false">
      <c r="A304" s="40" t="n">
        <f aca="false">DATE(YEAR('Start Here'!$C$6),MONTH('Start Here'!$C$6)+297,1)</f>
        <v>55335</v>
      </c>
      <c r="B304" s="39" t="n">
        <f aca="false">ROUND(V303*(1+N('My Debts'!$D$6)/12),2)</f>
        <v>0</v>
      </c>
      <c r="C304" s="39" t="n">
        <f aca="false">ROUND(W303*(1+N('My Debts'!$D$7)/12),2)</f>
        <v>0</v>
      </c>
      <c r="D304" s="39" t="n">
        <f aca="false">ROUND(X303*(1+N('My Debts'!$D$8)/12),2)</f>
        <v>0</v>
      </c>
      <c r="E304" s="39" t="n">
        <f aca="false">ROUND(Y303*(1+N('My Debts'!$D$9)/12),2)</f>
        <v>0</v>
      </c>
      <c r="F304" s="39" t="n">
        <f aca="false">ROUND(Z303*(1+N('My Debts'!$D$10)/12),2)</f>
        <v>0</v>
      </c>
      <c r="G304" s="39" t="n">
        <f aca="false">ROUND(AA303*(1+N('My Debts'!$D$11)/12),2)</f>
        <v>0</v>
      </c>
      <c r="H304" s="39" t="n">
        <f aca="false">ROUND(AB303*(1+N('My Debts'!$D$12)/12),2)</f>
        <v>0</v>
      </c>
      <c r="I304" s="39" t="n">
        <f aca="false">ROUND(AC303*(1+N('My Debts'!$D$13)/12),2)</f>
        <v>0</v>
      </c>
      <c r="J304" s="39" t="n">
        <f aca="false">ROUND(AD303*(1+N('My Debts'!$D$14)/12),2)</f>
        <v>0</v>
      </c>
      <c r="K304" s="39" t="n">
        <f aca="false">ROUND(AE303*(1+N('My Debts'!$D$15)/12),2)</f>
        <v>0</v>
      </c>
      <c r="L304" s="39" t="n">
        <f aca="false">MIN(N('My Debts'!$E$6),B304)</f>
        <v>0</v>
      </c>
      <c r="M304" s="39" t="n">
        <f aca="false">MIN(N('My Debts'!$E$7),C304)</f>
        <v>0</v>
      </c>
      <c r="N304" s="39" t="n">
        <f aca="false">MIN(N('My Debts'!$E$8),D304)</f>
        <v>0</v>
      </c>
      <c r="O304" s="39" t="n">
        <f aca="false">MIN(N('My Debts'!$E$9),E304)</f>
        <v>0</v>
      </c>
      <c r="P304" s="39" t="n">
        <f aca="false">MIN(N('My Debts'!$E$10),F304)</f>
        <v>0</v>
      </c>
      <c r="Q304" s="39" t="n">
        <f aca="false">MIN(N('My Debts'!$E$11),G304)</f>
        <v>0</v>
      </c>
      <c r="R304" s="39" t="n">
        <f aca="false">MIN(N('My Debts'!$E$12),H304)</f>
        <v>0</v>
      </c>
      <c r="S304" s="39" t="n">
        <f aca="false">MIN(N('My Debts'!$E$13),I304)</f>
        <v>0</v>
      </c>
      <c r="T304" s="39" t="n">
        <f aca="false">MIN(N('My Debts'!$E$14),J304)</f>
        <v>0</v>
      </c>
      <c r="U304" s="39" t="n">
        <f aca="false">MIN(N('My Debts'!$E$15),K304)</f>
        <v>0</v>
      </c>
      <c r="V304" s="39" t="n">
        <f aca="false">ROUND(B304-L304-MIN(B304-L304,MAX(0,$AF304-SUMPRODUCT(--($B$4:$K$4&lt;B$4),$B304:$K304-$L304:$U304))),2)</f>
        <v>0</v>
      </c>
      <c r="W304" s="39" t="n">
        <f aca="false">ROUND(C304-M304-MIN(C304-M304,MAX(0,$AF304-SUMPRODUCT(--($B$4:$K$4&lt;C$4),$B304:$K304-$L304:$U304))),2)</f>
        <v>0</v>
      </c>
      <c r="X304" s="39" t="n">
        <f aca="false">ROUND(D304-N304-MIN(D304-N304,MAX(0,$AF304-SUMPRODUCT(--($B$4:$K$4&lt;D$4),$B304:$K304-$L304:$U304))),2)</f>
        <v>0</v>
      </c>
      <c r="Y304" s="39" t="n">
        <f aca="false">ROUND(E304-O304-MIN(E304-O304,MAX(0,$AF304-SUMPRODUCT(--($B$4:$K$4&lt;E$4),$B304:$K304-$L304:$U304))),2)</f>
        <v>0</v>
      </c>
      <c r="Z304" s="39" t="n">
        <f aca="false">ROUND(F304-P304-MIN(F304-P304,MAX(0,$AF304-SUMPRODUCT(--($B$4:$K$4&lt;F$4),$B304:$K304-$L304:$U304))),2)</f>
        <v>0</v>
      </c>
      <c r="AA304" s="39" t="n">
        <f aca="false">ROUND(G304-Q304-MIN(G304-Q304,MAX(0,$AF304-SUMPRODUCT(--($B$4:$K$4&lt;G$4),$B304:$K304-$L304:$U304))),2)</f>
        <v>0</v>
      </c>
      <c r="AB304" s="39" t="n">
        <f aca="false">ROUND(H304-R304-MIN(H304-R304,MAX(0,$AF304-SUMPRODUCT(--($B$4:$K$4&lt;H$4),$B304:$K304-$L304:$U304))),2)</f>
        <v>0</v>
      </c>
      <c r="AC304" s="39" t="n">
        <f aca="false">ROUND(I304-S304-MIN(I304-S304,MAX(0,$AF304-SUMPRODUCT(--($B$4:$K$4&lt;I$4),$B304:$K304-$L304:$U304))),2)</f>
        <v>0</v>
      </c>
      <c r="AD304" s="39" t="n">
        <f aca="false">ROUND(J304-T304-MIN(J304-T304,MAX(0,$AF304-SUMPRODUCT(--($B$4:$K$4&lt;J$4),$B304:$K304-$L304:$U304))),2)</f>
        <v>0</v>
      </c>
      <c r="AE304" s="39" t="n">
        <f aca="false">ROUND(K304-U304-MIN(K304-U304,MAX(0,$AF304-SUMPRODUCT(--($B$4:$K$4&lt;K$4),$B304:$K304-$L304:$U304))),2)</f>
        <v>0</v>
      </c>
      <c r="AF304" s="39" t="n">
        <f aca="false">MAX(0,'Start Here'!$C$5-SUM($L304:$U304))</f>
        <v>1200</v>
      </c>
      <c r="AG304" s="39" t="n">
        <f aca="false">SUM(V304:AE304)</f>
        <v>0</v>
      </c>
      <c r="AH304" s="39" t="n">
        <f aca="false">SUM(B304:K304)-AG303</f>
        <v>0</v>
      </c>
    </row>
    <row r="305" customFormat="false" ht="15" hidden="false" customHeight="false" outlineLevel="0" collapsed="false">
      <c r="A305" s="40" t="n">
        <f aca="false">DATE(YEAR('Start Here'!$C$6),MONTH('Start Here'!$C$6)+298,1)</f>
        <v>55366</v>
      </c>
      <c r="B305" s="39" t="n">
        <f aca="false">ROUND(V304*(1+N('My Debts'!$D$6)/12),2)</f>
        <v>0</v>
      </c>
      <c r="C305" s="39" t="n">
        <f aca="false">ROUND(W304*(1+N('My Debts'!$D$7)/12),2)</f>
        <v>0</v>
      </c>
      <c r="D305" s="39" t="n">
        <f aca="false">ROUND(X304*(1+N('My Debts'!$D$8)/12),2)</f>
        <v>0</v>
      </c>
      <c r="E305" s="39" t="n">
        <f aca="false">ROUND(Y304*(1+N('My Debts'!$D$9)/12),2)</f>
        <v>0</v>
      </c>
      <c r="F305" s="39" t="n">
        <f aca="false">ROUND(Z304*(1+N('My Debts'!$D$10)/12),2)</f>
        <v>0</v>
      </c>
      <c r="G305" s="39" t="n">
        <f aca="false">ROUND(AA304*(1+N('My Debts'!$D$11)/12),2)</f>
        <v>0</v>
      </c>
      <c r="H305" s="39" t="n">
        <f aca="false">ROUND(AB304*(1+N('My Debts'!$D$12)/12),2)</f>
        <v>0</v>
      </c>
      <c r="I305" s="39" t="n">
        <f aca="false">ROUND(AC304*(1+N('My Debts'!$D$13)/12),2)</f>
        <v>0</v>
      </c>
      <c r="J305" s="39" t="n">
        <f aca="false">ROUND(AD304*(1+N('My Debts'!$D$14)/12),2)</f>
        <v>0</v>
      </c>
      <c r="K305" s="39" t="n">
        <f aca="false">ROUND(AE304*(1+N('My Debts'!$D$15)/12),2)</f>
        <v>0</v>
      </c>
      <c r="L305" s="39" t="n">
        <f aca="false">MIN(N('My Debts'!$E$6),B305)</f>
        <v>0</v>
      </c>
      <c r="M305" s="39" t="n">
        <f aca="false">MIN(N('My Debts'!$E$7),C305)</f>
        <v>0</v>
      </c>
      <c r="N305" s="39" t="n">
        <f aca="false">MIN(N('My Debts'!$E$8),D305)</f>
        <v>0</v>
      </c>
      <c r="O305" s="39" t="n">
        <f aca="false">MIN(N('My Debts'!$E$9),E305)</f>
        <v>0</v>
      </c>
      <c r="P305" s="39" t="n">
        <f aca="false">MIN(N('My Debts'!$E$10),F305)</f>
        <v>0</v>
      </c>
      <c r="Q305" s="39" t="n">
        <f aca="false">MIN(N('My Debts'!$E$11),G305)</f>
        <v>0</v>
      </c>
      <c r="R305" s="39" t="n">
        <f aca="false">MIN(N('My Debts'!$E$12),H305)</f>
        <v>0</v>
      </c>
      <c r="S305" s="39" t="n">
        <f aca="false">MIN(N('My Debts'!$E$13),I305)</f>
        <v>0</v>
      </c>
      <c r="T305" s="39" t="n">
        <f aca="false">MIN(N('My Debts'!$E$14),J305)</f>
        <v>0</v>
      </c>
      <c r="U305" s="39" t="n">
        <f aca="false">MIN(N('My Debts'!$E$15),K305)</f>
        <v>0</v>
      </c>
      <c r="V305" s="39" t="n">
        <f aca="false">ROUND(B305-L305-MIN(B305-L305,MAX(0,$AF305-SUMPRODUCT(--($B$4:$K$4&lt;B$4),$B305:$K305-$L305:$U305))),2)</f>
        <v>0</v>
      </c>
      <c r="W305" s="39" t="n">
        <f aca="false">ROUND(C305-M305-MIN(C305-M305,MAX(0,$AF305-SUMPRODUCT(--($B$4:$K$4&lt;C$4),$B305:$K305-$L305:$U305))),2)</f>
        <v>0</v>
      </c>
      <c r="X305" s="39" t="n">
        <f aca="false">ROUND(D305-N305-MIN(D305-N305,MAX(0,$AF305-SUMPRODUCT(--($B$4:$K$4&lt;D$4),$B305:$K305-$L305:$U305))),2)</f>
        <v>0</v>
      </c>
      <c r="Y305" s="39" t="n">
        <f aca="false">ROUND(E305-O305-MIN(E305-O305,MAX(0,$AF305-SUMPRODUCT(--($B$4:$K$4&lt;E$4),$B305:$K305-$L305:$U305))),2)</f>
        <v>0</v>
      </c>
      <c r="Z305" s="39" t="n">
        <f aca="false">ROUND(F305-P305-MIN(F305-P305,MAX(0,$AF305-SUMPRODUCT(--($B$4:$K$4&lt;F$4),$B305:$K305-$L305:$U305))),2)</f>
        <v>0</v>
      </c>
      <c r="AA305" s="39" t="n">
        <f aca="false">ROUND(G305-Q305-MIN(G305-Q305,MAX(0,$AF305-SUMPRODUCT(--($B$4:$K$4&lt;G$4),$B305:$K305-$L305:$U305))),2)</f>
        <v>0</v>
      </c>
      <c r="AB305" s="39" t="n">
        <f aca="false">ROUND(H305-R305-MIN(H305-R305,MAX(0,$AF305-SUMPRODUCT(--($B$4:$K$4&lt;H$4),$B305:$K305-$L305:$U305))),2)</f>
        <v>0</v>
      </c>
      <c r="AC305" s="39" t="n">
        <f aca="false">ROUND(I305-S305-MIN(I305-S305,MAX(0,$AF305-SUMPRODUCT(--($B$4:$K$4&lt;I$4),$B305:$K305-$L305:$U305))),2)</f>
        <v>0</v>
      </c>
      <c r="AD305" s="39" t="n">
        <f aca="false">ROUND(J305-T305-MIN(J305-T305,MAX(0,$AF305-SUMPRODUCT(--($B$4:$K$4&lt;J$4),$B305:$K305-$L305:$U305))),2)</f>
        <v>0</v>
      </c>
      <c r="AE305" s="39" t="n">
        <f aca="false">ROUND(K305-U305-MIN(K305-U305,MAX(0,$AF305-SUMPRODUCT(--($B$4:$K$4&lt;K$4),$B305:$K305-$L305:$U305))),2)</f>
        <v>0</v>
      </c>
      <c r="AF305" s="39" t="n">
        <f aca="false">MAX(0,'Start Here'!$C$5-SUM($L305:$U305))</f>
        <v>1200</v>
      </c>
      <c r="AG305" s="39" t="n">
        <f aca="false">SUM(V305:AE305)</f>
        <v>0</v>
      </c>
      <c r="AH305" s="39" t="n">
        <f aca="false">SUM(B305:K305)-AG304</f>
        <v>0</v>
      </c>
    </row>
    <row r="306" customFormat="false" ht="15" hidden="false" customHeight="false" outlineLevel="0" collapsed="false">
      <c r="A306" s="40" t="n">
        <f aca="false">DATE(YEAR('Start Here'!$C$6),MONTH('Start Here'!$C$6)+299,1)</f>
        <v>55397</v>
      </c>
      <c r="B306" s="39" t="n">
        <f aca="false">ROUND(V305*(1+N('My Debts'!$D$6)/12),2)</f>
        <v>0</v>
      </c>
      <c r="C306" s="39" t="n">
        <f aca="false">ROUND(W305*(1+N('My Debts'!$D$7)/12),2)</f>
        <v>0</v>
      </c>
      <c r="D306" s="39" t="n">
        <f aca="false">ROUND(X305*(1+N('My Debts'!$D$8)/12),2)</f>
        <v>0</v>
      </c>
      <c r="E306" s="39" t="n">
        <f aca="false">ROUND(Y305*(1+N('My Debts'!$D$9)/12),2)</f>
        <v>0</v>
      </c>
      <c r="F306" s="39" t="n">
        <f aca="false">ROUND(Z305*(1+N('My Debts'!$D$10)/12),2)</f>
        <v>0</v>
      </c>
      <c r="G306" s="39" t="n">
        <f aca="false">ROUND(AA305*(1+N('My Debts'!$D$11)/12),2)</f>
        <v>0</v>
      </c>
      <c r="H306" s="39" t="n">
        <f aca="false">ROUND(AB305*(1+N('My Debts'!$D$12)/12),2)</f>
        <v>0</v>
      </c>
      <c r="I306" s="39" t="n">
        <f aca="false">ROUND(AC305*(1+N('My Debts'!$D$13)/12),2)</f>
        <v>0</v>
      </c>
      <c r="J306" s="39" t="n">
        <f aca="false">ROUND(AD305*(1+N('My Debts'!$D$14)/12),2)</f>
        <v>0</v>
      </c>
      <c r="K306" s="39" t="n">
        <f aca="false">ROUND(AE305*(1+N('My Debts'!$D$15)/12),2)</f>
        <v>0</v>
      </c>
      <c r="L306" s="39" t="n">
        <f aca="false">MIN(N('My Debts'!$E$6),B306)</f>
        <v>0</v>
      </c>
      <c r="M306" s="39" t="n">
        <f aca="false">MIN(N('My Debts'!$E$7),C306)</f>
        <v>0</v>
      </c>
      <c r="N306" s="39" t="n">
        <f aca="false">MIN(N('My Debts'!$E$8),D306)</f>
        <v>0</v>
      </c>
      <c r="O306" s="39" t="n">
        <f aca="false">MIN(N('My Debts'!$E$9),E306)</f>
        <v>0</v>
      </c>
      <c r="P306" s="39" t="n">
        <f aca="false">MIN(N('My Debts'!$E$10),F306)</f>
        <v>0</v>
      </c>
      <c r="Q306" s="39" t="n">
        <f aca="false">MIN(N('My Debts'!$E$11),G306)</f>
        <v>0</v>
      </c>
      <c r="R306" s="39" t="n">
        <f aca="false">MIN(N('My Debts'!$E$12),H306)</f>
        <v>0</v>
      </c>
      <c r="S306" s="39" t="n">
        <f aca="false">MIN(N('My Debts'!$E$13),I306)</f>
        <v>0</v>
      </c>
      <c r="T306" s="39" t="n">
        <f aca="false">MIN(N('My Debts'!$E$14),J306)</f>
        <v>0</v>
      </c>
      <c r="U306" s="39" t="n">
        <f aca="false">MIN(N('My Debts'!$E$15),K306)</f>
        <v>0</v>
      </c>
      <c r="V306" s="39" t="n">
        <f aca="false">ROUND(B306-L306-MIN(B306-L306,MAX(0,$AF306-SUMPRODUCT(--($B$4:$K$4&lt;B$4),$B306:$K306-$L306:$U306))),2)</f>
        <v>0</v>
      </c>
      <c r="W306" s="39" t="n">
        <f aca="false">ROUND(C306-M306-MIN(C306-M306,MAX(0,$AF306-SUMPRODUCT(--($B$4:$K$4&lt;C$4),$B306:$K306-$L306:$U306))),2)</f>
        <v>0</v>
      </c>
      <c r="X306" s="39" t="n">
        <f aca="false">ROUND(D306-N306-MIN(D306-N306,MAX(0,$AF306-SUMPRODUCT(--($B$4:$K$4&lt;D$4),$B306:$K306-$L306:$U306))),2)</f>
        <v>0</v>
      </c>
      <c r="Y306" s="39" t="n">
        <f aca="false">ROUND(E306-O306-MIN(E306-O306,MAX(0,$AF306-SUMPRODUCT(--($B$4:$K$4&lt;E$4),$B306:$K306-$L306:$U306))),2)</f>
        <v>0</v>
      </c>
      <c r="Z306" s="39" t="n">
        <f aca="false">ROUND(F306-P306-MIN(F306-P306,MAX(0,$AF306-SUMPRODUCT(--($B$4:$K$4&lt;F$4),$B306:$K306-$L306:$U306))),2)</f>
        <v>0</v>
      </c>
      <c r="AA306" s="39" t="n">
        <f aca="false">ROUND(G306-Q306-MIN(G306-Q306,MAX(0,$AF306-SUMPRODUCT(--($B$4:$K$4&lt;G$4),$B306:$K306-$L306:$U306))),2)</f>
        <v>0</v>
      </c>
      <c r="AB306" s="39" t="n">
        <f aca="false">ROUND(H306-R306-MIN(H306-R306,MAX(0,$AF306-SUMPRODUCT(--($B$4:$K$4&lt;H$4),$B306:$K306-$L306:$U306))),2)</f>
        <v>0</v>
      </c>
      <c r="AC306" s="39" t="n">
        <f aca="false">ROUND(I306-S306-MIN(I306-S306,MAX(0,$AF306-SUMPRODUCT(--($B$4:$K$4&lt;I$4),$B306:$K306-$L306:$U306))),2)</f>
        <v>0</v>
      </c>
      <c r="AD306" s="39" t="n">
        <f aca="false">ROUND(J306-T306-MIN(J306-T306,MAX(0,$AF306-SUMPRODUCT(--($B$4:$K$4&lt;J$4),$B306:$K306-$L306:$U306))),2)</f>
        <v>0</v>
      </c>
      <c r="AE306" s="39" t="n">
        <f aca="false">ROUND(K306-U306-MIN(K306-U306,MAX(0,$AF306-SUMPRODUCT(--($B$4:$K$4&lt;K$4),$B306:$K306-$L306:$U306))),2)</f>
        <v>0</v>
      </c>
      <c r="AF306" s="39" t="n">
        <f aca="false">MAX(0,'Start Here'!$C$5-SUM($L306:$U306))</f>
        <v>1200</v>
      </c>
      <c r="AG306" s="39" t="n">
        <f aca="false">SUM(V306:AE306)</f>
        <v>0</v>
      </c>
      <c r="AH306" s="39" t="n">
        <f aca="false">SUM(B306:K306)-AG305</f>
        <v>0</v>
      </c>
    </row>
    <row r="307" customFormat="false" ht="15" hidden="false" customHeight="false" outlineLevel="0" collapsed="false">
      <c r="A307" s="40" t="n">
        <f aca="false">DATE(YEAR('Start Here'!$C$6),MONTH('Start Here'!$C$6)+300,1)</f>
        <v>55427</v>
      </c>
      <c r="B307" s="39" t="n">
        <f aca="false">ROUND(V306*(1+N('My Debts'!$D$6)/12),2)</f>
        <v>0</v>
      </c>
      <c r="C307" s="39" t="n">
        <f aca="false">ROUND(W306*(1+N('My Debts'!$D$7)/12),2)</f>
        <v>0</v>
      </c>
      <c r="D307" s="39" t="n">
        <f aca="false">ROUND(X306*(1+N('My Debts'!$D$8)/12),2)</f>
        <v>0</v>
      </c>
      <c r="E307" s="39" t="n">
        <f aca="false">ROUND(Y306*(1+N('My Debts'!$D$9)/12),2)</f>
        <v>0</v>
      </c>
      <c r="F307" s="39" t="n">
        <f aca="false">ROUND(Z306*(1+N('My Debts'!$D$10)/12),2)</f>
        <v>0</v>
      </c>
      <c r="G307" s="39" t="n">
        <f aca="false">ROUND(AA306*(1+N('My Debts'!$D$11)/12),2)</f>
        <v>0</v>
      </c>
      <c r="H307" s="39" t="n">
        <f aca="false">ROUND(AB306*(1+N('My Debts'!$D$12)/12),2)</f>
        <v>0</v>
      </c>
      <c r="I307" s="39" t="n">
        <f aca="false">ROUND(AC306*(1+N('My Debts'!$D$13)/12),2)</f>
        <v>0</v>
      </c>
      <c r="J307" s="39" t="n">
        <f aca="false">ROUND(AD306*(1+N('My Debts'!$D$14)/12),2)</f>
        <v>0</v>
      </c>
      <c r="K307" s="39" t="n">
        <f aca="false">ROUND(AE306*(1+N('My Debts'!$D$15)/12),2)</f>
        <v>0</v>
      </c>
      <c r="L307" s="39" t="n">
        <f aca="false">MIN(N('My Debts'!$E$6),B307)</f>
        <v>0</v>
      </c>
      <c r="M307" s="39" t="n">
        <f aca="false">MIN(N('My Debts'!$E$7),C307)</f>
        <v>0</v>
      </c>
      <c r="N307" s="39" t="n">
        <f aca="false">MIN(N('My Debts'!$E$8),D307)</f>
        <v>0</v>
      </c>
      <c r="O307" s="39" t="n">
        <f aca="false">MIN(N('My Debts'!$E$9),E307)</f>
        <v>0</v>
      </c>
      <c r="P307" s="39" t="n">
        <f aca="false">MIN(N('My Debts'!$E$10),F307)</f>
        <v>0</v>
      </c>
      <c r="Q307" s="39" t="n">
        <f aca="false">MIN(N('My Debts'!$E$11),G307)</f>
        <v>0</v>
      </c>
      <c r="R307" s="39" t="n">
        <f aca="false">MIN(N('My Debts'!$E$12),H307)</f>
        <v>0</v>
      </c>
      <c r="S307" s="39" t="n">
        <f aca="false">MIN(N('My Debts'!$E$13),I307)</f>
        <v>0</v>
      </c>
      <c r="T307" s="39" t="n">
        <f aca="false">MIN(N('My Debts'!$E$14),J307)</f>
        <v>0</v>
      </c>
      <c r="U307" s="39" t="n">
        <f aca="false">MIN(N('My Debts'!$E$15),K307)</f>
        <v>0</v>
      </c>
      <c r="V307" s="39" t="n">
        <f aca="false">ROUND(B307-L307-MIN(B307-L307,MAX(0,$AF307-SUMPRODUCT(--($B$4:$K$4&lt;B$4),$B307:$K307-$L307:$U307))),2)</f>
        <v>0</v>
      </c>
      <c r="W307" s="39" t="n">
        <f aca="false">ROUND(C307-M307-MIN(C307-M307,MAX(0,$AF307-SUMPRODUCT(--($B$4:$K$4&lt;C$4),$B307:$K307-$L307:$U307))),2)</f>
        <v>0</v>
      </c>
      <c r="X307" s="39" t="n">
        <f aca="false">ROUND(D307-N307-MIN(D307-N307,MAX(0,$AF307-SUMPRODUCT(--($B$4:$K$4&lt;D$4),$B307:$K307-$L307:$U307))),2)</f>
        <v>0</v>
      </c>
      <c r="Y307" s="39" t="n">
        <f aca="false">ROUND(E307-O307-MIN(E307-O307,MAX(0,$AF307-SUMPRODUCT(--($B$4:$K$4&lt;E$4),$B307:$K307-$L307:$U307))),2)</f>
        <v>0</v>
      </c>
      <c r="Z307" s="39" t="n">
        <f aca="false">ROUND(F307-P307-MIN(F307-P307,MAX(0,$AF307-SUMPRODUCT(--($B$4:$K$4&lt;F$4),$B307:$K307-$L307:$U307))),2)</f>
        <v>0</v>
      </c>
      <c r="AA307" s="39" t="n">
        <f aca="false">ROUND(G307-Q307-MIN(G307-Q307,MAX(0,$AF307-SUMPRODUCT(--($B$4:$K$4&lt;G$4),$B307:$K307-$L307:$U307))),2)</f>
        <v>0</v>
      </c>
      <c r="AB307" s="39" t="n">
        <f aca="false">ROUND(H307-R307-MIN(H307-R307,MAX(0,$AF307-SUMPRODUCT(--($B$4:$K$4&lt;H$4),$B307:$K307-$L307:$U307))),2)</f>
        <v>0</v>
      </c>
      <c r="AC307" s="39" t="n">
        <f aca="false">ROUND(I307-S307-MIN(I307-S307,MAX(0,$AF307-SUMPRODUCT(--($B$4:$K$4&lt;I$4),$B307:$K307-$L307:$U307))),2)</f>
        <v>0</v>
      </c>
      <c r="AD307" s="39" t="n">
        <f aca="false">ROUND(J307-T307-MIN(J307-T307,MAX(0,$AF307-SUMPRODUCT(--($B$4:$K$4&lt;J$4),$B307:$K307-$L307:$U307))),2)</f>
        <v>0</v>
      </c>
      <c r="AE307" s="39" t="n">
        <f aca="false">ROUND(K307-U307-MIN(K307-U307,MAX(0,$AF307-SUMPRODUCT(--($B$4:$K$4&lt;K$4),$B307:$K307-$L307:$U307))),2)</f>
        <v>0</v>
      </c>
      <c r="AF307" s="39" t="n">
        <f aca="false">MAX(0,'Start Here'!$C$5-SUM($L307:$U307))</f>
        <v>1200</v>
      </c>
      <c r="AG307" s="39" t="n">
        <f aca="false">SUM(V307:AE307)</f>
        <v>0</v>
      </c>
      <c r="AH307" s="39" t="n">
        <f aca="false">SUM(B307:K307)-AG306</f>
        <v>0</v>
      </c>
    </row>
    <row r="308" customFormat="false" ht="15" hidden="false" customHeight="false" outlineLevel="0" collapsed="false">
      <c r="A308" s="40" t="n">
        <f aca="false">DATE(YEAR('Start Here'!$C$6),MONTH('Start Here'!$C$6)+301,1)</f>
        <v>55458</v>
      </c>
      <c r="B308" s="39" t="n">
        <f aca="false">ROUND(V307*(1+N('My Debts'!$D$6)/12),2)</f>
        <v>0</v>
      </c>
      <c r="C308" s="39" t="n">
        <f aca="false">ROUND(W307*(1+N('My Debts'!$D$7)/12),2)</f>
        <v>0</v>
      </c>
      <c r="D308" s="39" t="n">
        <f aca="false">ROUND(X307*(1+N('My Debts'!$D$8)/12),2)</f>
        <v>0</v>
      </c>
      <c r="E308" s="39" t="n">
        <f aca="false">ROUND(Y307*(1+N('My Debts'!$D$9)/12),2)</f>
        <v>0</v>
      </c>
      <c r="F308" s="39" t="n">
        <f aca="false">ROUND(Z307*(1+N('My Debts'!$D$10)/12),2)</f>
        <v>0</v>
      </c>
      <c r="G308" s="39" t="n">
        <f aca="false">ROUND(AA307*(1+N('My Debts'!$D$11)/12),2)</f>
        <v>0</v>
      </c>
      <c r="H308" s="39" t="n">
        <f aca="false">ROUND(AB307*(1+N('My Debts'!$D$12)/12),2)</f>
        <v>0</v>
      </c>
      <c r="I308" s="39" t="n">
        <f aca="false">ROUND(AC307*(1+N('My Debts'!$D$13)/12),2)</f>
        <v>0</v>
      </c>
      <c r="J308" s="39" t="n">
        <f aca="false">ROUND(AD307*(1+N('My Debts'!$D$14)/12),2)</f>
        <v>0</v>
      </c>
      <c r="K308" s="39" t="n">
        <f aca="false">ROUND(AE307*(1+N('My Debts'!$D$15)/12),2)</f>
        <v>0</v>
      </c>
      <c r="L308" s="39" t="n">
        <f aca="false">MIN(N('My Debts'!$E$6),B308)</f>
        <v>0</v>
      </c>
      <c r="M308" s="39" t="n">
        <f aca="false">MIN(N('My Debts'!$E$7),C308)</f>
        <v>0</v>
      </c>
      <c r="N308" s="39" t="n">
        <f aca="false">MIN(N('My Debts'!$E$8),D308)</f>
        <v>0</v>
      </c>
      <c r="O308" s="39" t="n">
        <f aca="false">MIN(N('My Debts'!$E$9),E308)</f>
        <v>0</v>
      </c>
      <c r="P308" s="39" t="n">
        <f aca="false">MIN(N('My Debts'!$E$10),F308)</f>
        <v>0</v>
      </c>
      <c r="Q308" s="39" t="n">
        <f aca="false">MIN(N('My Debts'!$E$11),G308)</f>
        <v>0</v>
      </c>
      <c r="R308" s="39" t="n">
        <f aca="false">MIN(N('My Debts'!$E$12),H308)</f>
        <v>0</v>
      </c>
      <c r="S308" s="39" t="n">
        <f aca="false">MIN(N('My Debts'!$E$13),I308)</f>
        <v>0</v>
      </c>
      <c r="T308" s="39" t="n">
        <f aca="false">MIN(N('My Debts'!$E$14),J308)</f>
        <v>0</v>
      </c>
      <c r="U308" s="39" t="n">
        <f aca="false">MIN(N('My Debts'!$E$15),K308)</f>
        <v>0</v>
      </c>
      <c r="V308" s="39" t="n">
        <f aca="false">ROUND(B308-L308-MIN(B308-L308,MAX(0,$AF308-SUMPRODUCT(--($B$4:$K$4&lt;B$4),$B308:$K308-$L308:$U308))),2)</f>
        <v>0</v>
      </c>
      <c r="W308" s="39" t="n">
        <f aca="false">ROUND(C308-M308-MIN(C308-M308,MAX(0,$AF308-SUMPRODUCT(--($B$4:$K$4&lt;C$4),$B308:$K308-$L308:$U308))),2)</f>
        <v>0</v>
      </c>
      <c r="X308" s="39" t="n">
        <f aca="false">ROUND(D308-N308-MIN(D308-N308,MAX(0,$AF308-SUMPRODUCT(--($B$4:$K$4&lt;D$4),$B308:$K308-$L308:$U308))),2)</f>
        <v>0</v>
      </c>
      <c r="Y308" s="39" t="n">
        <f aca="false">ROUND(E308-O308-MIN(E308-O308,MAX(0,$AF308-SUMPRODUCT(--($B$4:$K$4&lt;E$4),$B308:$K308-$L308:$U308))),2)</f>
        <v>0</v>
      </c>
      <c r="Z308" s="39" t="n">
        <f aca="false">ROUND(F308-P308-MIN(F308-P308,MAX(0,$AF308-SUMPRODUCT(--($B$4:$K$4&lt;F$4),$B308:$K308-$L308:$U308))),2)</f>
        <v>0</v>
      </c>
      <c r="AA308" s="39" t="n">
        <f aca="false">ROUND(G308-Q308-MIN(G308-Q308,MAX(0,$AF308-SUMPRODUCT(--($B$4:$K$4&lt;G$4),$B308:$K308-$L308:$U308))),2)</f>
        <v>0</v>
      </c>
      <c r="AB308" s="39" t="n">
        <f aca="false">ROUND(H308-R308-MIN(H308-R308,MAX(0,$AF308-SUMPRODUCT(--($B$4:$K$4&lt;H$4),$B308:$K308-$L308:$U308))),2)</f>
        <v>0</v>
      </c>
      <c r="AC308" s="39" t="n">
        <f aca="false">ROUND(I308-S308-MIN(I308-S308,MAX(0,$AF308-SUMPRODUCT(--($B$4:$K$4&lt;I$4),$B308:$K308-$L308:$U308))),2)</f>
        <v>0</v>
      </c>
      <c r="AD308" s="39" t="n">
        <f aca="false">ROUND(J308-T308-MIN(J308-T308,MAX(0,$AF308-SUMPRODUCT(--($B$4:$K$4&lt;J$4),$B308:$K308-$L308:$U308))),2)</f>
        <v>0</v>
      </c>
      <c r="AE308" s="39" t="n">
        <f aca="false">ROUND(K308-U308-MIN(K308-U308,MAX(0,$AF308-SUMPRODUCT(--($B$4:$K$4&lt;K$4),$B308:$K308-$L308:$U308))),2)</f>
        <v>0</v>
      </c>
      <c r="AF308" s="39" t="n">
        <f aca="false">MAX(0,'Start Here'!$C$5-SUM($L308:$U308))</f>
        <v>1200</v>
      </c>
      <c r="AG308" s="39" t="n">
        <f aca="false">SUM(V308:AE308)</f>
        <v>0</v>
      </c>
      <c r="AH308" s="39" t="n">
        <f aca="false">SUM(B308:K308)-AG307</f>
        <v>0</v>
      </c>
    </row>
    <row r="309" customFormat="false" ht="15" hidden="false" customHeight="false" outlineLevel="0" collapsed="false">
      <c r="A309" s="40" t="n">
        <f aca="false">DATE(YEAR('Start Here'!$C$6),MONTH('Start Here'!$C$6)+302,1)</f>
        <v>55488</v>
      </c>
      <c r="B309" s="39" t="n">
        <f aca="false">ROUND(V308*(1+N('My Debts'!$D$6)/12),2)</f>
        <v>0</v>
      </c>
      <c r="C309" s="39" t="n">
        <f aca="false">ROUND(W308*(1+N('My Debts'!$D$7)/12),2)</f>
        <v>0</v>
      </c>
      <c r="D309" s="39" t="n">
        <f aca="false">ROUND(X308*(1+N('My Debts'!$D$8)/12),2)</f>
        <v>0</v>
      </c>
      <c r="E309" s="39" t="n">
        <f aca="false">ROUND(Y308*(1+N('My Debts'!$D$9)/12),2)</f>
        <v>0</v>
      </c>
      <c r="F309" s="39" t="n">
        <f aca="false">ROUND(Z308*(1+N('My Debts'!$D$10)/12),2)</f>
        <v>0</v>
      </c>
      <c r="G309" s="39" t="n">
        <f aca="false">ROUND(AA308*(1+N('My Debts'!$D$11)/12),2)</f>
        <v>0</v>
      </c>
      <c r="H309" s="39" t="n">
        <f aca="false">ROUND(AB308*(1+N('My Debts'!$D$12)/12),2)</f>
        <v>0</v>
      </c>
      <c r="I309" s="39" t="n">
        <f aca="false">ROUND(AC308*(1+N('My Debts'!$D$13)/12),2)</f>
        <v>0</v>
      </c>
      <c r="J309" s="39" t="n">
        <f aca="false">ROUND(AD308*(1+N('My Debts'!$D$14)/12),2)</f>
        <v>0</v>
      </c>
      <c r="K309" s="39" t="n">
        <f aca="false">ROUND(AE308*(1+N('My Debts'!$D$15)/12),2)</f>
        <v>0</v>
      </c>
      <c r="L309" s="39" t="n">
        <f aca="false">MIN(N('My Debts'!$E$6),B309)</f>
        <v>0</v>
      </c>
      <c r="M309" s="39" t="n">
        <f aca="false">MIN(N('My Debts'!$E$7),C309)</f>
        <v>0</v>
      </c>
      <c r="N309" s="39" t="n">
        <f aca="false">MIN(N('My Debts'!$E$8),D309)</f>
        <v>0</v>
      </c>
      <c r="O309" s="39" t="n">
        <f aca="false">MIN(N('My Debts'!$E$9),E309)</f>
        <v>0</v>
      </c>
      <c r="P309" s="39" t="n">
        <f aca="false">MIN(N('My Debts'!$E$10),F309)</f>
        <v>0</v>
      </c>
      <c r="Q309" s="39" t="n">
        <f aca="false">MIN(N('My Debts'!$E$11),G309)</f>
        <v>0</v>
      </c>
      <c r="R309" s="39" t="n">
        <f aca="false">MIN(N('My Debts'!$E$12),H309)</f>
        <v>0</v>
      </c>
      <c r="S309" s="39" t="n">
        <f aca="false">MIN(N('My Debts'!$E$13),I309)</f>
        <v>0</v>
      </c>
      <c r="T309" s="39" t="n">
        <f aca="false">MIN(N('My Debts'!$E$14),J309)</f>
        <v>0</v>
      </c>
      <c r="U309" s="39" t="n">
        <f aca="false">MIN(N('My Debts'!$E$15),K309)</f>
        <v>0</v>
      </c>
      <c r="V309" s="39" t="n">
        <f aca="false">ROUND(B309-L309-MIN(B309-L309,MAX(0,$AF309-SUMPRODUCT(--($B$4:$K$4&lt;B$4),$B309:$K309-$L309:$U309))),2)</f>
        <v>0</v>
      </c>
      <c r="W309" s="39" t="n">
        <f aca="false">ROUND(C309-M309-MIN(C309-M309,MAX(0,$AF309-SUMPRODUCT(--($B$4:$K$4&lt;C$4),$B309:$K309-$L309:$U309))),2)</f>
        <v>0</v>
      </c>
      <c r="X309" s="39" t="n">
        <f aca="false">ROUND(D309-N309-MIN(D309-N309,MAX(0,$AF309-SUMPRODUCT(--($B$4:$K$4&lt;D$4),$B309:$K309-$L309:$U309))),2)</f>
        <v>0</v>
      </c>
      <c r="Y309" s="39" t="n">
        <f aca="false">ROUND(E309-O309-MIN(E309-O309,MAX(0,$AF309-SUMPRODUCT(--($B$4:$K$4&lt;E$4),$B309:$K309-$L309:$U309))),2)</f>
        <v>0</v>
      </c>
      <c r="Z309" s="39" t="n">
        <f aca="false">ROUND(F309-P309-MIN(F309-P309,MAX(0,$AF309-SUMPRODUCT(--($B$4:$K$4&lt;F$4),$B309:$K309-$L309:$U309))),2)</f>
        <v>0</v>
      </c>
      <c r="AA309" s="39" t="n">
        <f aca="false">ROUND(G309-Q309-MIN(G309-Q309,MAX(0,$AF309-SUMPRODUCT(--($B$4:$K$4&lt;G$4),$B309:$K309-$L309:$U309))),2)</f>
        <v>0</v>
      </c>
      <c r="AB309" s="39" t="n">
        <f aca="false">ROUND(H309-R309-MIN(H309-R309,MAX(0,$AF309-SUMPRODUCT(--($B$4:$K$4&lt;H$4),$B309:$K309-$L309:$U309))),2)</f>
        <v>0</v>
      </c>
      <c r="AC309" s="39" t="n">
        <f aca="false">ROUND(I309-S309-MIN(I309-S309,MAX(0,$AF309-SUMPRODUCT(--($B$4:$K$4&lt;I$4),$B309:$K309-$L309:$U309))),2)</f>
        <v>0</v>
      </c>
      <c r="AD309" s="39" t="n">
        <f aca="false">ROUND(J309-T309-MIN(J309-T309,MAX(0,$AF309-SUMPRODUCT(--($B$4:$K$4&lt;J$4),$B309:$K309-$L309:$U309))),2)</f>
        <v>0</v>
      </c>
      <c r="AE309" s="39" t="n">
        <f aca="false">ROUND(K309-U309-MIN(K309-U309,MAX(0,$AF309-SUMPRODUCT(--($B$4:$K$4&lt;K$4),$B309:$K309-$L309:$U309))),2)</f>
        <v>0</v>
      </c>
      <c r="AF309" s="39" t="n">
        <f aca="false">MAX(0,'Start Here'!$C$5-SUM($L309:$U309))</f>
        <v>1200</v>
      </c>
      <c r="AG309" s="39" t="n">
        <f aca="false">SUM(V309:AE309)</f>
        <v>0</v>
      </c>
      <c r="AH309" s="39" t="n">
        <f aca="false">SUM(B309:K309)-AG308</f>
        <v>0</v>
      </c>
    </row>
    <row r="310" customFormat="false" ht="15" hidden="false" customHeight="false" outlineLevel="0" collapsed="false">
      <c r="A310" s="40" t="n">
        <f aca="false">DATE(YEAR('Start Here'!$C$6),MONTH('Start Here'!$C$6)+303,1)</f>
        <v>55519</v>
      </c>
      <c r="B310" s="39" t="n">
        <f aca="false">ROUND(V309*(1+N('My Debts'!$D$6)/12),2)</f>
        <v>0</v>
      </c>
      <c r="C310" s="39" t="n">
        <f aca="false">ROUND(W309*(1+N('My Debts'!$D$7)/12),2)</f>
        <v>0</v>
      </c>
      <c r="D310" s="39" t="n">
        <f aca="false">ROUND(X309*(1+N('My Debts'!$D$8)/12),2)</f>
        <v>0</v>
      </c>
      <c r="E310" s="39" t="n">
        <f aca="false">ROUND(Y309*(1+N('My Debts'!$D$9)/12),2)</f>
        <v>0</v>
      </c>
      <c r="F310" s="39" t="n">
        <f aca="false">ROUND(Z309*(1+N('My Debts'!$D$10)/12),2)</f>
        <v>0</v>
      </c>
      <c r="G310" s="39" t="n">
        <f aca="false">ROUND(AA309*(1+N('My Debts'!$D$11)/12),2)</f>
        <v>0</v>
      </c>
      <c r="H310" s="39" t="n">
        <f aca="false">ROUND(AB309*(1+N('My Debts'!$D$12)/12),2)</f>
        <v>0</v>
      </c>
      <c r="I310" s="39" t="n">
        <f aca="false">ROUND(AC309*(1+N('My Debts'!$D$13)/12),2)</f>
        <v>0</v>
      </c>
      <c r="J310" s="39" t="n">
        <f aca="false">ROUND(AD309*(1+N('My Debts'!$D$14)/12),2)</f>
        <v>0</v>
      </c>
      <c r="K310" s="39" t="n">
        <f aca="false">ROUND(AE309*(1+N('My Debts'!$D$15)/12),2)</f>
        <v>0</v>
      </c>
      <c r="L310" s="39" t="n">
        <f aca="false">MIN(N('My Debts'!$E$6),B310)</f>
        <v>0</v>
      </c>
      <c r="M310" s="39" t="n">
        <f aca="false">MIN(N('My Debts'!$E$7),C310)</f>
        <v>0</v>
      </c>
      <c r="N310" s="39" t="n">
        <f aca="false">MIN(N('My Debts'!$E$8),D310)</f>
        <v>0</v>
      </c>
      <c r="O310" s="39" t="n">
        <f aca="false">MIN(N('My Debts'!$E$9),E310)</f>
        <v>0</v>
      </c>
      <c r="P310" s="39" t="n">
        <f aca="false">MIN(N('My Debts'!$E$10),F310)</f>
        <v>0</v>
      </c>
      <c r="Q310" s="39" t="n">
        <f aca="false">MIN(N('My Debts'!$E$11),G310)</f>
        <v>0</v>
      </c>
      <c r="R310" s="39" t="n">
        <f aca="false">MIN(N('My Debts'!$E$12),H310)</f>
        <v>0</v>
      </c>
      <c r="S310" s="39" t="n">
        <f aca="false">MIN(N('My Debts'!$E$13),I310)</f>
        <v>0</v>
      </c>
      <c r="T310" s="39" t="n">
        <f aca="false">MIN(N('My Debts'!$E$14),J310)</f>
        <v>0</v>
      </c>
      <c r="U310" s="39" t="n">
        <f aca="false">MIN(N('My Debts'!$E$15),K310)</f>
        <v>0</v>
      </c>
      <c r="V310" s="39" t="n">
        <f aca="false">ROUND(B310-L310-MIN(B310-L310,MAX(0,$AF310-SUMPRODUCT(--($B$4:$K$4&lt;B$4),$B310:$K310-$L310:$U310))),2)</f>
        <v>0</v>
      </c>
      <c r="W310" s="39" t="n">
        <f aca="false">ROUND(C310-M310-MIN(C310-M310,MAX(0,$AF310-SUMPRODUCT(--($B$4:$K$4&lt;C$4),$B310:$K310-$L310:$U310))),2)</f>
        <v>0</v>
      </c>
      <c r="X310" s="39" t="n">
        <f aca="false">ROUND(D310-N310-MIN(D310-N310,MAX(0,$AF310-SUMPRODUCT(--($B$4:$K$4&lt;D$4),$B310:$K310-$L310:$U310))),2)</f>
        <v>0</v>
      </c>
      <c r="Y310" s="39" t="n">
        <f aca="false">ROUND(E310-O310-MIN(E310-O310,MAX(0,$AF310-SUMPRODUCT(--($B$4:$K$4&lt;E$4),$B310:$K310-$L310:$U310))),2)</f>
        <v>0</v>
      </c>
      <c r="Z310" s="39" t="n">
        <f aca="false">ROUND(F310-P310-MIN(F310-P310,MAX(0,$AF310-SUMPRODUCT(--($B$4:$K$4&lt;F$4),$B310:$K310-$L310:$U310))),2)</f>
        <v>0</v>
      </c>
      <c r="AA310" s="39" t="n">
        <f aca="false">ROUND(G310-Q310-MIN(G310-Q310,MAX(0,$AF310-SUMPRODUCT(--($B$4:$K$4&lt;G$4),$B310:$K310-$L310:$U310))),2)</f>
        <v>0</v>
      </c>
      <c r="AB310" s="39" t="n">
        <f aca="false">ROUND(H310-R310-MIN(H310-R310,MAX(0,$AF310-SUMPRODUCT(--($B$4:$K$4&lt;H$4),$B310:$K310-$L310:$U310))),2)</f>
        <v>0</v>
      </c>
      <c r="AC310" s="39" t="n">
        <f aca="false">ROUND(I310-S310-MIN(I310-S310,MAX(0,$AF310-SUMPRODUCT(--($B$4:$K$4&lt;I$4),$B310:$K310-$L310:$U310))),2)</f>
        <v>0</v>
      </c>
      <c r="AD310" s="39" t="n">
        <f aca="false">ROUND(J310-T310-MIN(J310-T310,MAX(0,$AF310-SUMPRODUCT(--($B$4:$K$4&lt;J$4),$B310:$K310-$L310:$U310))),2)</f>
        <v>0</v>
      </c>
      <c r="AE310" s="39" t="n">
        <f aca="false">ROUND(K310-U310-MIN(K310-U310,MAX(0,$AF310-SUMPRODUCT(--($B$4:$K$4&lt;K$4),$B310:$K310-$L310:$U310))),2)</f>
        <v>0</v>
      </c>
      <c r="AF310" s="39" t="n">
        <f aca="false">MAX(0,'Start Here'!$C$5-SUM($L310:$U310))</f>
        <v>1200</v>
      </c>
      <c r="AG310" s="39" t="n">
        <f aca="false">SUM(V310:AE310)</f>
        <v>0</v>
      </c>
      <c r="AH310" s="39" t="n">
        <f aca="false">SUM(B310:K310)-AG309</f>
        <v>0</v>
      </c>
    </row>
    <row r="311" customFormat="false" ht="15" hidden="false" customHeight="false" outlineLevel="0" collapsed="false">
      <c r="A311" s="40" t="n">
        <f aca="false">DATE(YEAR('Start Here'!$C$6),MONTH('Start Here'!$C$6)+304,1)</f>
        <v>55550</v>
      </c>
      <c r="B311" s="39" t="n">
        <f aca="false">ROUND(V310*(1+N('My Debts'!$D$6)/12),2)</f>
        <v>0</v>
      </c>
      <c r="C311" s="39" t="n">
        <f aca="false">ROUND(W310*(1+N('My Debts'!$D$7)/12),2)</f>
        <v>0</v>
      </c>
      <c r="D311" s="39" t="n">
        <f aca="false">ROUND(X310*(1+N('My Debts'!$D$8)/12),2)</f>
        <v>0</v>
      </c>
      <c r="E311" s="39" t="n">
        <f aca="false">ROUND(Y310*(1+N('My Debts'!$D$9)/12),2)</f>
        <v>0</v>
      </c>
      <c r="F311" s="39" t="n">
        <f aca="false">ROUND(Z310*(1+N('My Debts'!$D$10)/12),2)</f>
        <v>0</v>
      </c>
      <c r="G311" s="39" t="n">
        <f aca="false">ROUND(AA310*(1+N('My Debts'!$D$11)/12),2)</f>
        <v>0</v>
      </c>
      <c r="H311" s="39" t="n">
        <f aca="false">ROUND(AB310*(1+N('My Debts'!$D$12)/12),2)</f>
        <v>0</v>
      </c>
      <c r="I311" s="39" t="n">
        <f aca="false">ROUND(AC310*(1+N('My Debts'!$D$13)/12),2)</f>
        <v>0</v>
      </c>
      <c r="J311" s="39" t="n">
        <f aca="false">ROUND(AD310*(1+N('My Debts'!$D$14)/12),2)</f>
        <v>0</v>
      </c>
      <c r="K311" s="39" t="n">
        <f aca="false">ROUND(AE310*(1+N('My Debts'!$D$15)/12),2)</f>
        <v>0</v>
      </c>
      <c r="L311" s="39" t="n">
        <f aca="false">MIN(N('My Debts'!$E$6),B311)</f>
        <v>0</v>
      </c>
      <c r="M311" s="39" t="n">
        <f aca="false">MIN(N('My Debts'!$E$7),C311)</f>
        <v>0</v>
      </c>
      <c r="N311" s="39" t="n">
        <f aca="false">MIN(N('My Debts'!$E$8),D311)</f>
        <v>0</v>
      </c>
      <c r="O311" s="39" t="n">
        <f aca="false">MIN(N('My Debts'!$E$9),E311)</f>
        <v>0</v>
      </c>
      <c r="P311" s="39" t="n">
        <f aca="false">MIN(N('My Debts'!$E$10),F311)</f>
        <v>0</v>
      </c>
      <c r="Q311" s="39" t="n">
        <f aca="false">MIN(N('My Debts'!$E$11),G311)</f>
        <v>0</v>
      </c>
      <c r="R311" s="39" t="n">
        <f aca="false">MIN(N('My Debts'!$E$12),H311)</f>
        <v>0</v>
      </c>
      <c r="S311" s="39" t="n">
        <f aca="false">MIN(N('My Debts'!$E$13),I311)</f>
        <v>0</v>
      </c>
      <c r="T311" s="39" t="n">
        <f aca="false">MIN(N('My Debts'!$E$14),J311)</f>
        <v>0</v>
      </c>
      <c r="U311" s="39" t="n">
        <f aca="false">MIN(N('My Debts'!$E$15),K311)</f>
        <v>0</v>
      </c>
      <c r="V311" s="39" t="n">
        <f aca="false">ROUND(B311-L311-MIN(B311-L311,MAX(0,$AF311-SUMPRODUCT(--($B$4:$K$4&lt;B$4),$B311:$K311-$L311:$U311))),2)</f>
        <v>0</v>
      </c>
      <c r="W311" s="39" t="n">
        <f aca="false">ROUND(C311-M311-MIN(C311-M311,MAX(0,$AF311-SUMPRODUCT(--($B$4:$K$4&lt;C$4),$B311:$K311-$L311:$U311))),2)</f>
        <v>0</v>
      </c>
      <c r="X311" s="39" t="n">
        <f aca="false">ROUND(D311-N311-MIN(D311-N311,MAX(0,$AF311-SUMPRODUCT(--($B$4:$K$4&lt;D$4),$B311:$K311-$L311:$U311))),2)</f>
        <v>0</v>
      </c>
      <c r="Y311" s="39" t="n">
        <f aca="false">ROUND(E311-O311-MIN(E311-O311,MAX(0,$AF311-SUMPRODUCT(--($B$4:$K$4&lt;E$4),$B311:$K311-$L311:$U311))),2)</f>
        <v>0</v>
      </c>
      <c r="Z311" s="39" t="n">
        <f aca="false">ROUND(F311-P311-MIN(F311-P311,MAX(0,$AF311-SUMPRODUCT(--($B$4:$K$4&lt;F$4),$B311:$K311-$L311:$U311))),2)</f>
        <v>0</v>
      </c>
      <c r="AA311" s="39" t="n">
        <f aca="false">ROUND(G311-Q311-MIN(G311-Q311,MAX(0,$AF311-SUMPRODUCT(--($B$4:$K$4&lt;G$4),$B311:$K311-$L311:$U311))),2)</f>
        <v>0</v>
      </c>
      <c r="AB311" s="39" t="n">
        <f aca="false">ROUND(H311-R311-MIN(H311-R311,MAX(0,$AF311-SUMPRODUCT(--($B$4:$K$4&lt;H$4),$B311:$K311-$L311:$U311))),2)</f>
        <v>0</v>
      </c>
      <c r="AC311" s="39" t="n">
        <f aca="false">ROUND(I311-S311-MIN(I311-S311,MAX(0,$AF311-SUMPRODUCT(--($B$4:$K$4&lt;I$4),$B311:$K311-$L311:$U311))),2)</f>
        <v>0</v>
      </c>
      <c r="AD311" s="39" t="n">
        <f aca="false">ROUND(J311-T311-MIN(J311-T311,MAX(0,$AF311-SUMPRODUCT(--($B$4:$K$4&lt;J$4),$B311:$K311-$L311:$U311))),2)</f>
        <v>0</v>
      </c>
      <c r="AE311" s="39" t="n">
        <f aca="false">ROUND(K311-U311-MIN(K311-U311,MAX(0,$AF311-SUMPRODUCT(--($B$4:$K$4&lt;K$4),$B311:$K311-$L311:$U311))),2)</f>
        <v>0</v>
      </c>
      <c r="AF311" s="39" t="n">
        <f aca="false">MAX(0,'Start Here'!$C$5-SUM($L311:$U311))</f>
        <v>1200</v>
      </c>
      <c r="AG311" s="39" t="n">
        <f aca="false">SUM(V311:AE311)</f>
        <v>0</v>
      </c>
      <c r="AH311" s="39" t="n">
        <f aca="false">SUM(B311:K311)-AG310</f>
        <v>0</v>
      </c>
    </row>
    <row r="312" customFormat="false" ht="15" hidden="false" customHeight="false" outlineLevel="0" collapsed="false">
      <c r="A312" s="40" t="n">
        <f aca="false">DATE(YEAR('Start Here'!$C$6),MONTH('Start Here'!$C$6)+305,1)</f>
        <v>55579</v>
      </c>
      <c r="B312" s="39" t="n">
        <f aca="false">ROUND(V311*(1+N('My Debts'!$D$6)/12),2)</f>
        <v>0</v>
      </c>
      <c r="C312" s="39" t="n">
        <f aca="false">ROUND(W311*(1+N('My Debts'!$D$7)/12),2)</f>
        <v>0</v>
      </c>
      <c r="D312" s="39" t="n">
        <f aca="false">ROUND(X311*(1+N('My Debts'!$D$8)/12),2)</f>
        <v>0</v>
      </c>
      <c r="E312" s="39" t="n">
        <f aca="false">ROUND(Y311*(1+N('My Debts'!$D$9)/12),2)</f>
        <v>0</v>
      </c>
      <c r="F312" s="39" t="n">
        <f aca="false">ROUND(Z311*(1+N('My Debts'!$D$10)/12),2)</f>
        <v>0</v>
      </c>
      <c r="G312" s="39" t="n">
        <f aca="false">ROUND(AA311*(1+N('My Debts'!$D$11)/12),2)</f>
        <v>0</v>
      </c>
      <c r="H312" s="39" t="n">
        <f aca="false">ROUND(AB311*(1+N('My Debts'!$D$12)/12),2)</f>
        <v>0</v>
      </c>
      <c r="I312" s="39" t="n">
        <f aca="false">ROUND(AC311*(1+N('My Debts'!$D$13)/12),2)</f>
        <v>0</v>
      </c>
      <c r="J312" s="39" t="n">
        <f aca="false">ROUND(AD311*(1+N('My Debts'!$D$14)/12),2)</f>
        <v>0</v>
      </c>
      <c r="K312" s="39" t="n">
        <f aca="false">ROUND(AE311*(1+N('My Debts'!$D$15)/12),2)</f>
        <v>0</v>
      </c>
      <c r="L312" s="39" t="n">
        <f aca="false">MIN(N('My Debts'!$E$6),B312)</f>
        <v>0</v>
      </c>
      <c r="M312" s="39" t="n">
        <f aca="false">MIN(N('My Debts'!$E$7),C312)</f>
        <v>0</v>
      </c>
      <c r="N312" s="39" t="n">
        <f aca="false">MIN(N('My Debts'!$E$8),D312)</f>
        <v>0</v>
      </c>
      <c r="O312" s="39" t="n">
        <f aca="false">MIN(N('My Debts'!$E$9),E312)</f>
        <v>0</v>
      </c>
      <c r="P312" s="39" t="n">
        <f aca="false">MIN(N('My Debts'!$E$10),F312)</f>
        <v>0</v>
      </c>
      <c r="Q312" s="39" t="n">
        <f aca="false">MIN(N('My Debts'!$E$11),G312)</f>
        <v>0</v>
      </c>
      <c r="R312" s="39" t="n">
        <f aca="false">MIN(N('My Debts'!$E$12),H312)</f>
        <v>0</v>
      </c>
      <c r="S312" s="39" t="n">
        <f aca="false">MIN(N('My Debts'!$E$13),I312)</f>
        <v>0</v>
      </c>
      <c r="T312" s="39" t="n">
        <f aca="false">MIN(N('My Debts'!$E$14),J312)</f>
        <v>0</v>
      </c>
      <c r="U312" s="39" t="n">
        <f aca="false">MIN(N('My Debts'!$E$15),K312)</f>
        <v>0</v>
      </c>
      <c r="V312" s="39" t="n">
        <f aca="false">ROUND(B312-L312-MIN(B312-L312,MAX(0,$AF312-SUMPRODUCT(--($B$4:$K$4&lt;B$4),$B312:$K312-$L312:$U312))),2)</f>
        <v>0</v>
      </c>
      <c r="W312" s="39" t="n">
        <f aca="false">ROUND(C312-M312-MIN(C312-M312,MAX(0,$AF312-SUMPRODUCT(--($B$4:$K$4&lt;C$4),$B312:$K312-$L312:$U312))),2)</f>
        <v>0</v>
      </c>
      <c r="X312" s="39" t="n">
        <f aca="false">ROUND(D312-N312-MIN(D312-N312,MAX(0,$AF312-SUMPRODUCT(--($B$4:$K$4&lt;D$4),$B312:$K312-$L312:$U312))),2)</f>
        <v>0</v>
      </c>
      <c r="Y312" s="39" t="n">
        <f aca="false">ROUND(E312-O312-MIN(E312-O312,MAX(0,$AF312-SUMPRODUCT(--($B$4:$K$4&lt;E$4),$B312:$K312-$L312:$U312))),2)</f>
        <v>0</v>
      </c>
      <c r="Z312" s="39" t="n">
        <f aca="false">ROUND(F312-P312-MIN(F312-P312,MAX(0,$AF312-SUMPRODUCT(--($B$4:$K$4&lt;F$4),$B312:$K312-$L312:$U312))),2)</f>
        <v>0</v>
      </c>
      <c r="AA312" s="39" t="n">
        <f aca="false">ROUND(G312-Q312-MIN(G312-Q312,MAX(0,$AF312-SUMPRODUCT(--($B$4:$K$4&lt;G$4),$B312:$K312-$L312:$U312))),2)</f>
        <v>0</v>
      </c>
      <c r="AB312" s="39" t="n">
        <f aca="false">ROUND(H312-R312-MIN(H312-R312,MAX(0,$AF312-SUMPRODUCT(--($B$4:$K$4&lt;H$4),$B312:$K312-$L312:$U312))),2)</f>
        <v>0</v>
      </c>
      <c r="AC312" s="39" t="n">
        <f aca="false">ROUND(I312-S312-MIN(I312-S312,MAX(0,$AF312-SUMPRODUCT(--($B$4:$K$4&lt;I$4),$B312:$K312-$L312:$U312))),2)</f>
        <v>0</v>
      </c>
      <c r="AD312" s="39" t="n">
        <f aca="false">ROUND(J312-T312-MIN(J312-T312,MAX(0,$AF312-SUMPRODUCT(--($B$4:$K$4&lt;J$4),$B312:$K312-$L312:$U312))),2)</f>
        <v>0</v>
      </c>
      <c r="AE312" s="39" t="n">
        <f aca="false">ROUND(K312-U312-MIN(K312-U312,MAX(0,$AF312-SUMPRODUCT(--($B$4:$K$4&lt;K$4),$B312:$K312-$L312:$U312))),2)</f>
        <v>0</v>
      </c>
      <c r="AF312" s="39" t="n">
        <f aca="false">MAX(0,'Start Here'!$C$5-SUM($L312:$U312))</f>
        <v>1200</v>
      </c>
      <c r="AG312" s="39" t="n">
        <f aca="false">SUM(V312:AE312)</f>
        <v>0</v>
      </c>
      <c r="AH312" s="39" t="n">
        <f aca="false">SUM(B312:K312)-AG311</f>
        <v>0</v>
      </c>
    </row>
    <row r="313" customFormat="false" ht="15" hidden="false" customHeight="false" outlineLevel="0" collapsed="false">
      <c r="A313" s="40" t="n">
        <f aca="false">DATE(YEAR('Start Here'!$C$6),MONTH('Start Here'!$C$6)+306,1)</f>
        <v>55610</v>
      </c>
      <c r="B313" s="39" t="n">
        <f aca="false">ROUND(V312*(1+N('My Debts'!$D$6)/12),2)</f>
        <v>0</v>
      </c>
      <c r="C313" s="39" t="n">
        <f aca="false">ROUND(W312*(1+N('My Debts'!$D$7)/12),2)</f>
        <v>0</v>
      </c>
      <c r="D313" s="39" t="n">
        <f aca="false">ROUND(X312*(1+N('My Debts'!$D$8)/12),2)</f>
        <v>0</v>
      </c>
      <c r="E313" s="39" t="n">
        <f aca="false">ROUND(Y312*(1+N('My Debts'!$D$9)/12),2)</f>
        <v>0</v>
      </c>
      <c r="F313" s="39" t="n">
        <f aca="false">ROUND(Z312*(1+N('My Debts'!$D$10)/12),2)</f>
        <v>0</v>
      </c>
      <c r="G313" s="39" t="n">
        <f aca="false">ROUND(AA312*(1+N('My Debts'!$D$11)/12),2)</f>
        <v>0</v>
      </c>
      <c r="H313" s="39" t="n">
        <f aca="false">ROUND(AB312*(1+N('My Debts'!$D$12)/12),2)</f>
        <v>0</v>
      </c>
      <c r="I313" s="39" t="n">
        <f aca="false">ROUND(AC312*(1+N('My Debts'!$D$13)/12),2)</f>
        <v>0</v>
      </c>
      <c r="J313" s="39" t="n">
        <f aca="false">ROUND(AD312*(1+N('My Debts'!$D$14)/12),2)</f>
        <v>0</v>
      </c>
      <c r="K313" s="39" t="n">
        <f aca="false">ROUND(AE312*(1+N('My Debts'!$D$15)/12),2)</f>
        <v>0</v>
      </c>
      <c r="L313" s="39" t="n">
        <f aca="false">MIN(N('My Debts'!$E$6),B313)</f>
        <v>0</v>
      </c>
      <c r="M313" s="39" t="n">
        <f aca="false">MIN(N('My Debts'!$E$7),C313)</f>
        <v>0</v>
      </c>
      <c r="N313" s="39" t="n">
        <f aca="false">MIN(N('My Debts'!$E$8),D313)</f>
        <v>0</v>
      </c>
      <c r="O313" s="39" t="n">
        <f aca="false">MIN(N('My Debts'!$E$9),E313)</f>
        <v>0</v>
      </c>
      <c r="P313" s="39" t="n">
        <f aca="false">MIN(N('My Debts'!$E$10),F313)</f>
        <v>0</v>
      </c>
      <c r="Q313" s="39" t="n">
        <f aca="false">MIN(N('My Debts'!$E$11),G313)</f>
        <v>0</v>
      </c>
      <c r="R313" s="39" t="n">
        <f aca="false">MIN(N('My Debts'!$E$12),H313)</f>
        <v>0</v>
      </c>
      <c r="S313" s="39" t="n">
        <f aca="false">MIN(N('My Debts'!$E$13),I313)</f>
        <v>0</v>
      </c>
      <c r="T313" s="39" t="n">
        <f aca="false">MIN(N('My Debts'!$E$14),J313)</f>
        <v>0</v>
      </c>
      <c r="U313" s="39" t="n">
        <f aca="false">MIN(N('My Debts'!$E$15),K313)</f>
        <v>0</v>
      </c>
      <c r="V313" s="39" t="n">
        <f aca="false">ROUND(B313-L313-MIN(B313-L313,MAX(0,$AF313-SUMPRODUCT(--($B$4:$K$4&lt;B$4),$B313:$K313-$L313:$U313))),2)</f>
        <v>0</v>
      </c>
      <c r="W313" s="39" t="n">
        <f aca="false">ROUND(C313-M313-MIN(C313-M313,MAX(0,$AF313-SUMPRODUCT(--($B$4:$K$4&lt;C$4),$B313:$K313-$L313:$U313))),2)</f>
        <v>0</v>
      </c>
      <c r="X313" s="39" t="n">
        <f aca="false">ROUND(D313-N313-MIN(D313-N313,MAX(0,$AF313-SUMPRODUCT(--($B$4:$K$4&lt;D$4),$B313:$K313-$L313:$U313))),2)</f>
        <v>0</v>
      </c>
      <c r="Y313" s="39" t="n">
        <f aca="false">ROUND(E313-O313-MIN(E313-O313,MAX(0,$AF313-SUMPRODUCT(--($B$4:$K$4&lt;E$4),$B313:$K313-$L313:$U313))),2)</f>
        <v>0</v>
      </c>
      <c r="Z313" s="39" t="n">
        <f aca="false">ROUND(F313-P313-MIN(F313-P313,MAX(0,$AF313-SUMPRODUCT(--($B$4:$K$4&lt;F$4),$B313:$K313-$L313:$U313))),2)</f>
        <v>0</v>
      </c>
      <c r="AA313" s="39" t="n">
        <f aca="false">ROUND(G313-Q313-MIN(G313-Q313,MAX(0,$AF313-SUMPRODUCT(--($B$4:$K$4&lt;G$4),$B313:$K313-$L313:$U313))),2)</f>
        <v>0</v>
      </c>
      <c r="AB313" s="39" t="n">
        <f aca="false">ROUND(H313-R313-MIN(H313-R313,MAX(0,$AF313-SUMPRODUCT(--($B$4:$K$4&lt;H$4),$B313:$K313-$L313:$U313))),2)</f>
        <v>0</v>
      </c>
      <c r="AC313" s="39" t="n">
        <f aca="false">ROUND(I313-S313-MIN(I313-S313,MAX(0,$AF313-SUMPRODUCT(--($B$4:$K$4&lt;I$4),$B313:$K313-$L313:$U313))),2)</f>
        <v>0</v>
      </c>
      <c r="AD313" s="39" t="n">
        <f aca="false">ROUND(J313-T313-MIN(J313-T313,MAX(0,$AF313-SUMPRODUCT(--($B$4:$K$4&lt;J$4),$B313:$K313-$L313:$U313))),2)</f>
        <v>0</v>
      </c>
      <c r="AE313" s="39" t="n">
        <f aca="false">ROUND(K313-U313-MIN(K313-U313,MAX(0,$AF313-SUMPRODUCT(--($B$4:$K$4&lt;K$4),$B313:$K313-$L313:$U313))),2)</f>
        <v>0</v>
      </c>
      <c r="AF313" s="39" t="n">
        <f aca="false">MAX(0,'Start Here'!$C$5-SUM($L313:$U313))</f>
        <v>1200</v>
      </c>
      <c r="AG313" s="39" t="n">
        <f aca="false">SUM(V313:AE313)</f>
        <v>0</v>
      </c>
      <c r="AH313" s="39" t="n">
        <f aca="false">SUM(B313:K313)-AG312</f>
        <v>0</v>
      </c>
    </row>
    <row r="314" customFormat="false" ht="15" hidden="false" customHeight="false" outlineLevel="0" collapsed="false">
      <c r="A314" s="40" t="n">
        <f aca="false">DATE(YEAR('Start Here'!$C$6),MONTH('Start Here'!$C$6)+307,1)</f>
        <v>55640</v>
      </c>
      <c r="B314" s="39" t="n">
        <f aca="false">ROUND(V313*(1+N('My Debts'!$D$6)/12),2)</f>
        <v>0</v>
      </c>
      <c r="C314" s="39" t="n">
        <f aca="false">ROUND(W313*(1+N('My Debts'!$D$7)/12),2)</f>
        <v>0</v>
      </c>
      <c r="D314" s="39" t="n">
        <f aca="false">ROUND(X313*(1+N('My Debts'!$D$8)/12),2)</f>
        <v>0</v>
      </c>
      <c r="E314" s="39" t="n">
        <f aca="false">ROUND(Y313*(1+N('My Debts'!$D$9)/12),2)</f>
        <v>0</v>
      </c>
      <c r="F314" s="39" t="n">
        <f aca="false">ROUND(Z313*(1+N('My Debts'!$D$10)/12),2)</f>
        <v>0</v>
      </c>
      <c r="G314" s="39" t="n">
        <f aca="false">ROUND(AA313*(1+N('My Debts'!$D$11)/12),2)</f>
        <v>0</v>
      </c>
      <c r="H314" s="39" t="n">
        <f aca="false">ROUND(AB313*(1+N('My Debts'!$D$12)/12),2)</f>
        <v>0</v>
      </c>
      <c r="I314" s="39" t="n">
        <f aca="false">ROUND(AC313*(1+N('My Debts'!$D$13)/12),2)</f>
        <v>0</v>
      </c>
      <c r="J314" s="39" t="n">
        <f aca="false">ROUND(AD313*(1+N('My Debts'!$D$14)/12),2)</f>
        <v>0</v>
      </c>
      <c r="K314" s="39" t="n">
        <f aca="false">ROUND(AE313*(1+N('My Debts'!$D$15)/12),2)</f>
        <v>0</v>
      </c>
      <c r="L314" s="39" t="n">
        <f aca="false">MIN(N('My Debts'!$E$6),B314)</f>
        <v>0</v>
      </c>
      <c r="M314" s="39" t="n">
        <f aca="false">MIN(N('My Debts'!$E$7),C314)</f>
        <v>0</v>
      </c>
      <c r="N314" s="39" t="n">
        <f aca="false">MIN(N('My Debts'!$E$8),D314)</f>
        <v>0</v>
      </c>
      <c r="O314" s="39" t="n">
        <f aca="false">MIN(N('My Debts'!$E$9),E314)</f>
        <v>0</v>
      </c>
      <c r="P314" s="39" t="n">
        <f aca="false">MIN(N('My Debts'!$E$10),F314)</f>
        <v>0</v>
      </c>
      <c r="Q314" s="39" t="n">
        <f aca="false">MIN(N('My Debts'!$E$11),G314)</f>
        <v>0</v>
      </c>
      <c r="R314" s="39" t="n">
        <f aca="false">MIN(N('My Debts'!$E$12),H314)</f>
        <v>0</v>
      </c>
      <c r="S314" s="39" t="n">
        <f aca="false">MIN(N('My Debts'!$E$13),I314)</f>
        <v>0</v>
      </c>
      <c r="T314" s="39" t="n">
        <f aca="false">MIN(N('My Debts'!$E$14),J314)</f>
        <v>0</v>
      </c>
      <c r="U314" s="39" t="n">
        <f aca="false">MIN(N('My Debts'!$E$15),K314)</f>
        <v>0</v>
      </c>
      <c r="V314" s="39" t="n">
        <f aca="false">ROUND(B314-L314-MIN(B314-L314,MAX(0,$AF314-SUMPRODUCT(--($B$4:$K$4&lt;B$4),$B314:$K314-$L314:$U314))),2)</f>
        <v>0</v>
      </c>
      <c r="W314" s="39" t="n">
        <f aca="false">ROUND(C314-M314-MIN(C314-M314,MAX(0,$AF314-SUMPRODUCT(--($B$4:$K$4&lt;C$4),$B314:$K314-$L314:$U314))),2)</f>
        <v>0</v>
      </c>
      <c r="X314" s="39" t="n">
        <f aca="false">ROUND(D314-N314-MIN(D314-N314,MAX(0,$AF314-SUMPRODUCT(--($B$4:$K$4&lt;D$4),$B314:$K314-$L314:$U314))),2)</f>
        <v>0</v>
      </c>
      <c r="Y314" s="39" t="n">
        <f aca="false">ROUND(E314-O314-MIN(E314-O314,MAX(0,$AF314-SUMPRODUCT(--($B$4:$K$4&lt;E$4),$B314:$K314-$L314:$U314))),2)</f>
        <v>0</v>
      </c>
      <c r="Z314" s="39" t="n">
        <f aca="false">ROUND(F314-P314-MIN(F314-P314,MAX(0,$AF314-SUMPRODUCT(--($B$4:$K$4&lt;F$4),$B314:$K314-$L314:$U314))),2)</f>
        <v>0</v>
      </c>
      <c r="AA314" s="39" t="n">
        <f aca="false">ROUND(G314-Q314-MIN(G314-Q314,MAX(0,$AF314-SUMPRODUCT(--($B$4:$K$4&lt;G$4),$B314:$K314-$L314:$U314))),2)</f>
        <v>0</v>
      </c>
      <c r="AB314" s="39" t="n">
        <f aca="false">ROUND(H314-R314-MIN(H314-R314,MAX(0,$AF314-SUMPRODUCT(--($B$4:$K$4&lt;H$4),$B314:$K314-$L314:$U314))),2)</f>
        <v>0</v>
      </c>
      <c r="AC314" s="39" t="n">
        <f aca="false">ROUND(I314-S314-MIN(I314-S314,MAX(0,$AF314-SUMPRODUCT(--($B$4:$K$4&lt;I$4),$B314:$K314-$L314:$U314))),2)</f>
        <v>0</v>
      </c>
      <c r="AD314" s="39" t="n">
        <f aca="false">ROUND(J314-T314-MIN(J314-T314,MAX(0,$AF314-SUMPRODUCT(--($B$4:$K$4&lt;J$4),$B314:$K314-$L314:$U314))),2)</f>
        <v>0</v>
      </c>
      <c r="AE314" s="39" t="n">
        <f aca="false">ROUND(K314-U314-MIN(K314-U314,MAX(0,$AF314-SUMPRODUCT(--($B$4:$K$4&lt;K$4),$B314:$K314-$L314:$U314))),2)</f>
        <v>0</v>
      </c>
      <c r="AF314" s="39" t="n">
        <f aca="false">MAX(0,'Start Here'!$C$5-SUM($L314:$U314))</f>
        <v>1200</v>
      </c>
      <c r="AG314" s="39" t="n">
        <f aca="false">SUM(V314:AE314)</f>
        <v>0</v>
      </c>
      <c r="AH314" s="39" t="n">
        <f aca="false">SUM(B314:K314)-AG313</f>
        <v>0</v>
      </c>
    </row>
    <row r="315" customFormat="false" ht="15" hidden="false" customHeight="false" outlineLevel="0" collapsed="false">
      <c r="A315" s="40" t="n">
        <f aca="false">DATE(YEAR('Start Here'!$C$6),MONTH('Start Here'!$C$6)+308,1)</f>
        <v>55671</v>
      </c>
      <c r="B315" s="39" t="n">
        <f aca="false">ROUND(V314*(1+N('My Debts'!$D$6)/12),2)</f>
        <v>0</v>
      </c>
      <c r="C315" s="39" t="n">
        <f aca="false">ROUND(W314*(1+N('My Debts'!$D$7)/12),2)</f>
        <v>0</v>
      </c>
      <c r="D315" s="39" t="n">
        <f aca="false">ROUND(X314*(1+N('My Debts'!$D$8)/12),2)</f>
        <v>0</v>
      </c>
      <c r="E315" s="39" t="n">
        <f aca="false">ROUND(Y314*(1+N('My Debts'!$D$9)/12),2)</f>
        <v>0</v>
      </c>
      <c r="F315" s="39" t="n">
        <f aca="false">ROUND(Z314*(1+N('My Debts'!$D$10)/12),2)</f>
        <v>0</v>
      </c>
      <c r="G315" s="39" t="n">
        <f aca="false">ROUND(AA314*(1+N('My Debts'!$D$11)/12),2)</f>
        <v>0</v>
      </c>
      <c r="H315" s="39" t="n">
        <f aca="false">ROUND(AB314*(1+N('My Debts'!$D$12)/12),2)</f>
        <v>0</v>
      </c>
      <c r="I315" s="39" t="n">
        <f aca="false">ROUND(AC314*(1+N('My Debts'!$D$13)/12),2)</f>
        <v>0</v>
      </c>
      <c r="J315" s="39" t="n">
        <f aca="false">ROUND(AD314*(1+N('My Debts'!$D$14)/12),2)</f>
        <v>0</v>
      </c>
      <c r="K315" s="39" t="n">
        <f aca="false">ROUND(AE314*(1+N('My Debts'!$D$15)/12),2)</f>
        <v>0</v>
      </c>
      <c r="L315" s="39" t="n">
        <f aca="false">MIN(N('My Debts'!$E$6),B315)</f>
        <v>0</v>
      </c>
      <c r="M315" s="39" t="n">
        <f aca="false">MIN(N('My Debts'!$E$7),C315)</f>
        <v>0</v>
      </c>
      <c r="N315" s="39" t="n">
        <f aca="false">MIN(N('My Debts'!$E$8),D315)</f>
        <v>0</v>
      </c>
      <c r="O315" s="39" t="n">
        <f aca="false">MIN(N('My Debts'!$E$9),E315)</f>
        <v>0</v>
      </c>
      <c r="P315" s="39" t="n">
        <f aca="false">MIN(N('My Debts'!$E$10),F315)</f>
        <v>0</v>
      </c>
      <c r="Q315" s="39" t="n">
        <f aca="false">MIN(N('My Debts'!$E$11),G315)</f>
        <v>0</v>
      </c>
      <c r="R315" s="39" t="n">
        <f aca="false">MIN(N('My Debts'!$E$12),H315)</f>
        <v>0</v>
      </c>
      <c r="S315" s="39" t="n">
        <f aca="false">MIN(N('My Debts'!$E$13),I315)</f>
        <v>0</v>
      </c>
      <c r="T315" s="39" t="n">
        <f aca="false">MIN(N('My Debts'!$E$14),J315)</f>
        <v>0</v>
      </c>
      <c r="U315" s="39" t="n">
        <f aca="false">MIN(N('My Debts'!$E$15),K315)</f>
        <v>0</v>
      </c>
      <c r="V315" s="39" t="n">
        <f aca="false">ROUND(B315-L315-MIN(B315-L315,MAX(0,$AF315-SUMPRODUCT(--($B$4:$K$4&lt;B$4),$B315:$K315-$L315:$U315))),2)</f>
        <v>0</v>
      </c>
      <c r="W315" s="39" t="n">
        <f aca="false">ROUND(C315-M315-MIN(C315-M315,MAX(0,$AF315-SUMPRODUCT(--($B$4:$K$4&lt;C$4),$B315:$K315-$L315:$U315))),2)</f>
        <v>0</v>
      </c>
      <c r="X315" s="39" t="n">
        <f aca="false">ROUND(D315-N315-MIN(D315-N315,MAX(0,$AF315-SUMPRODUCT(--($B$4:$K$4&lt;D$4),$B315:$K315-$L315:$U315))),2)</f>
        <v>0</v>
      </c>
      <c r="Y315" s="39" t="n">
        <f aca="false">ROUND(E315-O315-MIN(E315-O315,MAX(0,$AF315-SUMPRODUCT(--($B$4:$K$4&lt;E$4),$B315:$K315-$L315:$U315))),2)</f>
        <v>0</v>
      </c>
      <c r="Z315" s="39" t="n">
        <f aca="false">ROUND(F315-P315-MIN(F315-P315,MAX(0,$AF315-SUMPRODUCT(--($B$4:$K$4&lt;F$4),$B315:$K315-$L315:$U315))),2)</f>
        <v>0</v>
      </c>
      <c r="AA315" s="39" t="n">
        <f aca="false">ROUND(G315-Q315-MIN(G315-Q315,MAX(0,$AF315-SUMPRODUCT(--($B$4:$K$4&lt;G$4),$B315:$K315-$L315:$U315))),2)</f>
        <v>0</v>
      </c>
      <c r="AB315" s="39" t="n">
        <f aca="false">ROUND(H315-R315-MIN(H315-R315,MAX(0,$AF315-SUMPRODUCT(--($B$4:$K$4&lt;H$4),$B315:$K315-$L315:$U315))),2)</f>
        <v>0</v>
      </c>
      <c r="AC315" s="39" t="n">
        <f aca="false">ROUND(I315-S315-MIN(I315-S315,MAX(0,$AF315-SUMPRODUCT(--($B$4:$K$4&lt;I$4),$B315:$K315-$L315:$U315))),2)</f>
        <v>0</v>
      </c>
      <c r="AD315" s="39" t="n">
        <f aca="false">ROUND(J315-T315-MIN(J315-T315,MAX(0,$AF315-SUMPRODUCT(--($B$4:$K$4&lt;J$4),$B315:$K315-$L315:$U315))),2)</f>
        <v>0</v>
      </c>
      <c r="AE315" s="39" t="n">
        <f aca="false">ROUND(K315-U315-MIN(K315-U315,MAX(0,$AF315-SUMPRODUCT(--($B$4:$K$4&lt;K$4),$B315:$K315-$L315:$U315))),2)</f>
        <v>0</v>
      </c>
      <c r="AF315" s="39" t="n">
        <f aca="false">MAX(0,'Start Here'!$C$5-SUM($L315:$U315))</f>
        <v>1200</v>
      </c>
      <c r="AG315" s="39" t="n">
        <f aca="false">SUM(V315:AE315)</f>
        <v>0</v>
      </c>
      <c r="AH315" s="39" t="n">
        <f aca="false">SUM(B315:K315)-AG314</f>
        <v>0</v>
      </c>
    </row>
    <row r="316" customFormat="false" ht="15" hidden="false" customHeight="false" outlineLevel="0" collapsed="false">
      <c r="A316" s="40" t="n">
        <f aca="false">DATE(YEAR('Start Here'!$C$6),MONTH('Start Here'!$C$6)+309,1)</f>
        <v>55701</v>
      </c>
      <c r="B316" s="39" t="n">
        <f aca="false">ROUND(V315*(1+N('My Debts'!$D$6)/12),2)</f>
        <v>0</v>
      </c>
      <c r="C316" s="39" t="n">
        <f aca="false">ROUND(W315*(1+N('My Debts'!$D$7)/12),2)</f>
        <v>0</v>
      </c>
      <c r="D316" s="39" t="n">
        <f aca="false">ROUND(X315*(1+N('My Debts'!$D$8)/12),2)</f>
        <v>0</v>
      </c>
      <c r="E316" s="39" t="n">
        <f aca="false">ROUND(Y315*(1+N('My Debts'!$D$9)/12),2)</f>
        <v>0</v>
      </c>
      <c r="F316" s="39" t="n">
        <f aca="false">ROUND(Z315*(1+N('My Debts'!$D$10)/12),2)</f>
        <v>0</v>
      </c>
      <c r="G316" s="39" t="n">
        <f aca="false">ROUND(AA315*(1+N('My Debts'!$D$11)/12),2)</f>
        <v>0</v>
      </c>
      <c r="H316" s="39" t="n">
        <f aca="false">ROUND(AB315*(1+N('My Debts'!$D$12)/12),2)</f>
        <v>0</v>
      </c>
      <c r="I316" s="39" t="n">
        <f aca="false">ROUND(AC315*(1+N('My Debts'!$D$13)/12),2)</f>
        <v>0</v>
      </c>
      <c r="J316" s="39" t="n">
        <f aca="false">ROUND(AD315*(1+N('My Debts'!$D$14)/12),2)</f>
        <v>0</v>
      </c>
      <c r="K316" s="39" t="n">
        <f aca="false">ROUND(AE315*(1+N('My Debts'!$D$15)/12),2)</f>
        <v>0</v>
      </c>
      <c r="L316" s="39" t="n">
        <f aca="false">MIN(N('My Debts'!$E$6),B316)</f>
        <v>0</v>
      </c>
      <c r="M316" s="39" t="n">
        <f aca="false">MIN(N('My Debts'!$E$7),C316)</f>
        <v>0</v>
      </c>
      <c r="N316" s="39" t="n">
        <f aca="false">MIN(N('My Debts'!$E$8),D316)</f>
        <v>0</v>
      </c>
      <c r="O316" s="39" t="n">
        <f aca="false">MIN(N('My Debts'!$E$9),E316)</f>
        <v>0</v>
      </c>
      <c r="P316" s="39" t="n">
        <f aca="false">MIN(N('My Debts'!$E$10),F316)</f>
        <v>0</v>
      </c>
      <c r="Q316" s="39" t="n">
        <f aca="false">MIN(N('My Debts'!$E$11),G316)</f>
        <v>0</v>
      </c>
      <c r="R316" s="39" t="n">
        <f aca="false">MIN(N('My Debts'!$E$12),H316)</f>
        <v>0</v>
      </c>
      <c r="S316" s="39" t="n">
        <f aca="false">MIN(N('My Debts'!$E$13),I316)</f>
        <v>0</v>
      </c>
      <c r="T316" s="39" t="n">
        <f aca="false">MIN(N('My Debts'!$E$14),J316)</f>
        <v>0</v>
      </c>
      <c r="U316" s="39" t="n">
        <f aca="false">MIN(N('My Debts'!$E$15),K316)</f>
        <v>0</v>
      </c>
      <c r="V316" s="39" t="n">
        <f aca="false">ROUND(B316-L316-MIN(B316-L316,MAX(0,$AF316-SUMPRODUCT(--($B$4:$K$4&lt;B$4),$B316:$K316-$L316:$U316))),2)</f>
        <v>0</v>
      </c>
      <c r="W316" s="39" t="n">
        <f aca="false">ROUND(C316-M316-MIN(C316-M316,MAX(0,$AF316-SUMPRODUCT(--($B$4:$K$4&lt;C$4),$B316:$K316-$L316:$U316))),2)</f>
        <v>0</v>
      </c>
      <c r="X316" s="39" t="n">
        <f aca="false">ROUND(D316-N316-MIN(D316-N316,MAX(0,$AF316-SUMPRODUCT(--($B$4:$K$4&lt;D$4),$B316:$K316-$L316:$U316))),2)</f>
        <v>0</v>
      </c>
      <c r="Y316" s="39" t="n">
        <f aca="false">ROUND(E316-O316-MIN(E316-O316,MAX(0,$AF316-SUMPRODUCT(--($B$4:$K$4&lt;E$4),$B316:$K316-$L316:$U316))),2)</f>
        <v>0</v>
      </c>
      <c r="Z316" s="39" t="n">
        <f aca="false">ROUND(F316-P316-MIN(F316-P316,MAX(0,$AF316-SUMPRODUCT(--($B$4:$K$4&lt;F$4),$B316:$K316-$L316:$U316))),2)</f>
        <v>0</v>
      </c>
      <c r="AA316" s="39" t="n">
        <f aca="false">ROUND(G316-Q316-MIN(G316-Q316,MAX(0,$AF316-SUMPRODUCT(--($B$4:$K$4&lt;G$4),$B316:$K316-$L316:$U316))),2)</f>
        <v>0</v>
      </c>
      <c r="AB316" s="39" t="n">
        <f aca="false">ROUND(H316-R316-MIN(H316-R316,MAX(0,$AF316-SUMPRODUCT(--($B$4:$K$4&lt;H$4),$B316:$K316-$L316:$U316))),2)</f>
        <v>0</v>
      </c>
      <c r="AC316" s="39" t="n">
        <f aca="false">ROUND(I316-S316-MIN(I316-S316,MAX(0,$AF316-SUMPRODUCT(--($B$4:$K$4&lt;I$4),$B316:$K316-$L316:$U316))),2)</f>
        <v>0</v>
      </c>
      <c r="AD316" s="39" t="n">
        <f aca="false">ROUND(J316-T316-MIN(J316-T316,MAX(0,$AF316-SUMPRODUCT(--($B$4:$K$4&lt;J$4),$B316:$K316-$L316:$U316))),2)</f>
        <v>0</v>
      </c>
      <c r="AE316" s="39" t="n">
        <f aca="false">ROUND(K316-U316-MIN(K316-U316,MAX(0,$AF316-SUMPRODUCT(--($B$4:$K$4&lt;K$4),$B316:$K316-$L316:$U316))),2)</f>
        <v>0</v>
      </c>
      <c r="AF316" s="39" t="n">
        <f aca="false">MAX(0,'Start Here'!$C$5-SUM($L316:$U316))</f>
        <v>1200</v>
      </c>
      <c r="AG316" s="39" t="n">
        <f aca="false">SUM(V316:AE316)</f>
        <v>0</v>
      </c>
      <c r="AH316" s="39" t="n">
        <f aca="false">SUM(B316:K316)-AG315</f>
        <v>0</v>
      </c>
    </row>
    <row r="317" customFormat="false" ht="15" hidden="false" customHeight="false" outlineLevel="0" collapsed="false">
      <c r="A317" s="40" t="n">
        <f aca="false">DATE(YEAR('Start Here'!$C$6),MONTH('Start Here'!$C$6)+310,1)</f>
        <v>55732</v>
      </c>
      <c r="B317" s="39" t="n">
        <f aca="false">ROUND(V316*(1+N('My Debts'!$D$6)/12),2)</f>
        <v>0</v>
      </c>
      <c r="C317" s="39" t="n">
        <f aca="false">ROUND(W316*(1+N('My Debts'!$D$7)/12),2)</f>
        <v>0</v>
      </c>
      <c r="D317" s="39" t="n">
        <f aca="false">ROUND(X316*(1+N('My Debts'!$D$8)/12),2)</f>
        <v>0</v>
      </c>
      <c r="E317" s="39" t="n">
        <f aca="false">ROUND(Y316*(1+N('My Debts'!$D$9)/12),2)</f>
        <v>0</v>
      </c>
      <c r="F317" s="39" t="n">
        <f aca="false">ROUND(Z316*(1+N('My Debts'!$D$10)/12),2)</f>
        <v>0</v>
      </c>
      <c r="G317" s="39" t="n">
        <f aca="false">ROUND(AA316*(1+N('My Debts'!$D$11)/12),2)</f>
        <v>0</v>
      </c>
      <c r="H317" s="39" t="n">
        <f aca="false">ROUND(AB316*(1+N('My Debts'!$D$12)/12),2)</f>
        <v>0</v>
      </c>
      <c r="I317" s="39" t="n">
        <f aca="false">ROUND(AC316*(1+N('My Debts'!$D$13)/12),2)</f>
        <v>0</v>
      </c>
      <c r="J317" s="39" t="n">
        <f aca="false">ROUND(AD316*(1+N('My Debts'!$D$14)/12),2)</f>
        <v>0</v>
      </c>
      <c r="K317" s="39" t="n">
        <f aca="false">ROUND(AE316*(1+N('My Debts'!$D$15)/12),2)</f>
        <v>0</v>
      </c>
      <c r="L317" s="39" t="n">
        <f aca="false">MIN(N('My Debts'!$E$6),B317)</f>
        <v>0</v>
      </c>
      <c r="M317" s="39" t="n">
        <f aca="false">MIN(N('My Debts'!$E$7),C317)</f>
        <v>0</v>
      </c>
      <c r="N317" s="39" t="n">
        <f aca="false">MIN(N('My Debts'!$E$8),D317)</f>
        <v>0</v>
      </c>
      <c r="O317" s="39" t="n">
        <f aca="false">MIN(N('My Debts'!$E$9),E317)</f>
        <v>0</v>
      </c>
      <c r="P317" s="39" t="n">
        <f aca="false">MIN(N('My Debts'!$E$10),F317)</f>
        <v>0</v>
      </c>
      <c r="Q317" s="39" t="n">
        <f aca="false">MIN(N('My Debts'!$E$11),G317)</f>
        <v>0</v>
      </c>
      <c r="R317" s="39" t="n">
        <f aca="false">MIN(N('My Debts'!$E$12),H317)</f>
        <v>0</v>
      </c>
      <c r="S317" s="39" t="n">
        <f aca="false">MIN(N('My Debts'!$E$13),I317)</f>
        <v>0</v>
      </c>
      <c r="T317" s="39" t="n">
        <f aca="false">MIN(N('My Debts'!$E$14),J317)</f>
        <v>0</v>
      </c>
      <c r="U317" s="39" t="n">
        <f aca="false">MIN(N('My Debts'!$E$15),K317)</f>
        <v>0</v>
      </c>
      <c r="V317" s="39" t="n">
        <f aca="false">ROUND(B317-L317-MIN(B317-L317,MAX(0,$AF317-SUMPRODUCT(--($B$4:$K$4&lt;B$4),$B317:$K317-$L317:$U317))),2)</f>
        <v>0</v>
      </c>
      <c r="W317" s="39" t="n">
        <f aca="false">ROUND(C317-M317-MIN(C317-M317,MAX(0,$AF317-SUMPRODUCT(--($B$4:$K$4&lt;C$4),$B317:$K317-$L317:$U317))),2)</f>
        <v>0</v>
      </c>
      <c r="X317" s="39" t="n">
        <f aca="false">ROUND(D317-N317-MIN(D317-N317,MAX(0,$AF317-SUMPRODUCT(--($B$4:$K$4&lt;D$4),$B317:$K317-$L317:$U317))),2)</f>
        <v>0</v>
      </c>
      <c r="Y317" s="39" t="n">
        <f aca="false">ROUND(E317-O317-MIN(E317-O317,MAX(0,$AF317-SUMPRODUCT(--($B$4:$K$4&lt;E$4),$B317:$K317-$L317:$U317))),2)</f>
        <v>0</v>
      </c>
      <c r="Z317" s="39" t="n">
        <f aca="false">ROUND(F317-P317-MIN(F317-P317,MAX(0,$AF317-SUMPRODUCT(--($B$4:$K$4&lt;F$4),$B317:$K317-$L317:$U317))),2)</f>
        <v>0</v>
      </c>
      <c r="AA317" s="39" t="n">
        <f aca="false">ROUND(G317-Q317-MIN(G317-Q317,MAX(0,$AF317-SUMPRODUCT(--($B$4:$K$4&lt;G$4),$B317:$K317-$L317:$U317))),2)</f>
        <v>0</v>
      </c>
      <c r="AB317" s="39" t="n">
        <f aca="false">ROUND(H317-R317-MIN(H317-R317,MAX(0,$AF317-SUMPRODUCT(--($B$4:$K$4&lt;H$4),$B317:$K317-$L317:$U317))),2)</f>
        <v>0</v>
      </c>
      <c r="AC317" s="39" t="n">
        <f aca="false">ROUND(I317-S317-MIN(I317-S317,MAX(0,$AF317-SUMPRODUCT(--($B$4:$K$4&lt;I$4),$B317:$K317-$L317:$U317))),2)</f>
        <v>0</v>
      </c>
      <c r="AD317" s="39" t="n">
        <f aca="false">ROUND(J317-T317-MIN(J317-T317,MAX(0,$AF317-SUMPRODUCT(--($B$4:$K$4&lt;J$4),$B317:$K317-$L317:$U317))),2)</f>
        <v>0</v>
      </c>
      <c r="AE317" s="39" t="n">
        <f aca="false">ROUND(K317-U317-MIN(K317-U317,MAX(0,$AF317-SUMPRODUCT(--($B$4:$K$4&lt;K$4),$B317:$K317-$L317:$U317))),2)</f>
        <v>0</v>
      </c>
      <c r="AF317" s="39" t="n">
        <f aca="false">MAX(0,'Start Here'!$C$5-SUM($L317:$U317))</f>
        <v>1200</v>
      </c>
      <c r="AG317" s="39" t="n">
        <f aca="false">SUM(V317:AE317)</f>
        <v>0</v>
      </c>
      <c r="AH317" s="39" t="n">
        <f aca="false">SUM(B317:K317)-AG316</f>
        <v>0</v>
      </c>
    </row>
    <row r="318" customFormat="false" ht="15" hidden="false" customHeight="false" outlineLevel="0" collapsed="false">
      <c r="A318" s="40" t="n">
        <f aca="false">DATE(YEAR('Start Here'!$C$6),MONTH('Start Here'!$C$6)+311,1)</f>
        <v>55763</v>
      </c>
      <c r="B318" s="39" t="n">
        <f aca="false">ROUND(V317*(1+N('My Debts'!$D$6)/12),2)</f>
        <v>0</v>
      </c>
      <c r="C318" s="39" t="n">
        <f aca="false">ROUND(W317*(1+N('My Debts'!$D$7)/12),2)</f>
        <v>0</v>
      </c>
      <c r="D318" s="39" t="n">
        <f aca="false">ROUND(X317*(1+N('My Debts'!$D$8)/12),2)</f>
        <v>0</v>
      </c>
      <c r="E318" s="39" t="n">
        <f aca="false">ROUND(Y317*(1+N('My Debts'!$D$9)/12),2)</f>
        <v>0</v>
      </c>
      <c r="F318" s="39" t="n">
        <f aca="false">ROUND(Z317*(1+N('My Debts'!$D$10)/12),2)</f>
        <v>0</v>
      </c>
      <c r="G318" s="39" t="n">
        <f aca="false">ROUND(AA317*(1+N('My Debts'!$D$11)/12),2)</f>
        <v>0</v>
      </c>
      <c r="H318" s="39" t="n">
        <f aca="false">ROUND(AB317*(1+N('My Debts'!$D$12)/12),2)</f>
        <v>0</v>
      </c>
      <c r="I318" s="39" t="n">
        <f aca="false">ROUND(AC317*(1+N('My Debts'!$D$13)/12),2)</f>
        <v>0</v>
      </c>
      <c r="J318" s="39" t="n">
        <f aca="false">ROUND(AD317*(1+N('My Debts'!$D$14)/12),2)</f>
        <v>0</v>
      </c>
      <c r="K318" s="39" t="n">
        <f aca="false">ROUND(AE317*(1+N('My Debts'!$D$15)/12),2)</f>
        <v>0</v>
      </c>
      <c r="L318" s="39" t="n">
        <f aca="false">MIN(N('My Debts'!$E$6),B318)</f>
        <v>0</v>
      </c>
      <c r="M318" s="39" t="n">
        <f aca="false">MIN(N('My Debts'!$E$7),C318)</f>
        <v>0</v>
      </c>
      <c r="N318" s="39" t="n">
        <f aca="false">MIN(N('My Debts'!$E$8),D318)</f>
        <v>0</v>
      </c>
      <c r="O318" s="39" t="n">
        <f aca="false">MIN(N('My Debts'!$E$9),E318)</f>
        <v>0</v>
      </c>
      <c r="P318" s="39" t="n">
        <f aca="false">MIN(N('My Debts'!$E$10),F318)</f>
        <v>0</v>
      </c>
      <c r="Q318" s="39" t="n">
        <f aca="false">MIN(N('My Debts'!$E$11),G318)</f>
        <v>0</v>
      </c>
      <c r="R318" s="39" t="n">
        <f aca="false">MIN(N('My Debts'!$E$12),H318)</f>
        <v>0</v>
      </c>
      <c r="S318" s="39" t="n">
        <f aca="false">MIN(N('My Debts'!$E$13),I318)</f>
        <v>0</v>
      </c>
      <c r="T318" s="39" t="n">
        <f aca="false">MIN(N('My Debts'!$E$14),J318)</f>
        <v>0</v>
      </c>
      <c r="U318" s="39" t="n">
        <f aca="false">MIN(N('My Debts'!$E$15),K318)</f>
        <v>0</v>
      </c>
      <c r="V318" s="39" t="n">
        <f aca="false">ROUND(B318-L318-MIN(B318-L318,MAX(0,$AF318-SUMPRODUCT(--($B$4:$K$4&lt;B$4),$B318:$K318-$L318:$U318))),2)</f>
        <v>0</v>
      </c>
      <c r="W318" s="39" t="n">
        <f aca="false">ROUND(C318-M318-MIN(C318-M318,MAX(0,$AF318-SUMPRODUCT(--($B$4:$K$4&lt;C$4),$B318:$K318-$L318:$U318))),2)</f>
        <v>0</v>
      </c>
      <c r="X318" s="39" t="n">
        <f aca="false">ROUND(D318-N318-MIN(D318-N318,MAX(0,$AF318-SUMPRODUCT(--($B$4:$K$4&lt;D$4),$B318:$K318-$L318:$U318))),2)</f>
        <v>0</v>
      </c>
      <c r="Y318" s="39" t="n">
        <f aca="false">ROUND(E318-O318-MIN(E318-O318,MAX(0,$AF318-SUMPRODUCT(--($B$4:$K$4&lt;E$4),$B318:$K318-$L318:$U318))),2)</f>
        <v>0</v>
      </c>
      <c r="Z318" s="39" t="n">
        <f aca="false">ROUND(F318-P318-MIN(F318-P318,MAX(0,$AF318-SUMPRODUCT(--($B$4:$K$4&lt;F$4),$B318:$K318-$L318:$U318))),2)</f>
        <v>0</v>
      </c>
      <c r="AA318" s="39" t="n">
        <f aca="false">ROUND(G318-Q318-MIN(G318-Q318,MAX(0,$AF318-SUMPRODUCT(--($B$4:$K$4&lt;G$4),$B318:$K318-$L318:$U318))),2)</f>
        <v>0</v>
      </c>
      <c r="AB318" s="39" t="n">
        <f aca="false">ROUND(H318-R318-MIN(H318-R318,MAX(0,$AF318-SUMPRODUCT(--($B$4:$K$4&lt;H$4),$B318:$K318-$L318:$U318))),2)</f>
        <v>0</v>
      </c>
      <c r="AC318" s="39" t="n">
        <f aca="false">ROUND(I318-S318-MIN(I318-S318,MAX(0,$AF318-SUMPRODUCT(--($B$4:$K$4&lt;I$4),$B318:$K318-$L318:$U318))),2)</f>
        <v>0</v>
      </c>
      <c r="AD318" s="39" t="n">
        <f aca="false">ROUND(J318-T318-MIN(J318-T318,MAX(0,$AF318-SUMPRODUCT(--($B$4:$K$4&lt;J$4),$B318:$K318-$L318:$U318))),2)</f>
        <v>0</v>
      </c>
      <c r="AE318" s="39" t="n">
        <f aca="false">ROUND(K318-U318-MIN(K318-U318,MAX(0,$AF318-SUMPRODUCT(--($B$4:$K$4&lt;K$4),$B318:$K318-$L318:$U318))),2)</f>
        <v>0</v>
      </c>
      <c r="AF318" s="39" t="n">
        <f aca="false">MAX(0,'Start Here'!$C$5-SUM($L318:$U318))</f>
        <v>1200</v>
      </c>
      <c r="AG318" s="39" t="n">
        <f aca="false">SUM(V318:AE318)</f>
        <v>0</v>
      </c>
      <c r="AH318" s="39" t="n">
        <f aca="false">SUM(B318:K318)-AG317</f>
        <v>0</v>
      </c>
    </row>
    <row r="319" customFormat="false" ht="15" hidden="false" customHeight="false" outlineLevel="0" collapsed="false">
      <c r="A319" s="40" t="n">
        <f aca="false">DATE(YEAR('Start Here'!$C$6),MONTH('Start Here'!$C$6)+312,1)</f>
        <v>55793</v>
      </c>
      <c r="B319" s="39" t="n">
        <f aca="false">ROUND(V318*(1+N('My Debts'!$D$6)/12),2)</f>
        <v>0</v>
      </c>
      <c r="C319" s="39" t="n">
        <f aca="false">ROUND(W318*(1+N('My Debts'!$D$7)/12),2)</f>
        <v>0</v>
      </c>
      <c r="D319" s="39" t="n">
        <f aca="false">ROUND(X318*(1+N('My Debts'!$D$8)/12),2)</f>
        <v>0</v>
      </c>
      <c r="E319" s="39" t="n">
        <f aca="false">ROUND(Y318*(1+N('My Debts'!$D$9)/12),2)</f>
        <v>0</v>
      </c>
      <c r="F319" s="39" t="n">
        <f aca="false">ROUND(Z318*(1+N('My Debts'!$D$10)/12),2)</f>
        <v>0</v>
      </c>
      <c r="G319" s="39" t="n">
        <f aca="false">ROUND(AA318*(1+N('My Debts'!$D$11)/12),2)</f>
        <v>0</v>
      </c>
      <c r="H319" s="39" t="n">
        <f aca="false">ROUND(AB318*(1+N('My Debts'!$D$12)/12),2)</f>
        <v>0</v>
      </c>
      <c r="I319" s="39" t="n">
        <f aca="false">ROUND(AC318*(1+N('My Debts'!$D$13)/12),2)</f>
        <v>0</v>
      </c>
      <c r="J319" s="39" t="n">
        <f aca="false">ROUND(AD318*(1+N('My Debts'!$D$14)/12),2)</f>
        <v>0</v>
      </c>
      <c r="K319" s="39" t="n">
        <f aca="false">ROUND(AE318*(1+N('My Debts'!$D$15)/12),2)</f>
        <v>0</v>
      </c>
      <c r="L319" s="39" t="n">
        <f aca="false">MIN(N('My Debts'!$E$6),B319)</f>
        <v>0</v>
      </c>
      <c r="M319" s="39" t="n">
        <f aca="false">MIN(N('My Debts'!$E$7),C319)</f>
        <v>0</v>
      </c>
      <c r="N319" s="39" t="n">
        <f aca="false">MIN(N('My Debts'!$E$8),D319)</f>
        <v>0</v>
      </c>
      <c r="O319" s="39" t="n">
        <f aca="false">MIN(N('My Debts'!$E$9),E319)</f>
        <v>0</v>
      </c>
      <c r="P319" s="39" t="n">
        <f aca="false">MIN(N('My Debts'!$E$10),F319)</f>
        <v>0</v>
      </c>
      <c r="Q319" s="39" t="n">
        <f aca="false">MIN(N('My Debts'!$E$11),G319)</f>
        <v>0</v>
      </c>
      <c r="R319" s="39" t="n">
        <f aca="false">MIN(N('My Debts'!$E$12),H319)</f>
        <v>0</v>
      </c>
      <c r="S319" s="39" t="n">
        <f aca="false">MIN(N('My Debts'!$E$13),I319)</f>
        <v>0</v>
      </c>
      <c r="T319" s="39" t="n">
        <f aca="false">MIN(N('My Debts'!$E$14),J319)</f>
        <v>0</v>
      </c>
      <c r="U319" s="39" t="n">
        <f aca="false">MIN(N('My Debts'!$E$15),K319)</f>
        <v>0</v>
      </c>
      <c r="V319" s="39" t="n">
        <f aca="false">ROUND(B319-L319-MIN(B319-L319,MAX(0,$AF319-SUMPRODUCT(--($B$4:$K$4&lt;B$4),$B319:$K319-$L319:$U319))),2)</f>
        <v>0</v>
      </c>
      <c r="W319" s="39" t="n">
        <f aca="false">ROUND(C319-M319-MIN(C319-M319,MAX(0,$AF319-SUMPRODUCT(--($B$4:$K$4&lt;C$4),$B319:$K319-$L319:$U319))),2)</f>
        <v>0</v>
      </c>
      <c r="X319" s="39" t="n">
        <f aca="false">ROUND(D319-N319-MIN(D319-N319,MAX(0,$AF319-SUMPRODUCT(--($B$4:$K$4&lt;D$4),$B319:$K319-$L319:$U319))),2)</f>
        <v>0</v>
      </c>
      <c r="Y319" s="39" t="n">
        <f aca="false">ROUND(E319-O319-MIN(E319-O319,MAX(0,$AF319-SUMPRODUCT(--($B$4:$K$4&lt;E$4),$B319:$K319-$L319:$U319))),2)</f>
        <v>0</v>
      </c>
      <c r="Z319" s="39" t="n">
        <f aca="false">ROUND(F319-P319-MIN(F319-P319,MAX(0,$AF319-SUMPRODUCT(--($B$4:$K$4&lt;F$4),$B319:$K319-$L319:$U319))),2)</f>
        <v>0</v>
      </c>
      <c r="AA319" s="39" t="n">
        <f aca="false">ROUND(G319-Q319-MIN(G319-Q319,MAX(0,$AF319-SUMPRODUCT(--($B$4:$K$4&lt;G$4),$B319:$K319-$L319:$U319))),2)</f>
        <v>0</v>
      </c>
      <c r="AB319" s="39" t="n">
        <f aca="false">ROUND(H319-R319-MIN(H319-R319,MAX(0,$AF319-SUMPRODUCT(--($B$4:$K$4&lt;H$4),$B319:$K319-$L319:$U319))),2)</f>
        <v>0</v>
      </c>
      <c r="AC319" s="39" t="n">
        <f aca="false">ROUND(I319-S319-MIN(I319-S319,MAX(0,$AF319-SUMPRODUCT(--($B$4:$K$4&lt;I$4),$B319:$K319-$L319:$U319))),2)</f>
        <v>0</v>
      </c>
      <c r="AD319" s="39" t="n">
        <f aca="false">ROUND(J319-T319-MIN(J319-T319,MAX(0,$AF319-SUMPRODUCT(--($B$4:$K$4&lt;J$4),$B319:$K319-$L319:$U319))),2)</f>
        <v>0</v>
      </c>
      <c r="AE319" s="39" t="n">
        <f aca="false">ROUND(K319-U319-MIN(K319-U319,MAX(0,$AF319-SUMPRODUCT(--($B$4:$K$4&lt;K$4),$B319:$K319-$L319:$U319))),2)</f>
        <v>0</v>
      </c>
      <c r="AF319" s="39" t="n">
        <f aca="false">MAX(0,'Start Here'!$C$5-SUM($L319:$U319))</f>
        <v>1200</v>
      </c>
      <c r="AG319" s="39" t="n">
        <f aca="false">SUM(V319:AE319)</f>
        <v>0</v>
      </c>
      <c r="AH319" s="39" t="n">
        <f aca="false">SUM(B319:K319)-AG318</f>
        <v>0</v>
      </c>
    </row>
    <row r="320" customFormat="false" ht="15" hidden="false" customHeight="false" outlineLevel="0" collapsed="false">
      <c r="A320" s="40" t="n">
        <f aca="false">DATE(YEAR('Start Here'!$C$6),MONTH('Start Here'!$C$6)+313,1)</f>
        <v>55824</v>
      </c>
      <c r="B320" s="39" t="n">
        <f aca="false">ROUND(V319*(1+N('My Debts'!$D$6)/12),2)</f>
        <v>0</v>
      </c>
      <c r="C320" s="39" t="n">
        <f aca="false">ROUND(W319*(1+N('My Debts'!$D$7)/12),2)</f>
        <v>0</v>
      </c>
      <c r="D320" s="39" t="n">
        <f aca="false">ROUND(X319*(1+N('My Debts'!$D$8)/12),2)</f>
        <v>0</v>
      </c>
      <c r="E320" s="39" t="n">
        <f aca="false">ROUND(Y319*(1+N('My Debts'!$D$9)/12),2)</f>
        <v>0</v>
      </c>
      <c r="F320" s="39" t="n">
        <f aca="false">ROUND(Z319*(1+N('My Debts'!$D$10)/12),2)</f>
        <v>0</v>
      </c>
      <c r="G320" s="39" t="n">
        <f aca="false">ROUND(AA319*(1+N('My Debts'!$D$11)/12),2)</f>
        <v>0</v>
      </c>
      <c r="H320" s="39" t="n">
        <f aca="false">ROUND(AB319*(1+N('My Debts'!$D$12)/12),2)</f>
        <v>0</v>
      </c>
      <c r="I320" s="39" t="n">
        <f aca="false">ROUND(AC319*(1+N('My Debts'!$D$13)/12),2)</f>
        <v>0</v>
      </c>
      <c r="J320" s="39" t="n">
        <f aca="false">ROUND(AD319*(1+N('My Debts'!$D$14)/12),2)</f>
        <v>0</v>
      </c>
      <c r="K320" s="39" t="n">
        <f aca="false">ROUND(AE319*(1+N('My Debts'!$D$15)/12),2)</f>
        <v>0</v>
      </c>
      <c r="L320" s="39" t="n">
        <f aca="false">MIN(N('My Debts'!$E$6),B320)</f>
        <v>0</v>
      </c>
      <c r="M320" s="39" t="n">
        <f aca="false">MIN(N('My Debts'!$E$7),C320)</f>
        <v>0</v>
      </c>
      <c r="N320" s="39" t="n">
        <f aca="false">MIN(N('My Debts'!$E$8),D320)</f>
        <v>0</v>
      </c>
      <c r="O320" s="39" t="n">
        <f aca="false">MIN(N('My Debts'!$E$9),E320)</f>
        <v>0</v>
      </c>
      <c r="P320" s="39" t="n">
        <f aca="false">MIN(N('My Debts'!$E$10),F320)</f>
        <v>0</v>
      </c>
      <c r="Q320" s="39" t="n">
        <f aca="false">MIN(N('My Debts'!$E$11),G320)</f>
        <v>0</v>
      </c>
      <c r="R320" s="39" t="n">
        <f aca="false">MIN(N('My Debts'!$E$12),H320)</f>
        <v>0</v>
      </c>
      <c r="S320" s="39" t="n">
        <f aca="false">MIN(N('My Debts'!$E$13),I320)</f>
        <v>0</v>
      </c>
      <c r="T320" s="39" t="n">
        <f aca="false">MIN(N('My Debts'!$E$14),J320)</f>
        <v>0</v>
      </c>
      <c r="U320" s="39" t="n">
        <f aca="false">MIN(N('My Debts'!$E$15),K320)</f>
        <v>0</v>
      </c>
      <c r="V320" s="39" t="n">
        <f aca="false">ROUND(B320-L320-MIN(B320-L320,MAX(0,$AF320-SUMPRODUCT(--($B$4:$K$4&lt;B$4),$B320:$K320-$L320:$U320))),2)</f>
        <v>0</v>
      </c>
      <c r="W320" s="39" t="n">
        <f aca="false">ROUND(C320-M320-MIN(C320-M320,MAX(0,$AF320-SUMPRODUCT(--($B$4:$K$4&lt;C$4),$B320:$K320-$L320:$U320))),2)</f>
        <v>0</v>
      </c>
      <c r="X320" s="39" t="n">
        <f aca="false">ROUND(D320-N320-MIN(D320-N320,MAX(0,$AF320-SUMPRODUCT(--($B$4:$K$4&lt;D$4),$B320:$K320-$L320:$U320))),2)</f>
        <v>0</v>
      </c>
      <c r="Y320" s="39" t="n">
        <f aca="false">ROUND(E320-O320-MIN(E320-O320,MAX(0,$AF320-SUMPRODUCT(--($B$4:$K$4&lt;E$4),$B320:$K320-$L320:$U320))),2)</f>
        <v>0</v>
      </c>
      <c r="Z320" s="39" t="n">
        <f aca="false">ROUND(F320-P320-MIN(F320-P320,MAX(0,$AF320-SUMPRODUCT(--($B$4:$K$4&lt;F$4),$B320:$K320-$L320:$U320))),2)</f>
        <v>0</v>
      </c>
      <c r="AA320" s="39" t="n">
        <f aca="false">ROUND(G320-Q320-MIN(G320-Q320,MAX(0,$AF320-SUMPRODUCT(--($B$4:$K$4&lt;G$4),$B320:$K320-$L320:$U320))),2)</f>
        <v>0</v>
      </c>
      <c r="AB320" s="39" t="n">
        <f aca="false">ROUND(H320-R320-MIN(H320-R320,MAX(0,$AF320-SUMPRODUCT(--($B$4:$K$4&lt;H$4),$B320:$K320-$L320:$U320))),2)</f>
        <v>0</v>
      </c>
      <c r="AC320" s="39" t="n">
        <f aca="false">ROUND(I320-S320-MIN(I320-S320,MAX(0,$AF320-SUMPRODUCT(--($B$4:$K$4&lt;I$4),$B320:$K320-$L320:$U320))),2)</f>
        <v>0</v>
      </c>
      <c r="AD320" s="39" t="n">
        <f aca="false">ROUND(J320-T320-MIN(J320-T320,MAX(0,$AF320-SUMPRODUCT(--($B$4:$K$4&lt;J$4),$B320:$K320-$L320:$U320))),2)</f>
        <v>0</v>
      </c>
      <c r="AE320" s="39" t="n">
        <f aca="false">ROUND(K320-U320-MIN(K320-U320,MAX(0,$AF320-SUMPRODUCT(--($B$4:$K$4&lt;K$4),$B320:$K320-$L320:$U320))),2)</f>
        <v>0</v>
      </c>
      <c r="AF320" s="39" t="n">
        <f aca="false">MAX(0,'Start Here'!$C$5-SUM($L320:$U320))</f>
        <v>1200</v>
      </c>
      <c r="AG320" s="39" t="n">
        <f aca="false">SUM(V320:AE320)</f>
        <v>0</v>
      </c>
      <c r="AH320" s="39" t="n">
        <f aca="false">SUM(B320:K320)-AG319</f>
        <v>0</v>
      </c>
    </row>
    <row r="321" customFormat="false" ht="15" hidden="false" customHeight="false" outlineLevel="0" collapsed="false">
      <c r="A321" s="40" t="n">
        <f aca="false">DATE(YEAR('Start Here'!$C$6),MONTH('Start Here'!$C$6)+314,1)</f>
        <v>55854</v>
      </c>
      <c r="B321" s="39" t="n">
        <f aca="false">ROUND(V320*(1+N('My Debts'!$D$6)/12),2)</f>
        <v>0</v>
      </c>
      <c r="C321" s="39" t="n">
        <f aca="false">ROUND(W320*(1+N('My Debts'!$D$7)/12),2)</f>
        <v>0</v>
      </c>
      <c r="D321" s="39" t="n">
        <f aca="false">ROUND(X320*(1+N('My Debts'!$D$8)/12),2)</f>
        <v>0</v>
      </c>
      <c r="E321" s="39" t="n">
        <f aca="false">ROUND(Y320*(1+N('My Debts'!$D$9)/12),2)</f>
        <v>0</v>
      </c>
      <c r="F321" s="39" t="n">
        <f aca="false">ROUND(Z320*(1+N('My Debts'!$D$10)/12),2)</f>
        <v>0</v>
      </c>
      <c r="G321" s="39" t="n">
        <f aca="false">ROUND(AA320*(1+N('My Debts'!$D$11)/12),2)</f>
        <v>0</v>
      </c>
      <c r="H321" s="39" t="n">
        <f aca="false">ROUND(AB320*(1+N('My Debts'!$D$12)/12),2)</f>
        <v>0</v>
      </c>
      <c r="I321" s="39" t="n">
        <f aca="false">ROUND(AC320*(1+N('My Debts'!$D$13)/12),2)</f>
        <v>0</v>
      </c>
      <c r="J321" s="39" t="n">
        <f aca="false">ROUND(AD320*(1+N('My Debts'!$D$14)/12),2)</f>
        <v>0</v>
      </c>
      <c r="K321" s="39" t="n">
        <f aca="false">ROUND(AE320*(1+N('My Debts'!$D$15)/12),2)</f>
        <v>0</v>
      </c>
      <c r="L321" s="39" t="n">
        <f aca="false">MIN(N('My Debts'!$E$6),B321)</f>
        <v>0</v>
      </c>
      <c r="M321" s="39" t="n">
        <f aca="false">MIN(N('My Debts'!$E$7),C321)</f>
        <v>0</v>
      </c>
      <c r="N321" s="39" t="n">
        <f aca="false">MIN(N('My Debts'!$E$8),D321)</f>
        <v>0</v>
      </c>
      <c r="O321" s="39" t="n">
        <f aca="false">MIN(N('My Debts'!$E$9),E321)</f>
        <v>0</v>
      </c>
      <c r="P321" s="39" t="n">
        <f aca="false">MIN(N('My Debts'!$E$10),F321)</f>
        <v>0</v>
      </c>
      <c r="Q321" s="39" t="n">
        <f aca="false">MIN(N('My Debts'!$E$11),G321)</f>
        <v>0</v>
      </c>
      <c r="R321" s="39" t="n">
        <f aca="false">MIN(N('My Debts'!$E$12),H321)</f>
        <v>0</v>
      </c>
      <c r="S321" s="39" t="n">
        <f aca="false">MIN(N('My Debts'!$E$13),I321)</f>
        <v>0</v>
      </c>
      <c r="T321" s="39" t="n">
        <f aca="false">MIN(N('My Debts'!$E$14),J321)</f>
        <v>0</v>
      </c>
      <c r="U321" s="39" t="n">
        <f aca="false">MIN(N('My Debts'!$E$15),K321)</f>
        <v>0</v>
      </c>
      <c r="V321" s="39" t="n">
        <f aca="false">ROUND(B321-L321-MIN(B321-L321,MAX(0,$AF321-SUMPRODUCT(--($B$4:$K$4&lt;B$4),$B321:$K321-$L321:$U321))),2)</f>
        <v>0</v>
      </c>
      <c r="W321" s="39" t="n">
        <f aca="false">ROUND(C321-M321-MIN(C321-M321,MAX(0,$AF321-SUMPRODUCT(--($B$4:$K$4&lt;C$4),$B321:$K321-$L321:$U321))),2)</f>
        <v>0</v>
      </c>
      <c r="X321" s="39" t="n">
        <f aca="false">ROUND(D321-N321-MIN(D321-N321,MAX(0,$AF321-SUMPRODUCT(--($B$4:$K$4&lt;D$4),$B321:$K321-$L321:$U321))),2)</f>
        <v>0</v>
      </c>
      <c r="Y321" s="39" t="n">
        <f aca="false">ROUND(E321-O321-MIN(E321-O321,MAX(0,$AF321-SUMPRODUCT(--($B$4:$K$4&lt;E$4),$B321:$K321-$L321:$U321))),2)</f>
        <v>0</v>
      </c>
      <c r="Z321" s="39" t="n">
        <f aca="false">ROUND(F321-P321-MIN(F321-P321,MAX(0,$AF321-SUMPRODUCT(--($B$4:$K$4&lt;F$4),$B321:$K321-$L321:$U321))),2)</f>
        <v>0</v>
      </c>
      <c r="AA321" s="39" t="n">
        <f aca="false">ROUND(G321-Q321-MIN(G321-Q321,MAX(0,$AF321-SUMPRODUCT(--($B$4:$K$4&lt;G$4),$B321:$K321-$L321:$U321))),2)</f>
        <v>0</v>
      </c>
      <c r="AB321" s="39" t="n">
        <f aca="false">ROUND(H321-R321-MIN(H321-R321,MAX(0,$AF321-SUMPRODUCT(--($B$4:$K$4&lt;H$4),$B321:$K321-$L321:$U321))),2)</f>
        <v>0</v>
      </c>
      <c r="AC321" s="39" t="n">
        <f aca="false">ROUND(I321-S321-MIN(I321-S321,MAX(0,$AF321-SUMPRODUCT(--($B$4:$K$4&lt;I$4),$B321:$K321-$L321:$U321))),2)</f>
        <v>0</v>
      </c>
      <c r="AD321" s="39" t="n">
        <f aca="false">ROUND(J321-T321-MIN(J321-T321,MAX(0,$AF321-SUMPRODUCT(--($B$4:$K$4&lt;J$4),$B321:$K321-$L321:$U321))),2)</f>
        <v>0</v>
      </c>
      <c r="AE321" s="39" t="n">
        <f aca="false">ROUND(K321-U321-MIN(K321-U321,MAX(0,$AF321-SUMPRODUCT(--($B$4:$K$4&lt;K$4),$B321:$K321-$L321:$U321))),2)</f>
        <v>0</v>
      </c>
      <c r="AF321" s="39" t="n">
        <f aca="false">MAX(0,'Start Here'!$C$5-SUM($L321:$U321))</f>
        <v>1200</v>
      </c>
      <c r="AG321" s="39" t="n">
        <f aca="false">SUM(V321:AE321)</f>
        <v>0</v>
      </c>
      <c r="AH321" s="39" t="n">
        <f aca="false">SUM(B321:K321)-AG320</f>
        <v>0</v>
      </c>
    </row>
    <row r="322" customFormat="false" ht="15" hidden="false" customHeight="false" outlineLevel="0" collapsed="false">
      <c r="A322" s="40" t="n">
        <f aca="false">DATE(YEAR('Start Here'!$C$6),MONTH('Start Here'!$C$6)+315,1)</f>
        <v>55885</v>
      </c>
      <c r="B322" s="39" t="n">
        <f aca="false">ROUND(V321*(1+N('My Debts'!$D$6)/12),2)</f>
        <v>0</v>
      </c>
      <c r="C322" s="39" t="n">
        <f aca="false">ROUND(W321*(1+N('My Debts'!$D$7)/12),2)</f>
        <v>0</v>
      </c>
      <c r="D322" s="39" t="n">
        <f aca="false">ROUND(X321*(1+N('My Debts'!$D$8)/12),2)</f>
        <v>0</v>
      </c>
      <c r="E322" s="39" t="n">
        <f aca="false">ROUND(Y321*(1+N('My Debts'!$D$9)/12),2)</f>
        <v>0</v>
      </c>
      <c r="F322" s="39" t="n">
        <f aca="false">ROUND(Z321*(1+N('My Debts'!$D$10)/12),2)</f>
        <v>0</v>
      </c>
      <c r="G322" s="39" t="n">
        <f aca="false">ROUND(AA321*(1+N('My Debts'!$D$11)/12),2)</f>
        <v>0</v>
      </c>
      <c r="H322" s="39" t="n">
        <f aca="false">ROUND(AB321*(1+N('My Debts'!$D$12)/12),2)</f>
        <v>0</v>
      </c>
      <c r="I322" s="39" t="n">
        <f aca="false">ROUND(AC321*(1+N('My Debts'!$D$13)/12),2)</f>
        <v>0</v>
      </c>
      <c r="J322" s="39" t="n">
        <f aca="false">ROUND(AD321*(1+N('My Debts'!$D$14)/12),2)</f>
        <v>0</v>
      </c>
      <c r="K322" s="39" t="n">
        <f aca="false">ROUND(AE321*(1+N('My Debts'!$D$15)/12),2)</f>
        <v>0</v>
      </c>
      <c r="L322" s="39" t="n">
        <f aca="false">MIN(N('My Debts'!$E$6),B322)</f>
        <v>0</v>
      </c>
      <c r="M322" s="39" t="n">
        <f aca="false">MIN(N('My Debts'!$E$7),C322)</f>
        <v>0</v>
      </c>
      <c r="N322" s="39" t="n">
        <f aca="false">MIN(N('My Debts'!$E$8),D322)</f>
        <v>0</v>
      </c>
      <c r="O322" s="39" t="n">
        <f aca="false">MIN(N('My Debts'!$E$9),E322)</f>
        <v>0</v>
      </c>
      <c r="P322" s="39" t="n">
        <f aca="false">MIN(N('My Debts'!$E$10),F322)</f>
        <v>0</v>
      </c>
      <c r="Q322" s="39" t="n">
        <f aca="false">MIN(N('My Debts'!$E$11),G322)</f>
        <v>0</v>
      </c>
      <c r="R322" s="39" t="n">
        <f aca="false">MIN(N('My Debts'!$E$12),H322)</f>
        <v>0</v>
      </c>
      <c r="S322" s="39" t="n">
        <f aca="false">MIN(N('My Debts'!$E$13),I322)</f>
        <v>0</v>
      </c>
      <c r="T322" s="39" t="n">
        <f aca="false">MIN(N('My Debts'!$E$14),J322)</f>
        <v>0</v>
      </c>
      <c r="U322" s="39" t="n">
        <f aca="false">MIN(N('My Debts'!$E$15),K322)</f>
        <v>0</v>
      </c>
      <c r="V322" s="39" t="n">
        <f aca="false">ROUND(B322-L322-MIN(B322-L322,MAX(0,$AF322-SUMPRODUCT(--($B$4:$K$4&lt;B$4),$B322:$K322-$L322:$U322))),2)</f>
        <v>0</v>
      </c>
      <c r="W322" s="39" t="n">
        <f aca="false">ROUND(C322-M322-MIN(C322-M322,MAX(0,$AF322-SUMPRODUCT(--($B$4:$K$4&lt;C$4),$B322:$K322-$L322:$U322))),2)</f>
        <v>0</v>
      </c>
      <c r="X322" s="39" t="n">
        <f aca="false">ROUND(D322-N322-MIN(D322-N322,MAX(0,$AF322-SUMPRODUCT(--($B$4:$K$4&lt;D$4),$B322:$K322-$L322:$U322))),2)</f>
        <v>0</v>
      </c>
      <c r="Y322" s="39" t="n">
        <f aca="false">ROUND(E322-O322-MIN(E322-O322,MAX(0,$AF322-SUMPRODUCT(--($B$4:$K$4&lt;E$4),$B322:$K322-$L322:$U322))),2)</f>
        <v>0</v>
      </c>
      <c r="Z322" s="39" t="n">
        <f aca="false">ROUND(F322-P322-MIN(F322-P322,MAX(0,$AF322-SUMPRODUCT(--($B$4:$K$4&lt;F$4),$B322:$K322-$L322:$U322))),2)</f>
        <v>0</v>
      </c>
      <c r="AA322" s="39" t="n">
        <f aca="false">ROUND(G322-Q322-MIN(G322-Q322,MAX(0,$AF322-SUMPRODUCT(--($B$4:$K$4&lt;G$4),$B322:$K322-$L322:$U322))),2)</f>
        <v>0</v>
      </c>
      <c r="AB322" s="39" t="n">
        <f aca="false">ROUND(H322-R322-MIN(H322-R322,MAX(0,$AF322-SUMPRODUCT(--($B$4:$K$4&lt;H$4),$B322:$K322-$L322:$U322))),2)</f>
        <v>0</v>
      </c>
      <c r="AC322" s="39" t="n">
        <f aca="false">ROUND(I322-S322-MIN(I322-S322,MAX(0,$AF322-SUMPRODUCT(--($B$4:$K$4&lt;I$4),$B322:$K322-$L322:$U322))),2)</f>
        <v>0</v>
      </c>
      <c r="AD322" s="39" t="n">
        <f aca="false">ROUND(J322-T322-MIN(J322-T322,MAX(0,$AF322-SUMPRODUCT(--($B$4:$K$4&lt;J$4),$B322:$K322-$L322:$U322))),2)</f>
        <v>0</v>
      </c>
      <c r="AE322" s="39" t="n">
        <f aca="false">ROUND(K322-U322-MIN(K322-U322,MAX(0,$AF322-SUMPRODUCT(--($B$4:$K$4&lt;K$4),$B322:$K322-$L322:$U322))),2)</f>
        <v>0</v>
      </c>
      <c r="AF322" s="39" t="n">
        <f aca="false">MAX(0,'Start Here'!$C$5-SUM($L322:$U322))</f>
        <v>1200</v>
      </c>
      <c r="AG322" s="39" t="n">
        <f aca="false">SUM(V322:AE322)</f>
        <v>0</v>
      </c>
      <c r="AH322" s="39" t="n">
        <f aca="false">SUM(B322:K322)-AG321</f>
        <v>0</v>
      </c>
    </row>
    <row r="323" customFormat="false" ht="15" hidden="false" customHeight="false" outlineLevel="0" collapsed="false">
      <c r="A323" s="40" t="n">
        <f aca="false">DATE(YEAR('Start Here'!$C$6),MONTH('Start Here'!$C$6)+316,1)</f>
        <v>55916</v>
      </c>
      <c r="B323" s="39" t="n">
        <f aca="false">ROUND(V322*(1+N('My Debts'!$D$6)/12),2)</f>
        <v>0</v>
      </c>
      <c r="C323" s="39" t="n">
        <f aca="false">ROUND(W322*(1+N('My Debts'!$D$7)/12),2)</f>
        <v>0</v>
      </c>
      <c r="D323" s="39" t="n">
        <f aca="false">ROUND(X322*(1+N('My Debts'!$D$8)/12),2)</f>
        <v>0</v>
      </c>
      <c r="E323" s="39" t="n">
        <f aca="false">ROUND(Y322*(1+N('My Debts'!$D$9)/12),2)</f>
        <v>0</v>
      </c>
      <c r="F323" s="39" t="n">
        <f aca="false">ROUND(Z322*(1+N('My Debts'!$D$10)/12),2)</f>
        <v>0</v>
      </c>
      <c r="G323" s="39" t="n">
        <f aca="false">ROUND(AA322*(1+N('My Debts'!$D$11)/12),2)</f>
        <v>0</v>
      </c>
      <c r="H323" s="39" t="n">
        <f aca="false">ROUND(AB322*(1+N('My Debts'!$D$12)/12),2)</f>
        <v>0</v>
      </c>
      <c r="I323" s="39" t="n">
        <f aca="false">ROUND(AC322*(1+N('My Debts'!$D$13)/12),2)</f>
        <v>0</v>
      </c>
      <c r="J323" s="39" t="n">
        <f aca="false">ROUND(AD322*(1+N('My Debts'!$D$14)/12),2)</f>
        <v>0</v>
      </c>
      <c r="K323" s="39" t="n">
        <f aca="false">ROUND(AE322*(1+N('My Debts'!$D$15)/12),2)</f>
        <v>0</v>
      </c>
      <c r="L323" s="39" t="n">
        <f aca="false">MIN(N('My Debts'!$E$6),B323)</f>
        <v>0</v>
      </c>
      <c r="M323" s="39" t="n">
        <f aca="false">MIN(N('My Debts'!$E$7),C323)</f>
        <v>0</v>
      </c>
      <c r="N323" s="39" t="n">
        <f aca="false">MIN(N('My Debts'!$E$8),D323)</f>
        <v>0</v>
      </c>
      <c r="O323" s="39" t="n">
        <f aca="false">MIN(N('My Debts'!$E$9),E323)</f>
        <v>0</v>
      </c>
      <c r="P323" s="39" t="n">
        <f aca="false">MIN(N('My Debts'!$E$10),F323)</f>
        <v>0</v>
      </c>
      <c r="Q323" s="39" t="n">
        <f aca="false">MIN(N('My Debts'!$E$11),G323)</f>
        <v>0</v>
      </c>
      <c r="R323" s="39" t="n">
        <f aca="false">MIN(N('My Debts'!$E$12),H323)</f>
        <v>0</v>
      </c>
      <c r="S323" s="39" t="n">
        <f aca="false">MIN(N('My Debts'!$E$13),I323)</f>
        <v>0</v>
      </c>
      <c r="T323" s="39" t="n">
        <f aca="false">MIN(N('My Debts'!$E$14),J323)</f>
        <v>0</v>
      </c>
      <c r="U323" s="39" t="n">
        <f aca="false">MIN(N('My Debts'!$E$15),K323)</f>
        <v>0</v>
      </c>
      <c r="V323" s="39" t="n">
        <f aca="false">ROUND(B323-L323-MIN(B323-L323,MAX(0,$AF323-SUMPRODUCT(--($B$4:$K$4&lt;B$4),$B323:$K323-$L323:$U323))),2)</f>
        <v>0</v>
      </c>
      <c r="W323" s="39" t="n">
        <f aca="false">ROUND(C323-M323-MIN(C323-M323,MAX(0,$AF323-SUMPRODUCT(--($B$4:$K$4&lt;C$4),$B323:$K323-$L323:$U323))),2)</f>
        <v>0</v>
      </c>
      <c r="X323" s="39" t="n">
        <f aca="false">ROUND(D323-N323-MIN(D323-N323,MAX(0,$AF323-SUMPRODUCT(--($B$4:$K$4&lt;D$4),$B323:$K323-$L323:$U323))),2)</f>
        <v>0</v>
      </c>
      <c r="Y323" s="39" t="n">
        <f aca="false">ROUND(E323-O323-MIN(E323-O323,MAX(0,$AF323-SUMPRODUCT(--($B$4:$K$4&lt;E$4),$B323:$K323-$L323:$U323))),2)</f>
        <v>0</v>
      </c>
      <c r="Z323" s="39" t="n">
        <f aca="false">ROUND(F323-P323-MIN(F323-P323,MAX(0,$AF323-SUMPRODUCT(--($B$4:$K$4&lt;F$4),$B323:$K323-$L323:$U323))),2)</f>
        <v>0</v>
      </c>
      <c r="AA323" s="39" t="n">
        <f aca="false">ROUND(G323-Q323-MIN(G323-Q323,MAX(0,$AF323-SUMPRODUCT(--($B$4:$K$4&lt;G$4),$B323:$K323-$L323:$U323))),2)</f>
        <v>0</v>
      </c>
      <c r="AB323" s="39" t="n">
        <f aca="false">ROUND(H323-R323-MIN(H323-R323,MAX(0,$AF323-SUMPRODUCT(--($B$4:$K$4&lt;H$4),$B323:$K323-$L323:$U323))),2)</f>
        <v>0</v>
      </c>
      <c r="AC323" s="39" t="n">
        <f aca="false">ROUND(I323-S323-MIN(I323-S323,MAX(0,$AF323-SUMPRODUCT(--($B$4:$K$4&lt;I$4),$B323:$K323-$L323:$U323))),2)</f>
        <v>0</v>
      </c>
      <c r="AD323" s="39" t="n">
        <f aca="false">ROUND(J323-T323-MIN(J323-T323,MAX(0,$AF323-SUMPRODUCT(--($B$4:$K$4&lt;J$4),$B323:$K323-$L323:$U323))),2)</f>
        <v>0</v>
      </c>
      <c r="AE323" s="39" t="n">
        <f aca="false">ROUND(K323-U323-MIN(K323-U323,MAX(0,$AF323-SUMPRODUCT(--($B$4:$K$4&lt;K$4),$B323:$K323-$L323:$U323))),2)</f>
        <v>0</v>
      </c>
      <c r="AF323" s="39" t="n">
        <f aca="false">MAX(0,'Start Here'!$C$5-SUM($L323:$U323))</f>
        <v>1200</v>
      </c>
      <c r="AG323" s="39" t="n">
        <f aca="false">SUM(V323:AE323)</f>
        <v>0</v>
      </c>
      <c r="AH323" s="39" t="n">
        <f aca="false">SUM(B323:K323)-AG322</f>
        <v>0</v>
      </c>
    </row>
    <row r="324" customFormat="false" ht="15" hidden="false" customHeight="false" outlineLevel="0" collapsed="false">
      <c r="A324" s="40" t="n">
        <f aca="false">DATE(YEAR('Start Here'!$C$6),MONTH('Start Here'!$C$6)+317,1)</f>
        <v>55944</v>
      </c>
      <c r="B324" s="39" t="n">
        <f aca="false">ROUND(V323*(1+N('My Debts'!$D$6)/12),2)</f>
        <v>0</v>
      </c>
      <c r="C324" s="39" t="n">
        <f aca="false">ROUND(W323*(1+N('My Debts'!$D$7)/12),2)</f>
        <v>0</v>
      </c>
      <c r="D324" s="39" t="n">
        <f aca="false">ROUND(X323*(1+N('My Debts'!$D$8)/12),2)</f>
        <v>0</v>
      </c>
      <c r="E324" s="39" t="n">
        <f aca="false">ROUND(Y323*(1+N('My Debts'!$D$9)/12),2)</f>
        <v>0</v>
      </c>
      <c r="F324" s="39" t="n">
        <f aca="false">ROUND(Z323*(1+N('My Debts'!$D$10)/12),2)</f>
        <v>0</v>
      </c>
      <c r="G324" s="39" t="n">
        <f aca="false">ROUND(AA323*(1+N('My Debts'!$D$11)/12),2)</f>
        <v>0</v>
      </c>
      <c r="H324" s="39" t="n">
        <f aca="false">ROUND(AB323*(1+N('My Debts'!$D$12)/12),2)</f>
        <v>0</v>
      </c>
      <c r="I324" s="39" t="n">
        <f aca="false">ROUND(AC323*(1+N('My Debts'!$D$13)/12),2)</f>
        <v>0</v>
      </c>
      <c r="J324" s="39" t="n">
        <f aca="false">ROUND(AD323*(1+N('My Debts'!$D$14)/12),2)</f>
        <v>0</v>
      </c>
      <c r="K324" s="39" t="n">
        <f aca="false">ROUND(AE323*(1+N('My Debts'!$D$15)/12),2)</f>
        <v>0</v>
      </c>
      <c r="L324" s="39" t="n">
        <f aca="false">MIN(N('My Debts'!$E$6),B324)</f>
        <v>0</v>
      </c>
      <c r="M324" s="39" t="n">
        <f aca="false">MIN(N('My Debts'!$E$7),C324)</f>
        <v>0</v>
      </c>
      <c r="N324" s="39" t="n">
        <f aca="false">MIN(N('My Debts'!$E$8),D324)</f>
        <v>0</v>
      </c>
      <c r="O324" s="39" t="n">
        <f aca="false">MIN(N('My Debts'!$E$9),E324)</f>
        <v>0</v>
      </c>
      <c r="P324" s="39" t="n">
        <f aca="false">MIN(N('My Debts'!$E$10),F324)</f>
        <v>0</v>
      </c>
      <c r="Q324" s="39" t="n">
        <f aca="false">MIN(N('My Debts'!$E$11),G324)</f>
        <v>0</v>
      </c>
      <c r="R324" s="39" t="n">
        <f aca="false">MIN(N('My Debts'!$E$12),H324)</f>
        <v>0</v>
      </c>
      <c r="S324" s="39" t="n">
        <f aca="false">MIN(N('My Debts'!$E$13),I324)</f>
        <v>0</v>
      </c>
      <c r="T324" s="39" t="n">
        <f aca="false">MIN(N('My Debts'!$E$14),J324)</f>
        <v>0</v>
      </c>
      <c r="U324" s="39" t="n">
        <f aca="false">MIN(N('My Debts'!$E$15),K324)</f>
        <v>0</v>
      </c>
      <c r="V324" s="39" t="n">
        <f aca="false">ROUND(B324-L324-MIN(B324-L324,MAX(0,$AF324-SUMPRODUCT(--($B$4:$K$4&lt;B$4),$B324:$K324-$L324:$U324))),2)</f>
        <v>0</v>
      </c>
      <c r="W324" s="39" t="n">
        <f aca="false">ROUND(C324-M324-MIN(C324-M324,MAX(0,$AF324-SUMPRODUCT(--($B$4:$K$4&lt;C$4),$B324:$K324-$L324:$U324))),2)</f>
        <v>0</v>
      </c>
      <c r="X324" s="39" t="n">
        <f aca="false">ROUND(D324-N324-MIN(D324-N324,MAX(0,$AF324-SUMPRODUCT(--($B$4:$K$4&lt;D$4),$B324:$K324-$L324:$U324))),2)</f>
        <v>0</v>
      </c>
      <c r="Y324" s="39" t="n">
        <f aca="false">ROUND(E324-O324-MIN(E324-O324,MAX(0,$AF324-SUMPRODUCT(--($B$4:$K$4&lt;E$4),$B324:$K324-$L324:$U324))),2)</f>
        <v>0</v>
      </c>
      <c r="Z324" s="39" t="n">
        <f aca="false">ROUND(F324-P324-MIN(F324-P324,MAX(0,$AF324-SUMPRODUCT(--($B$4:$K$4&lt;F$4),$B324:$K324-$L324:$U324))),2)</f>
        <v>0</v>
      </c>
      <c r="AA324" s="39" t="n">
        <f aca="false">ROUND(G324-Q324-MIN(G324-Q324,MAX(0,$AF324-SUMPRODUCT(--($B$4:$K$4&lt;G$4),$B324:$K324-$L324:$U324))),2)</f>
        <v>0</v>
      </c>
      <c r="AB324" s="39" t="n">
        <f aca="false">ROUND(H324-R324-MIN(H324-R324,MAX(0,$AF324-SUMPRODUCT(--($B$4:$K$4&lt;H$4),$B324:$K324-$L324:$U324))),2)</f>
        <v>0</v>
      </c>
      <c r="AC324" s="39" t="n">
        <f aca="false">ROUND(I324-S324-MIN(I324-S324,MAX(0,$AF324-SUMPRODUCT(--($B$4:$K$4&lt;I$4),$B324:$K324-$L324:$U324))),2)</f>
        <v>0</v>
      </c>
      <c r="AD324" s="39" t="n">
        <f aca="false">ROUND(J324-T324-MIN(J324-T324,MAX(0,$AF324-SUMPRODUCT(--($B$4:$K$4&lt;J$4),$B324:$K324-$L324:$U324))),2)</f>
        <v>0</v>
      </c>
      <c r="AE324" s="39" t="n">
        <f aca="false">ROUND(K324-U324-MIN(K324-U324,MAX(0,$AF324-SUMPRODUCT(--($B$4:$K$4&lt;K$4),$B324:$K324-$L324:$U324))),2)</f>
        <v>0</v>
      </c>
      <c r="AF324" s="39" t="n">
        <f aca="false">MAX(0,'Start Here'!$C$5-SUM($L324:$U324))</f>
        <v>1200</v>
      </c>
      <c r="AG324" s="39" t="n">
        <f aca="false">SUM(V324:AE324)</f>
        <v>0</v>
      </c>
      <c r="AH324" s="39" t="n">
        <f aca="false">SUM(B324:K324)-AG323</f>
        <v>0</v>
      </c>
    </row>
    <row r="325" customFormat="false" ht="15" hidden="false" customHeight="false" outlineLevel="0" collapsed="false">
      <c r="A325" s="40" t="n">
        <f aca="false">DATE(YEAR('Start Here'!$C$6),MONTH('Start Here'!$C$6)+318,1)</f>
        <v>55975</v>
      </c>
      <c r="B325" s="39" t="n">
        <f aca="false">ROUND(V324*(1+N('My Debts'!$D$6)/12),2)</f>
        <v>0</v>
      </c>
      <c r="C325" s="39" t="n">
        <f aca="false">ROUND(W324*(1+N('My Debts'!$D$7)/12),2)</f>
        <v>0</v>
      </c>
      <c r="D325" s="39" t="n">
        <f aca="false">ROUND(X324*(1+N('My Debts'!$D$8)/12),2)</f>
        <v>0</v>
      </c>
      <c r="E325" s="39" t="n">
        <f aca="false">ROUND(Y324*(1+N('My Debts'!$D$9)/12),2)</f>
        <v>0</v>
      </c>
      <c r="F325" s="39" t="n">
        <f aca="false">ROUND(Z324*(1+N('My Debts'!$D$10)/12),2)</f>
        <v>0</v>
      </c>
      <c r="G325" s="39" t="n">
        <f aca="false">ROUND(AA324*(1+N('My Debts'!$D$11)/12),2)</f>
        <v>0</v>
      </c>
      <c r="H325" s="39" t="n">
        <f aca="false">ROUND(AB324*(1+N('My Debts'!$D$12)/12),2)</f>
        <v>0</v>
      </c>
      <c r="I325" s="39" t="n">
        <f aca="false">ROUND(AC324*(1+N('My Debts'!$D$13)/12),2)</f>
        <v>0</v>
      </c>
      <c r="J325" s="39" t="n">
        <f aca="false">ROUND(AD324*(1+N('My Debts'!$D$14)/12),2)</f>
        <v>0</v>
      </c>
      <c r="K325" s="39" t="n">
        <f aca="false">ROUND(AE324*(1+N('My Debts'!$D$15)/12),2)</f>
        <v>0</v>
      </c>
      <c r="L325" s="39" t="n">
        <f aca="false">MIN(N('My Debts'!$E$6),B325)</f>
        <v>0</v>
      </c>
      <c r="M325" s="39" t="n">
        <f aca="false">MIN(N('My Debts'!$E$7),C325)</f>
        <v>0</v>
      </c>
      <c r="N325" s="39" t="n">
        <f aca="false">MIN(N('My Debts'!$E$8),D325)</f>
        <v>0</v>
      </c>
      <c r="O325" s="39" t="n">
        <f aca="false">MIN(N('My Debts'!$E$9),E325)</f>
        <v>0</v>
      </c>
      <c r="P325" s="39" t="n">
        <f aca="false">MIN(N('My Debts'!$E$10),F325)</f>
        <v>0</v>
      </c>
      <c r="Q325" s="39" t="n">
        <f aca="false">MIN(N('My Debts'!$E$11),G325)</f>
        <v>0</v>
      </c>
      <c r="R325" s="39" t="n">
        <f aca="false">MIN(N('My Debts'!$E$12),H325)</f>
        <v>0</v>
      </c>
      <c r="S325" s="39" t="n">
        <f aca="false">MIN(N('My Debts'!$E$13),I325)</f>
        <v>0</v>
      </c>
      <c r="T325" s="39" t="n">
        <f aca="false">MIN(N('My Debts'!$E$14),J325)</f>
        <v>0</v>
      </c>
      <c r="U325" s="39" t="n">
        <f aca="false">MIN(N('My Debts'!$E$15),K325)</f>
        <v>0</v>
      </c>
      <c r="V325" s="39" t="n">
        <f aca="false">ROUND(B325-L325-MIN(B325-L325,MAX(0,$AF325-SUMPRODUCT(--($B$4:$K$4&lt;B$4),$B325:$K325-$L325:$U325))),2)</f>
        <v>0</v>
      </c>
      <c r="W325" s="39" t="n">
        <f aca="false">ROUND(C325-M325-MIN(C325-M325,MAX(0,$AF325-SUMPRODUCT(--($B$4:$K$4&lt;C$4),$B325:$K325-$L325:$U325))),2)</f>
        <v>0</v>
      </c>
      <c r="X325" s="39" t="n">
        <f aca="false">ROUND(D325-N325-MIN(D325-N325,MAX(0,$AF325-SUMPRODUCT(--($B$4:$K$4&lt;D$4),$B325:$K325-$L325:$U325))),2)</f>
        <v>0</v>
      </c>
      <c r="Y325" s="39" t="n">
        <f aca="false">ROUND(E325-O325-MIN(E325-O325,MAX(0,$AF325-SUMPRODUCT(--($B$4:$K$4&lt;E$4),$B325:$K325-$L325:$U325))),2)</f>
        <v>0</v>
      </c>
      <c r="Z325" s="39" t="n">
        <f aca="false">ROUND(F325-P325-MIN(F325-P325,MAX(0,$AF325-SUMPRODUCT(--($B$4:$K$4&lt;F$4),$B325:$K325-$L325:$U325))),2)</f>
        <v>0</v>
      </c>
      <c r="AA325" s="39" t="n">
        <f aca="false">ROUND(G325-Q325-MIN(G325-Q325,MAX(0,$AF325-SUMPRODUCT(--($B$4:$K$4&lt;G$4),$B325:$K325-$L325:$U325))),2)</f>
        <v>0</v>
      </c>
      <c r="AB325" s="39" t="n">
        <f aca="false">ROUND(H325-R325-MIN(H325-R325,MAX(0,$AF325-SUMPRODUCT(--($B$4:$K$4&lt;H$4),$B325:$K325-$L325:$U325))),2)</f>
        <v>0</v>
      </c>
      <c r="AC325" s="39" t="n">
        <f aca="false">ROUND(I325-S325-MIN(I325-S325,MAX(0,$AF325-SUMPRODUCT(--($B$4:$K$4&lt;I$4),$B325:$K325-$L325:$U325))),2)</f>
        <v>0</v>
      </c>
      <c r="AD325" s="39" t="n">
        <f aca="false">ROUND(J325-T325-MIN(J325-T325,MAX(0,$AF325-SUMPRODUCT(--($B$4:$K$4&lt;J$4),$B325:$K325-$L325:$U325))),2)</f>
        <v>0</v>
      </c>
      <c r="AE325" s="39" t="n">
        <f aca="false">ROUND(K325-U325-MIN(K325-U325,MAX(0,$AF325-SUMPRODUCT(--($B$4:$K$4&lt;K$4),$B325:$K325-$L325:$U325))),2)</f>
        <v>0</v>
      </c>
      <c r="AF325" s="39" t="n">
        <f aca="false">MAX(0,'Start Here'!$C$5-SUM($L325:$U325))</f>
        <v>1200</v>
      </c>
      <c r="AG325" s="39" t="n">
        <f aca="false">SUM(V325:AE325)</f>
        <v>0</v>
      </c>
      <c r="AH325" s="39" t="n">
        <f aca="false">SUM(B325:K325)-AG324</f>
        <v>0</v>
      </c>
    </row>
    <row r="326" customFormat="false" ht="15" hidden="false" customHeight="false" outlineLevel="0" collapsed="false">
      <c r="A326" s="40" t="n">
        <f aca="false">DATE(YEAR('Start Here'!$C$6),MONTH('Start Here'!$C$6)+319,1)</f>
        <v>56005</v>
      </c>
      <c r="B326" s="39" t="n">
        <f aca="false">ROUND(V325*(1+N('My Debts'!$D$6)/12),2)</f>
        <v>0</v>
      </c>
      <c r="C326" s="39" t="n">
        <f aca="false">ROUND(W325*(1+N('My Debts'!$D$7)/12),2)</f>
        <v>0</v>
      </c>
      <c r="D326" s="39" t="n">
        <f aca="false">ROUND(X325*(1+N('My Debts'!$D$8)/12),2)</f>
        <v>0</v>
      </c>
      <c r="E326" s="39" t="n">
        <f aca="false">ROUND(Y325*(1+N('My Debts'!$D$9)/12),2)</f>
        <v>0</v>
      </c>
      <c r="F326" s="39" t="n">
        <f aca="false">ROUND(Z325*(1+N('My Debts'!$D$10)/12),2)</f>
        <v>0</v>
      </c>
      <c r="G326" s="39" t="n">
        <f aca="false">ROUND(AA325*(1+N('My Debts'!$D$11)/12),2)</f>
        <v>0</v>
      </c>
      <c r="H326" s="39" t="n">
        <f aca="false">ROUND(AB325*(1+N('My Debts'!$D$12)/12),2)</f>
        <v>0</v>
      </c>
      <c r="I326" s="39" t="n">
        <f aca="false">ROUND(AC325*(1+N('My Debts'!$D$13)/12),2)</f>
        <v>0</v>
      </c>
      <c r="J326" s="39" t="n">
        <f aca="false">ROUND(AD325*(1+N('My Debts'!$D$14)/12),2)</f>
        <v>0</v>
      </c>
      <c r="K326" s="39" t="n">
        <f aca="false">ROUND(AE325*(1+N('My Debts'!$D$15)/12),2)</f>
        <v>0</v>
      </c>
      <c r="L326" s="39" t="n">
        <f aca="false">MIN(N('My Debts'!$E$6),B326)</f>
        <v>0</v>
      </c>
      <c r="M326" s="39" t="n">
        <f aca="false">MIN(N('My Debts'!$E$7),C326)</f>
        <v>0</v>
      </c>
      <c r="N326" s="39" t="n">
        <f aca="false">MIN(N('My Debts'!$E$8),D326)</f>
        <v>0</v>
      </c>
      <c r="O326" s="39" t="n">
        <f aca="false">MIN(N('My Debts'!$E$9),E326)</f>
        <v>0</v>
      </c>
      <c r="P326" s="39" t="n">
        <f aca="false">MIN(N('My Debts'!$E$10),F326)</f>
        <v>0</v>
      </c>
      <c r="Q326" s="39" t="n">
        <f aca="false">MIN(N('My Debts'!$E$11),G326)</f>
        <v>0</v>
      </c>
      <c r="R326" s="39" t="n">
        <f aca="false">MIN(N('My Debts'!$E$12),H326)</f>
        <v>0</v>
      </c>
      <c r="S326" s="39" t="n">
        <f aca="false">MIN(N('My Debts'!$E$13),I326)</f>
        <v>0</v>
      </c>
      <c r="T326" s="39" t="n">
        <f aca="false">MIN(N('My Debts'!$E$14),J326)</f>
        <v>0</v>
      </c>
      <c r="U326" s="39" t="n">
        <f aca="false">MIN(N('My Debts'!$E$15),K326)</f>
        <v>0</v>
      </c>
      <c r="V326" s="39" t="n">
        <f aca="false">ROUND(B326-L326-MIN(B326-L326,MAX(0,$AF326-SUMPRODUCT(--($B$4:$K$4&lt;B$4),$B326:$K326-$L326:$U326))),2)</f>
        <v>0</v>
      </c>
      <c r="W326" s="39" t="n">
        <f aca="false">ROUND(C326-M326-MIN(C326-M326,MAX(0,$AF326-SUMPRODUCT(--($B$4:$K$4&lt;C$4),$B326:$K326-$L326:$U326))),2)</f>
        <v>0</v>
      </c>
      <c r="X326" s="39" t="n">
        <f aca="false">ROUND(D326-N326-MIN(D326-N326,MAX(0,$AF326-SUMPRODUCT(--($B$4:$K$4&lt;D$4),$B326:$K326-$L326:$U326))),2)</f>
        <v>0</v>
      </c>
      <c r="Y326" s="39" t="n">
        <f aca="false">ROUND(E326-O326-MIN(E326-O326,MAX(0,$AF326-SUMPRODUCT(--($B$4:$K$4&lt;E$4),$B326:$K326-$L326:$U326))),2)</f>
        <v>0</v>
      </c>
      <c r="Z326" s="39" t="n">
        <f aca="false">ROUND(F326-P326-MIN(F326-P326,MAX(0,$AF326-SUMPRODUCT(--($B$4:$K$4&lt;F$4),$B326:$K326-$L326:$U326))),2)</f>
        <v>0</v>
      </c>
      <c r="AA326" s="39" t="n">
        <f aca="false">ROUND(G326-Q326-MIN(G326-Q326,MAX(0,$AF326-SUMPRODUCT(--($B$4:$K$4&lt;G$4),$B326:$K326-$L326:$U326))),2)</f>
        <v>0</v>
      </c>
      <c r="AB326" s="39" t="n">
        <f aca="false">ROUND(H326-R326-MIN(H326-R326,MAX(0,$AF326-SUMPRODUCT(--($B$4:$K$4&lt;H$4),$B326:$K326-$L326:$U326))),2)</f>
        <v>0</v>
      </c>
      <c r="AC326" s="39" t="n">
        <f aca="false">ROUND(I326-S326-MIN(I326-S326,MAX(0,$AF326-SUMPRODUCT(--($B$4:$K$4&lt;I$4),$B326:$K326-$L326:$U326))),2)</f>
        <v>0</v>
      </c>
      <c r="AD326" s="39" t="n">
        <f aca="false">ROUND(J326-T326-MIN(J326-T326,MAX(0,$AF326-SUMPRODUCT(--($B$4:$K$4&lt;J$4),$B326:$K326-$L326:$U326))),2)</f>
        <v>0</v>
      </c>
      <c r="AE326" s="39" t="n">
        <f aca="false">ROUND(K326-U326-MIN(K326-U326,MAX(0,$AF326-SUMPRODUCT(--($B$4:$K$4&lt;K$4),$B326:$K326-$L326:$U326))),2)</f>
        <v>0</v>
      </c>
      <c r="AF326" s="39" t="n">
        <f aca="false">MAX(0,'Start Here'!$C$5-SUM($L326:$U326))</f>
        <v>1200</v>
      </c>
      <c r="AG326" s="39" t="n">
        <f aca="false">SUM(V326:AE326)</f>
        <v>0</v>
      </c>
      <c r="AH326" s="39" t="n">
        <f aca="false">SUM(B326:K326)-AG325</f>
        <v>0</v>
      </c>
    </row>
    <row r="327" customFormat="false" ht="15" hidden="false" customHeight="false" outlineLevel="0" collapsed="false">
      <c r="A327" s="40" t="n">
        <f aca="false">DATE(YEAR('Start Here'!$C$6),MONTH('Start Here'!$C$6)+320,1)</f>
        <v>56036</v>
      </c>
      <c r="B327" s="39" t="n">
        <f aca="false">ROUND(V326*(1+N('My Debts'!$D$6)/12),2)</f>
        <v>0</v>
      </c>
      <c r="C327" s="39" t="n">
        <f aca="false">ROUND(W326*(1+N('My Debts'!$D$7)/12),2)</f>
        <v>0</v>
      </c>
      <c r="D327" s="39" t="n">
        <f aca="false">ROUND(X326*(1+N('My Debts'!$D$8)/12),2)</f>
        <v>0</v>
      </c>
      <c r="E327" s="39" t="n">
        <f aca="false">ROUND(Y326*(1+N('My Debts'!$D$9)/12),2)</f>
        <v>0</v>
      </c>
      <c r="F327" s="39" t="n">
        <f aca="false">ROUND(Z326*(1+N('My Debts'!$D$10)/12),2)</f>
        <v>0</v>
      </c>
      <c r="G327" s="39" t="n">
        <f aca="false">ROUND(AA326*(1+N('My Debts'!$D$11)/12),2)</f>
        <v>0</v>
      </c>
      <c r="H327" s="39" t="n">
        <f aca="false">ROUND(AB326*(1+N('My Debts'!$D$12)/12),2)</f>
        <v>0</v>
      </c>
      <c r="I327" s="39" t="n">
        <f aca="false">ROUND(AC326*(1+N('My Debts'!$D$13)/12),2)</f>
        <v>0</v>
      </c>
      <c r="J327" s="39" t="n">
        <f aca="false">ROUND(AD326*(1+N('My Debts'!$D$14)/12),2)</f>
        <v>0</v>
      </c>
      <c r="K327" s="39" t="n">
        <f aca="false">ROUND(AE326*(1+N('My Debts'!$D$15)/12),2)</f>
        <v>0</v>
      </c>
      <c r="L327" s="39" t="n">
        <f aca="false">MIN(N('My Debts'!$E$6),B327)</f>
        <v>0</v>
      </c>
      <c r="M327" s="39" t="n">
        <f aca="false">MIN(N('My Debts'!$E$7),C327)</f>
        <v>0</v>
      </c>
      <c r="N327" s="39" t="n">
        <f aca="false">MIN(N('My Debts'!$E$8),D327)</f>
        <v>0</v>
      </c>
      <c r="O327" s="39" t="n">
        <f aca="false">MIN(N('My Debts'!$E$9),E327)</f>
        <v>0</v>
      </c>
      <c r="P327" s="39" t="n">
        <f aca="false">MIN(N('My Debts'!$E$10),F327)</f>
        <v>0</v>
      </c>
      <c r="Q327" s="39" t="n">
        <f aca="false">MIN(N('My Debts'!$E$11),G327)</f>
        <v>0</v>
      </c>
      <c r="R327" s="39" t="n">
        <f aca="false">MIN(N('My Debts'!$E$12),H327)</f>
        <v>0</v>
      </c>
      <c r="S327" s="39" t="n">
        <f aca="false">MIN(N('My Debts'!$E$13),I327)</f>
        <v>0</v>
      </c>
      <c r="T327" s="39" t="n">
        <f aca="false">MIN(N('My Debts'!$E$14),J327)</f>
        <v>0</v>
      </c>
      <c r="U327" s="39" t="n">
        <f aca="false">MIN(N('My Debts'!$E$15),K327)</f>
        <v>0</v>
      </c>
      <c r="V327" s="39" t="n">
        <f aca="false">ROUND(B327-L327-MIN(B327-L327,MAX(0,$AF327-SUMPRODUCT(--($B$4:$K$4&lt;B$4),$B327:$K327-$L327:$U327))),2)</f>
        <v>0</v>
      </c>
      <c r="W327" s="39" t="n">
        <f aca="false">ROUND(C327-M327-MIN(C327-M327,MAX(0,$AF327-SUMPRODUCT(--($B$4:$K$4&lt;C$4),$B327:$K327-$L327:$U327))),2)</f>
        <v>0</v>
      </c>
      <c r="X327" s="39" t="n">
        <f aca="false">ROUND(D327-N327-MIN(D327-N327,MAX(0,$AF327-SUMPRODUCT(--($B$4:$K$4&lt;D$4),$B327:$K327-$L327:$U327))),2)</f>
        <v>0</v>
      </c>
      <c r="Y327" s="39" t="n">
        <f aca="false">ROUND(E327-O327-MIN(E327-O327,MAX(0,$AF327-SUMPRODUCT(--($B$4:$K$4&lt;E$4),$B327:$K327-$L327:$U327))),2)</f>
        <v>0</v>
      </c>
      <c r="Z327" s="39" t="n">
        <f aca="false">ROUND(F327-P327-MIN(F327-P327,MAX(0,$AF327-SUMPRODUCT(--($B$4:$K$4&lt;F$4),$B327:$K327-$L327:$U327))),2)</f>
        <v>0</v>
      </c>
      <c r="AA327" s="39" t="n">
        <f aca="false">ROUND(G327-Q327-MIN(G327-Q327,MAX(0,$AF327-SUMPRODUCT(--($B$4:$K$4&lt;G$4),$B327:$K327-$L327:$U327))),2)</f>
        <v>0</v>
      </c>
      <c r="AB327" s="39" t="n">
        <f aca="false">ROUND(H327-R327-MIN(H327-R327,MAX(0,$AF327-SUMPRODUCT(--($B$4:$K$4&lt;H$4),$B327:$K327-$L327:$U327))),2)</f>
        <v>0</v>
      </c>
      <c r="AC327" s="39" t="n">
        <f aca="false">ROUND(I327-S327-MIN(I327-S327,MAX(0,$AF327-SUMPRODUCT(--($B$4:$K$4&lt;I$4),$B327:$K327-$L327:$U327))),2)</f>
        <v>0</v>
      </c>
      <c r="AD327" s="39" t="n">
        <f aca="false">ROUND(J327-T327-MIN(J327-T327,MAX(0,$AF327-SUMPRODUCT(--($B$4:$K$4&lt;J$4),$B327:$K327-$L327:$U327))),2)</f>
        <v>0</v>
      </c>
      <c r="AE327" s="39" t="n">
        <f aca="false">ROUND(K327-U327-MIN(K327-U327,MAX(0,$AF327-SUMPRODUCT(--($B$4:$K$4&lt;K$4),$B327:$K327-$L327:$U327))),2)</f>
        <v>0</v>
      </c>
      <c r="AF327" s="39" t="n">
        <f aca="false">MAX(0,'Start Here'!$C$5-SUM($L327:$U327))</f>
        <v>1200</v>
      </c>
      <c r="AG327" s="39" t="n">
        <f aca="false">SUM(V327:AE327)</f>
        <v>0</v>
      </c>
      <c r="AH327" s="39" t="n">
        <f aca="false">SUM(B327:K327)-AG326</f>
        <v>0</v>
      </c>
    </row>
    <row r="328" customFormat="false" ht="15" hidden="false" customHeight="false" outlineLevel="0" collapsed="false">
      <c r="A328" s="40" t="n">
        <f aca="false">DATE(YEAR('Start Here'!$C$6),MONTH('Start Here'!$C$6)+321,1)</f>
        <v>56066</v>
      </c>
      <c r="B328" s="39" t="n">
        <f aca="false">ROUND(V327*(1+N('My Debts'!$D$6)/12),2)</f>
        <v>0</v>
      </c>
      <c r="C328" s="39" t="n">
        <f aca="false">ROUND(W327*(1+N('My Debts'!$D$7)/12),2)</f>
        <v>0</v>
      </c>
      <c r="D328" s="39" t="n">
        <f aca="false">ROUND(X327*(1+N('My Debts'!$D$8)/12),2)</f>
        <v>0</v>
      </c>
      <c r="E328" s="39" t="n">
        <f aca="false">ROUND(Y327*(1+N('My Debts'!$D$9)/12),2)</f>
        <v>0</v>
      </c>
      <c r="F328" s="39" t="n">
        <f aca="false">ROUND(Z327*(1+N('My Debts'!$D$10)/12),2)</f>
        <v>0</v>
      </c>
      <c r="G328" s="39" t="n">
        <f aca="false">ROUND(AA327*(1+N('My Debts'!$D$11)/12),2)</f>
        <v>0</v>
      </c>
      <c r="H328" s="39" t="n">
        <f aca="false">ROUND(AB327*(1+N('My Debts'!$D$12)/12),2)</f>
        <v>0</v>
      </c>
      <c r="I328" s="39" t="n">
        <f aca="false">ROUND(AC327*(1+N('My Debts'!$D$13)/12),2)</f>
        <v>0</v>
      </c>
      <c r="J328" s="39" t="n">
        <f aca="false">ROUND(AD327*(1+N('My Debts'!$D$14)/12),2)</f>
        <v>0</v>
      </c>
      <c r="K328" s="39" t="n">
        <f aca="false">ROUND(AE327*(1+N('My Debts'!$D$15)/12),2)</f>
        <v>0</v>
      </c>
      <c r="L328" s="39" t="n">
        <f aca="false">MIN(N('My Debts'!$E$6),B328)</f>
        <v>0</v>
      </c>
      <c r="M328" s="39" t="n">
        <f aca="false">MIN(N('My Debts'!$E$7),C328)</f>
        <v>0</v>
      </c>
      <c r="N328" s="39" t="n">
        <f aca="false">MIN(N('My Debts'!$E$8),D328)</f>
        <v>0</v>
      </c>
      <c r="O328" s="39" t="n">
        <f aca="false">MIN(N('My Debts'!$E$9),E328)</f>
        <v>0</v>
      </c>
      <c r="P328" s="39" t="n">
        <f aca="false">MIN(N('My Debts'!$E$10),F328)</f>
        <v>0</v>
      </c>
      <c r="Q328" s="39" t="n">
        <f aca="false">MIN(N('My Debts'!$E$11),G328)</f>
        <v>0</v>
      </c>
      <c r="R328" s="39" t="n">
        <f aca="false">MIN(N('My Debts'!$E$12),H328)</f>
        <v>0</v>
      </c>
      <c r="S328" s="39" t="n">
        <f aca="false">MIN(N('My Debts'!$E$13),I328)</f>
        <v>0</v>
      </c>
      <c r="T328" s="39" t="n">
        <f aca="false">MIN(N('My Debts'!$E$14),J328)</f>
        <v>0</v>
      </c>
      <c r="U328" s="39" t="n">
        <f aca="false">MIN(N('My Debts'!$E$15),K328)</f>
        <v>0</v>
      </c>
      <c r="V328" s="39" t="n">
        <f aca="false">ROUND(B328-L328-MIN(B328-L328,MAX(0,$AF328-SUMPRODUCT(--($B$4:$K$4&lt;B$4),$B328:$K328-$L328:$U328))),2)</f>
        <v>0</v>
      </c>
      <c r="W328" s="39" t="n">
        <f aca="false">ROUND(C328-M328-MIN(C328-M328,MAX(0,$AF328-SUMPRODUCT(--($B$4:$K$4&lt;C$4),$B328:$K328-$L328:$U328))),2)</f>
        <v>0</v>
      </c>
      <c r="X328" s="39" t="n">
        <f aca="false">ROUND(D328-N328-MIN(D328-N328,MAX(0,$AF328-SUMPRODUCT(--($B$4:$K$4&lt;D$4),$B328:$K328-$L328:$U328))),2)</f>
        <v>0</v>
      </c>
      <c r="Y328" s="39" t="n">
        <f aca="false">ROUND(E328-O328-MIN(E328-O328,MAX(0,$AF328-SUMPRODUCT(--($B$4:$K$4&lt;E$4),$B328:$K328-$L328:$U328))),2)</f>
        <v>0</v>
      </c>
      <c r="Z328" s="39" t="n">
        <f aca="false">ROUND(F328-P328-MIN(F328-P328,MAX(0,$AF328-SUMPRODUCT(--($B$4:$K$4&lt;F$4),$B328:$K328-$L328:$U328))),2)</f>
        <v>0</v>
      </c>
      <c r="AA328" s="39" t="n">
        <f aca="false">ROUND(G328-Q328-MIN(G328-Q328,MAX(0,$AF328-SUMPRODUCT(--($B$4:$K$4&lt;G$4),$B328:$K328-$L328:$U328))),2)</f>
        <v>0</v>
      </c>
      <c r="AB328" s="39" t="n">
        <f aca="false">ROUND(H328-R328-MIN(H328-R328,MAX(0,$AF328-SUMPRODUCT(--($B$4:$K$4&lt;H$4),$B328:$K328-$L328:$U328))),2)</f>
        <v>0</v>
      </c>
      <c r="AC328" s="39" t="n">
        <f aca="false">ROUND(I328-S328-MIN(I328-S328,MAX(0,$AF328-SUMPRODUCT(--($B$4:$K$4&lt;I$4),$B328:$K328-$L328:$U328))),2)</f>
        <v>0</v>
      </c>
      <c r="AD328" s="39" t="n">
        <f aca="false">ROUND(J328-T328-MIN(J328-T328,MAX(0,$AF328-SUMPRODUCT(--($B$4:$K$4&lt;J$4),$B328:$K328-$L328:$U328))),2)</f>
        <v>0</v>
      </c>
      <c r="AE328" s="39" t="n">
        <f aca="false">ROUND(K328-U328-MIN(K328-U328,MAX(0,$AF328-SUMPRODUCT(--($B$4:$K$4&lt;K$4),$B328:$K328-$L328:$U328))),2)</f>
        <v>0</v>
      </c>
      <c r="AF328" s="39" t="n">
        <f aca="false">MAX(0,'Start Here'!$C$5-SUM($L328:$U328))</f>
        <v>1200</v>
      </c>
      <c r="AG328" s="39" t="n">
        <f aca="false">SUM(V328:AE328)</f>
        <v>0</v>
      </c>
      <c r="AH328" s="39" t="n">
        <f aca="false">SUM(B328:K328)-AG327</f>
        <v>0</v>
      </c>
    </row>
    <row r="329" customFormat="false" ht="15" hidden="false" customHeight="false" outlineLevel="0" collapsed="false">
      <c r="A329" s="40" t="n">
        <f aca="false">DATE(YEAR('Start Here'!$C$6),MONTH('Start Here'!$C$6)+322,1)</f>
        <v>56097</v>
      </c>
      <c r="B329" s="39" t="n">
        <f aca="false">ROUND(V328*(1+N('My Debts'!$D$6)/12),2)</f>
        <v>0</v>
      </c>
      <c r="C329" s="39" t="n">
        <f aca="false">ROUND(W328*(1+N('My Debts'!$D$7)/12),2)</f>
        <v>0</v>
      </c>
      <c r="D329" s="39" t="n">
        <f aca="false">ROUND(X328*(1+N('My Debts'!$D$8)/12),2)</f>
        <v>0</v>
      </c>
      <c r="E329" s="39" t="n">
        <f aca="false">ROUND(Y328*(1+N('My Debts'!$D$9)/12),2)</f>
        <v>0</v>
      </c>
      <c r="F329" s="39" t="n">
        <f aca="false">ROUND(Z328*(1+N('My Debts'!$D$10)/12),2)</f>
        <v>0</v>
      </c>
      <c r="G329" s="39" t="n">
        <f aca="false">ROUND(AA328*(1+N('My Debts'!$D$11)/12),2)</f>
        <v>0</v>
      </c>
      <c r="H329" s="39" t="n">
        <f aca="false">ROUND(AB328*(1+N('My Debts'!$D$12)/12),2)</f>
        <v>0</v>
      </c>
      <c r="I329" s="39" t="n">
        <f aca="false">ROUND(AC328*(1+N('My Debts'!$D$13)/12),2)</f>
        <v>0</v>
      </c>
      <c r="J329" s="39" t="n">
        <f aca="false">ROUND(AD328*(1+N('My Debts'!$D$14)/12),2)</f>
        <v>0</v>
      </c>
      <c r="K329" s="39" t="n">
        <f aca="false">ROUND(AE328*(1+N('My Debts'!$D$15)/12),2)</f>
        <v>0</v>
      </c>
      <c r="L329" s="39" t="n">
        <f aca="false">MIN(N('My Debts'!$E$6),B329)</f>
        <v>0</v>
      </c>
      <c r="M329" s="39" t="n">
        <f aca="false">MIN(N('My Debts'!$E$7),C329)</f>
        <v>0</v>
      </c>
      <c r="N329" s="39" t="n">
        <f aca="false">MIN(N('My Debts'!$E$8),D329)</f>
        <v>0</v>
      </c>
      <c r="O329" s="39" t="n">
        <f aca="false">MIN(N('My Debts'!$E$9),E329)</f>
        <v>0</v>
      </c>
      <c r="P329" s="39" t="n">
        <f aca="false">MIN(N('My Debts'!$E$10),F329)</f>
        <v>0</v>
      </c>
      <c r="Q329" s="39" t="n">
        <f aca="false">MIN(N('My Debts'!$E$11),G329)</f>
        <v>0</v>
      </c>
      <c r="R329" s="39" t="n">
        <f aca="false">MIN(N('My Debts'!$E$12),H329)</f>
        <v>0</v>
      </c>
      <c r="S329" s="39" t="n">
        <f aca="false">MIN(N('My Debts'!$E$13),I329)</f>
        <v>0</v>
      </c>
      <c r="T329" s="39" t="n">
        <f aca="false">MIN(N('My Debts'!$E$14),J329)</f>
        <v>0</v>
      </c>
      <c r="U329" s="39" t="n">
        <f aca="false">MIN(N('My Debts'!$E$15),K329)</f>
        <v>0</v>
      </c>
      <c r="V329" s="39" t="n">
        <f aca="false">ROUND(B329-L329-MIN(B329-L329,MAX(0,$AF329-SUMPRODUCT(--($B$4:$K$4&lt;B$4),$B329:$K329-$L329:$U329))),2)</f>
        <v>0</v>
      </c>
      <c r="W329" s="39" t="n">
        <f aca="false">ROUND(C329-M329-MIN(C329-M329,MAX(0,$AF329-SUMPRODUCT(--($B$4:$K$4&lt;C$4),$B329:$K329-$L329:$U329))),2)</f>
        <v>0</v>
      </c>
      <c r="X329" s="39" t="n">
        <f aca="false">ROUND(D329-N329-MIN(D329-N329,MAX(0,$AF329-SUMPRODUCT(--($B$4:$K$4&lt;D$4),$B329:$K329-$L329:$U329))),2)</f>
        <v>0</v>
      </c>
      <c r="Y329" s="39" t="n">
        <f aca="false">ROUND(E329-O329-MIN(E329-O329,MAX(0,$AF329-SUMPRODUCT(--($B$4:$K$4&lt;E$4),$B329:$K329-$L329:$U329))),2)</f>
        <v>0</v>
      </c>
      <c r="Z329" s="39" t="n">
        <f aca="false">ROUND(F329-P329-MIN(F329-P329,MAX(0,$AF329-SUMPRODUCT(--($B$4:$K$4&lt;F$4),$B329:$K329-$L329:$U329))),2)</f>
        <v>0</v>
      </c>
      <c r="AA329" s="39" t="n">
        <f aca="false">ROUND(G329-Q329-MIN(G329-Q329,MAX(0,$AF329-SUMPRODUCT(--($B$4:$K$4&lt;G$4),$B329:$K329-$L329:$U329))),2)</f>
        <v>0</v>
      </c>
      <c r="AB329" s="39" t="n">
        <f aca="false">ROUND(H329-R329-MIN(H329-R329,MAX(0,$AF329-SUMPRODUCT(--($B$4:$K$4&lt;H$4),$B329:$K329-$L329:$U329))),2)</f>
        <v>0</v>
      </c>
      <c r="AC329" s="39" t="n">
        <f aca="false">ROUND(I329-S329-MIN(I329-S329,MAX(0,$AF329-SUMPRODUCT(--($B$4:$K$4&lt;I$4),$B329:$K329-$L329:$U329))),2)</f>
        <v>0</v>
      </c>
      <c r="AD329" s="39" t="n">
        <f aca="false">ROUND(J329-T329-MIN(J329-T329,MAX(0,$AF329-SUMPRODUCT(--($B$4:$K$4&lt;J$4),$B329:$K329-$L329:$U329))),2)</f>
        <v>0</v>
      </c>
      <c r="AE329" s="39" t="n">
        <f aca="false">ROUND(K329-U329-MIN(K329-U329,MAX(0,$AF329-SUMPRODUCT(--($B$4:$K$4&lt;K$4),$B329:$K329-$L329:$U329))),2)</f>
        <v>0</v>
      </c>
      <c r="AF329" s="39" t="n">
        <f aca="false">MAX(0,'Start Here'!$C$5-SUM($L329:$U329))</f>
        <v>1200</v>
      </c>
      <c r="AG329" s="39" t="n">
        <f aca="false">SUM(V329:AE329)</f>
        <v>0</v>
      </c>
      <c r="AH329" s="39" t="n">
        <f aca="false">SUM(B329:K329)-AG328</f>
        <v>0</v>
      </c>
    </row>
    <row r="330" customFormat="false" ht="15" hidden="false" customHeight="false" outlineLevel="0" collapsed="false">
      <c r="A330" s="40" t="n">
        <f aca="false">DATE(YEAR('Start Here'!$C$6),MONTH('Start Here'!$C$6)+323,1)</f>
        <v>56128</v>
      </c>
      <c r="B330" s="39" t="n">
        <f aca="false">ROUND(V329*(1+N('My Debts'!$D$6)/12),2)</f>
        <v>0</v>
      </c>
      <c r="C330" s="39" t="n">
        <f aca="false">ROUND(W329*(1+N('My Debts'!$D$7)/12),2)</f>
        <v>0</v>
      </c>
      <c r="D330" s="39" t="n">
        <f aca="false">ROUND(X329*(1+N('My Debts'!$D$8)/12),2)</f>
        <v>0</v>
      </c>
      <c r="E330" s="39" t="n">
        <f aca="false">ROUND(Y329*(1+N('My Debts'!$D$9)/12),2)</f>
        <v>0</v>
      </c>
      <c r="F330" s="39" t="n">
        <f aca="false">ROUND(Z329*(1+N('My Debts'!$D$10)/12),2)</f>
        <v>0</v>
      </c>
      <c r="G330" s="39" t="n">
        <f aca="false">ROUND(AA329*(1+N('My Debts'!$D$11)/12),2)</f>
        <v>0</v>
      </c>
      <c r="H330" s="39" t="n">
        <f aca="false">ROUND(AB329*(1+N('My Debts'!$D$12)/12),2)</f>
        <v>0</v>
      </c>
      <c r="I330" s="39" t="n">
        <f aca="false">ROUND(AC329*(1+N('My Debts'!$D$13)/12),2)</f>
        <v>0</v>
      </c>
      <c r="J330" s="39" t="n">
        <f aca="false">ROUND(AD329*(1+N('My Debts'!$D$14)/12),2)</f>
        <v>0</v>
      </c>
      <c r="K330" s="39" t="n">
        <f aca="false">ROUND(AE329*(1+N('My Debts'!$D$15)/12),2)</f>
        <v>0</v>
      </c>
      <c r="L330" s="39" t="n">
        <f aca="false">MIN(N('My Debts'!$E$6),B330)</f>
        <v>0</v>
      </c>
      <c r="M330" s="39" t="n">
        <f aca="false">MIN(N('My Debts'!$E$7),C330)</f>
        <v>0</v>
      </c>
      <c r="N330" s="39" t="n">
        <f aca="false">MIN(N('My Debts'!$E$8),D330)</f>
        <v>0</v>
      </c>
      <c r="O330" s="39" t="n">
        <f aca="false">MIN(N('My Debts'!$E$9),E330)</f>
        <v>0</v>
      </c>
      <c r="P330" s="39" t="n">
        <f aca="false">MIN(N('My Debts'!$E$10),F330)</f>
        <v>0</v>
      </c>
      <c r="Q330" s="39" t="n">
        <f aca="false">MIN(N('My Debts'!$E$11),G330)</f>
        <v>0</v>
      </c>
      <c r="R330" s="39" t="n">
        <f aca="false">MIN(N('My Debts'!$E$12),H330)</f>
        <v>0</v>
      </c>
      <c r="S330" s="39" t="n">
        <f aca="false">MIN(N('My Debts'!$E$13),I330)</f>
        <v>0</v>
      </c>
      <c r="T330" s="39" t="n">
        <f aca="false">MIN(N('My Debts'!$E$14),J330)</f>
        <v>0</v>
      </c>
      <c r="U330" s="39" t="n">
        <f aca="false">MIN(N('My Debts'!$E$15),K330)</f>
        <v>0</v>
      </c>
      <c r="V330" s="39" t="n">
        <f aca="false">ROUND(B330-L330-MIN(B330-L330,MAX(0,$AF330-SUMPRODUCT(--($B$4:$K$4&lt;B$4),$B330:$K330-$L330:$U330))),2)</f>
        <v>0</v>
      </c>
      <c r="W330" s="39" t="n">
        <f aca="false">ROUND(C330-M330-MIN(C330-M330,MAX(0,$AF330-SUMPRODUCT(--($B$4:$K$4&lt;C$4),$B330:$K330-$L330:$U330))),2)</f>
        <v>0</v>
      </c>
      <c r="X330" s="39" t="n">
        <f aca="false">ROUND(D330-N330-MIN(D330-N330,MAX(0,$AF330-SUMPRODUCT(--($B$4:$K$4&lt;D$4),$B330:$K330-$L330:$U330))),2)</f>
        <v>0</v>
      </c>
      <c r="Y330" s="39" t="n">
        <f aca="false">ROUND(E330-O330-MIN(E330-O330,MAX(0,$AF330-SUMPRODUCT(--($B$4:$K$4&lt;E$4),$B330:$K330-$L330:$U330))),2)</f>
        <v>0</v>
      </c>
      <c r="Z330" s="39" t="n">
        <f aca="false">ROUND(F330-P330-MIN(F330-P330,MAX(0,$AF330-SUMPRODUCT(--($B$4:$K$4&lt;F$4),$B330:$K330-$L330:$U330))),2)</f>
        <v>0</v>
      </c>
      <c r="AA330" s="39" t="n">
        <f aca="false">ROUND(G330-Q330-MIN(G330-Q330,MAX(0,$AF330-SUMPRODUCT(--($B$4:$K$4&lt;G$4),$B330:$K330-$L330:$U330))),2)</f>
        <v>0</v>
      </c>
      <c r="AB330" s="39" t="n">
        <f aca="false">ROUND(H330-R330-MIN(H330-R330,MAX(0,$AF330-SUMPRODUCT(--($B$4:$K$4&lt;H$4),$B330:$K330-$L330:$U330))),2)</f>
        <v>0</v>
      </c>
      <c r="AC330" s="39" t="n">
        <f aca="false">ROUND(I330-S330-MIN(I330-S330,MAX(0,$AF330-SUMPRODUCT(--($B$4:$K$4&lt;I$4),$B330:$K330-$L330:$U330))),2)</f>
        <v>0</v>
      </c>
      <c r="AD330" s="39" t="n">
        <f aca="false">ROUND(J330-T330-MIN(J330-T330,MAX(0,$AF330-SUMPRODUCT(--($B$4:$K$4&lt;J$4),$B330:$K330-$L330:$U330))),2)</f>
        <v>0</v>
      </c>
      <c r="AE330" s="39" t="n">
        <f aca="false">ROUND(K330-U330-MIN(K330-U330,MAX(0,$AF330-SUMPRODUCT(--($B$4:$K$4&lt;K$4),$B330:$K330-$L330:$U330))),2)</f>
        <v>0</v>
      </c>
      <c r="AF330" s="39" t="n">
        <f aca="false">MAX(0,'Start Here'!$C$5-SUM($L330:$U330))</f>
        <v>1200</v>
      </c>
      <c r="AG330" s="39" t="n">
        <f aca="false">SUM(V330:AE330)</f>
        <v>0</v>
      </c>
      <c r="AH330" s="39" t="n">
        <f aca="false">SUM(B330:K330)-AG329</f>
        <v>0</v>
      </c>
    </row>
    <row r="331" customFormat="false" ht="15" hidden="false" customHeight="false" outlineLevel="0" collapsed="false">
      <c r="A331" s="40" t="n">
        <f aca="false">DATE(YEAR('Start Here'!$C$6),MONTH('Start Here'!$C$6)+324,1)</f>
        <v>56158</v>
      </c>
      <c r="B331" s="39" t="n">
        <f aca="false">ROUND(V330*(1+N('My Debts'!$D$6)/12),2)</f>
        <v>0</v>
      </c>
      <c r="C331" s="39" t="n">
        <f aca="false">ROUND(W330*(1+N('My Debts'!$D$7)/12),2)</f>
        <v>0</v>
      </c>
      <c r="D331" s="39" t="n">
        <f aca="false">ROUND(X330*(1+N('My Debts'!$D$8)/12),2)</f>
        <v>0</v>
      </c>
      <c r="E331" s="39" t="n">
        <f aca="false">ROUND(Y330*(1+N('My Debts'!$D$9)/12),2)</f>
        <v>0</v>
      </c>
      <c r="F331" s="39" t="n">
        <f aca="false">ROUND(Z330*(1+N('My Debts'!$D$10)/12),2)</f>
        <v>0</v>
      </c>
      <c r="G331" s="39" t="n">
        <f aca="false">ROUND(AA330*(1+N('My Debts'!$D$11)/12),2)</f>
        <v>0</v>
      </c>
      <c r="H331" s="39" t="n">
        <f aca="false">ROUND(AB330*(1+N('My Debts'!$D$12)/12),2)</f>
        <v>0</v>
      </c>
      <c r="I331" s="39" t="n">
        <f aca="false">ROUND(AC330*(1+N('My Debts'!$D$13)/12),2)</f>
        <v>0</v>
      </c>
      <c r="J331" s="39" t="n">
        <f aca="false">ROUND(AD330*(1+N('My Debts'!$D$14)/12),2)</f>
        <v>0</v>
      </c>
      <c r="K331" s="39" t="n">
        <f aca="false">ROUND(AE330*(1+N('My Debts'!$D$15)/12),2)</f>
        <v>0</v>
      </c>
      <c r="L331" s="39" t="n">
        <f aca="false">MIN(N('My Debts'!$E$6),B331)</f>
        <v>0</v>
      </c>
      <c r="M331" s="39" t="n">
        <f aca="false">MIN(N('My Debts'!$E$7),C331)</f>
        <v>0</v>
      </c>
      <c r="N331" s="39" t="n">
        <f aca="false">MIN(N('My Debts'!$E$8),D331)</f>
        <v>0</v>
      </c>
      <c r="O331" s="39" t="n">
        <f aca="false">MIN(N('My Debts'!$E$9),E331)</f>
        <v>0</v>
      </c>
      <c r="P331" s="39" t="n">
        <f aca="false">MIN(N('My Debts'!$E$10),F331)</f>
        <v>0</v>
      </c>
      <c r="Q331" s="39" t="n">
        <f aca="false">MIN(N('My Debts'!$E$11),G331)</f>
        <v>0</v>
      </c>
      <c r="R331" s="39" t="n">
        <f aca="false">MIN(N('My Debts'!$E$12),H331)</f>
        <v>0</v>
      </c>
      <c r="S331" s="39" t="n">
        <f aca="false">MIN(N('My Debts'!$E$13),I331)</f>
        <v>0</v>
      </c>
      <c r="T331" s="39" t="n">
        <f aca="false">MIN(N('My Debts'!$E$14),J331)</f>
        <v>0</v>
      </c>
      <c r="U331" s="39" t="n">
        <f aca="false">MIN(N('My Debts'!$E$15),K331)</f>
        <v>0</v>
      </c>
      <c r="V331" s="39" t="n">
        <f aca="false">ROUND(B331-L331-MIN(B331-L331,MAX(0,$AF331-SUMPRODUCT(--($B$4:$K$4&lt;B$4),$B331:$K331-$L331:$U331))),2)</f>
        <v>0</v>
      </c>
      <c r="W331" s="39" t="n">
        <f aca="false">ROUND(C331-M331-MIN(C331-M331,MAX(0,$AF331-SUMPRODUCT(--($B$4:$K$4&lt;C$4),$B331:$K331-$L331:$U331))),2)</f>
        <v>0</v>
      </c>
      <c r="X331" s="39" t="n">
        <f aca="false">ROUND(D331-N331-MIN(D331-N331,MAX(0,$AF331-SUMPRODUCT(--($B$4:$K$4&lt;D$4),$B331:$K331-$L331:$U331))),2)</f>
        <v>0</v>
      </c>
      <c r="Y331" s="39" t="n">
        <f aca="false">ROUND(E331-O331-MIN(E331-O331,MAX(0,$AF331-SUMPRODUCT(--($B$4:$K$4&lt;E$4),$B331:$K331-$L331:$U331))),2)</f>
        <v>0</v>
      </c>
      <c r="Z331" s="39" t="n">
        <f aca="false">ROUND(F331-P331-MIN(F331-P331,MAX(0,$AF331-SUMPRODUCT(--($B$4:$K$4&lt;F$4),$B331:$K331-$L331:$U331))),2)</f>
        <v>0</v>
      </c>
      <c r="AA331" s="39" t="n">
        <f aca="false">ROUND(G331-Q331-MIN(G331-Q331,MAX(0,$AF331-SUMPRODUCT(--($B$4:$K$4&lt;G$4),$B331:$K331-$L331:$U331))),2)</f>
        <v>0</v>
      </c>
      <c r="AB331" s="39" t="n">
        <f aca="false">ROUND(H331-R331-MIN(H331-R331,MAX(0,$AF331-SUMPRODUCT(--($B$4:$K$4&lt;H$4),$B331:$K331-$L331:$U331))),2)</f>
        <v>0</v>
      </c>
      <c r="AC331" s="39" t="n">
        <f aca="false">ROUND(I331-S331-MIN(I331-S331,MAX(0,$AF331-SUMPRODUCT(--($B$4:$K$4&lt;I$4),$B331:$K331-$L331:$U331))),2)</f>
        <v>0</v>
      </c>
      <c r="AD331" s="39" t="n">
        <f aca="false">ROUND(J331-T331-MIN(J331-T331,MAX(0,$AF331-SUMPRODUCT(--($B$4:$K$4&lt;J$4),$B331:$K331-$L331:$U331))),2)</f>
        <v>0</v>
      </c>
      <c r="AE331" s="39" t="n">
        <f aca="false">ROUND(K331-U331-MIN(K331-U331,MAX(0,$AF331-SUMPRODUCT(--($B$4:$K$4&lt;K$4),$B331:$K331-$L331:$U331))),2)</f>
        <v>0</v>
      </c>
      <c r="AF331" s="39" t="n">
        <f aca="false">MAX(0,'Start Here'!$C$5-SUM($L331:$U331))</f>
        <v>1200</v>
      </c>
      <c r="AG331" s="39" t="n">
        <f aca="false">SUM(V331:AE331)</f>
        <v>0</v>
      </c>
      <c r="AH331" s="39" t="n">
        <f aca="false">SUM(B331:K331)-AG330</f>
        <v>0</v>
      </c>
    </row>
    <row r="332" customFormat="false" ht="15" hidden="false" customHeight="false" outlineLevel="0" collapsed="false">
      <c r="A332" s="40" t="n">
        <f aca="false">DATE(YEAR('Start Here'!$C$6),MONTH('Start Here'!$C$6)+325,1)</f>
        <v>56189</v>
      </c>
      <c r="B332" s="39" t="n">
        <f aca="false">ROUND(V331*(1+N('My Debts'!$D$6)/12),2)</f>
        <v>0</v>
      </c>
      <c r="C332" s="39" t="n">
        <f aca="false">ROUND(W331*(1+N('My Debts'!$D$7)/12),2)</f>
        <v>0</v>
      </c>
      <c r="D332" s="39" t="n">
        <f aca="false">ROUND(X331*(1+N('My Debts'!$D$8)/12),2)</f>
        <v>0</v>
      </c>
      <c r="E332" s="39" t="n">
        <f aca="false">ROUND(Y331*(1+N('My Debts'!$D$9)/12),2)</f>
        <v>0</v>
      </c>
      <c r="F332" s="39" t="n">
        <f aca="false">ROUND(Z331*(1+N('My Debts'!$D$10)/12),2)</f>
        <v>0</v>
      </c>
      <c r="G332" s="39" t="n">
        <f aca="false">ROUND(AA331*(1+N('My Debts'!$D$11)/12),2)</f>
        <v>0</v>
      </c>
      <c r="H332" s="39" t="n">
        <f aca="false">ROUND(AB331*(1+N('My Debts'!$D$12)/12),2)</f>
        <v>0</v>
      </c>
      <c r="I332" s="39" t="n">
        <f aca="false">ROUND(AC331*(1+N('My Debts'!$D$13)/12),2)</f>
        <v>0</v>
      </c>
      <c r="J332" s="39" t="n">
        <f aca="false">ROUND(AD331*(1+N('My Debts'!$D$14)/12),2)</f>
        <v>0</v>
      </c>
      <c r="K332" s="39" t="n">
        <f aca="false">ROUND(AE331*(1+N('My Debts'!$D$15)/12),2)</f>
        <v>0</v>
      </c>
      <c r="L332" s="39" t="n">
        <f aca="false">MIN(N('My Debts'!$E$6),B332)</f>
        <v>0</v>
      </c>
      <c r="M332" s="39" t="n">
        <f aca="false">MIN(N('My Debts'!$E$7),C332)</f>
        <v>0</v>
      </c>
      <c r="N332" s="39" t="n">
        <f aca="false">MIN(N('My Debts'!$E$8),D332)</f>
        <v>0</v>
      </c>
      <c r="O332" s="39" t="n">
        <f aca="false">MIN(N('My Debts'!$E$9),E332)</f>
        <v>0</v>
      </c>
      <c r="P332" s="39" t="n">
        <f aca="false">MIN(N('My Debts'!$E$10),F332)</f>
        <v>0</v>
      </c>
      <c r="Q332" s="39" t="n">
        <f aca="false">MIN(N('My Debts'!$E$11),G332)</f>
        <v>0</v>
      </c>
      <c r="R332" s="39" t="n">
        <f aca="false">MIN(N('My Debts'!$E$12),H332)</f>
        <v>0</v>
      </c>
      <c r="S332" s="39" t="n">
        <f aca="false">MIN(N('My Debts'!$E$13),I332)</f>
        <v>0</v>
      </c>
      <c r="T332" s="39" t="n">
        <f aca="false">MIN(N('My Debts'!$E$14),J332)</f>
        <v>0</v>
      </c>
      <c r="U332" s="39" t="n">
        <f aca="false">MIN(N('My Debts'!$E$15),K332)</f>
        <v>0</v>
      </c>
      <c r="V332" s="39" t="n">
        <f aca="false">ROUND(B332-L332-MIN(B332-L332,MAX(0,$AF332-SUMPRODUCT(--($B$4:$K$4&lt;B$4),$B332:$K332-$L332:$U332))),2)</f>
        <v>0</v>
      </c>
      <c r="W332" s="39" t="n">
        <f aca="false">ROUND(C332-M332-MIN(C332-M332,MAX(0,$AF332-SUMPRODUCT(--($B$4:$K$4&lt;C$4),$B332:$K332-$L332:$U332))),2)</f>
        <v>0</v>
      </c>
      <c r="X332" s="39" t="n">
        <f aca="false">ROUND(D332-N332-MIN(D332-N332,MAX(0,$AF332-SUMPRODUCT(--($B$4:$K$4&lt;D$4),$B332:$K332-$L332:$U332))),2)</f>
        <v>0</v>
      </c>
      <c r="Y332" s="39" t="n">
        <f aca="false">ROUND(E332-O332-MIN(E332-O332,MAX(0,$AF332-SUMPRODUCT(--($B$4:$K$4&lt;E$4),$B332:$K332-$L332:$U332))),2)</f>
        <v>0</v>
      </c>
      <c r="Z332" s="39" t="n">
        <f aca="false">ROUND(F332-P332-MIN(F332-P332,MAX(0,$AF332-SUMPRODUCT(--($B$4:$K$4&lt;F$4),$B332:$K332-$L332:$U332))),2)</f>
        <v>0</v>
      </c>
      <c r="AA332" s="39" t="n">
        <f aca="false">ROUND(G332-Q332-MIN(G332-Q332,MAX(0,$AF332-SUMPRODUCT(--($B$4:$K$4&lt;G$4),$B332:$K332-$L332:$U332))),2)</f>
        <v>0</v>
      </c>
      <c r="AB332" s="39" t="n">
        <f aca="false">ROUND(H332-R332-MIN(H332-R332,MAX(0,$AF332-SUMPRODUCT(--($B$4:$K$4&lt;H$4),$B332:$K332-$L332:$U332))),2)</f>
        <v>0</v>
      </c>
      <c r="AC332" s="39" t="n">
        <f aca="false">ROUND(I332-S332-MIN(I332-S332,MAX(0,$AF332-SUMPRODUCT(--($B$4:$K$4&lt;I$4),$B332:$K332-$L332:$U332))),2)</f>
        <v>0</v>
      </c>
      <c r="AD332" s="39" t="n">
        <f aca="false">ROUND(J332-T332-MIN(J332-T332,MAX(0,$AF332-SUMPRODUCT(--($B$4:$K$4&lt;J$4),$B332:$K332-$L332:$U332))),2)</f>
        <v>0</v>
      </c>
      <c r="AE332" s="39" t="n">
        <f aca="false">ROUND(K332-U332-MIN(K332-U332,MAX(0,$AF332-SUMPRODUCT(--($B$4:$K$4&lt;K$4),$B332:$K332-$L332:$U332))),2)</f>
        <v>0</v>
      </c>
      <c r="AF332" s="39" t="n">
        <f aca="false">MAX(0,'Start Here'!$C$5-SUM($L332:$U332))</f>
        <v>1200</v>
      </c>
      <c r="AG332" s="39" t="n">
        <f aca="false">SUM(V332:AE332)</f>
        <v>0</v>
      </c>
      <c r="AH332" s="39" t="n">
        <f aca="false">SUM(B332:K332)-AG331</f>
        <v>0</v>
      </c>
    </row>
    <row r="333" customFormat="false" ht="15" hidden="false" customHeight="false" outlineLevel="0" collapsed="false">
      <c r="A333" s="40" t="n">
        <f aca="false">DATE(YEAR('Start Here'!$C$6),MONTH('Start Here'!$C$6)+326,1)</f>
        <v>56219</v>
      </c>
      <c r="B333" s="39" t="n">
        <f aca="false">ROUND(V332*(1+N('My Debts'!$D$6)/12),2)</f>
        <v>0</v>
      </c>
      <c r="C333" s="39" t="n">
        <f aca="false">ROUND(W332*(1+N('My Debts'!$D$7)/12),2)</f>
        <v>0</v>
      </c>
      <c r="D333" s="39" t="n">
        <f aca="false">ROUND(X332*(1+N('My Debts'!$D$8)/12),2)</f>
        <v>0</v>
      </c>
      <c r="E333" s="39" t="n">
        <f aca="false">ROUND(Y332*(1+N('My Debts'!$D$9)/12),2)</f>
        <v>0</v>
      </c>
      <c r="F333" s="39" t="n">
        <f aca="false">ROUND(Z332*(1+N('My Debts'!$D$10)/12),2)</f>
        <v>0</v>
      </c>
      <c r="G333" s="39" t="n">
        <f aca="false">ROUND(AA332*(1+N('My Debts'!$D$11)/12),2)</f>
        <v>0</v>
      </c>
      <c r="H333" s="39" t="n">
        <f aca="false">ROUND(AB332*(1+N('My Debts'!$D$12)/12),2)</f>
        <v>0</v>
      </c>
      <c r="I333" s="39" t="n">
        <f aca="false">ROUND(AC332*(1+N('My Debts'!$D$13)/12),2)</f>
        <v>0</v>
      </c>
      <c r="J333" s="39" t="n">
        <f aca="false">ROUND(AD332*(1+N('My Debts'!$D$14)/12),2)</f>
        <v>0</v>
      </c>
      <c r="K333" s="39" t="n">
        <f aca="false">ROUND(AE332*(1+N('My Debts'!$D$15)/12),2)</f>
        <v>0</v>
      </c>
      <c r="L333" s="39" t="n">
        <f aca="false">MIN(N('My Debts'!$E$6),B333)</f>
        <v>0</v>
      </c>
      <c r="M333" s="39" t="n">
        <f aca="false">MIN(N('My Debts'!$E$7),C333)</f>
        <v>0</v>
      </c>
      <c r="N333" s="39" t="n">
        <f aca="false">MIN(N('My Debts'!$E$8),D333)</f>
        <v>0</v>
      </c>
      <c r="O333" s="39" t="n">
        <f aca="false">MIN(N('My Debts'!$E$9),E333)</f>
        <v>0</v>
      </c>
      <c r="P333" s="39" t="n">
        <f aca="false">MIN(N('My Debts'!$E$10),F333)</f>
        <v>0</v>
      </c>
      <c r="Q333" s="39" t="n">
        <f aca="false">MIN(N('My Debts'!$E$11),G333)</f>
        <v>0</v>
      </c>
      <c r="R333" s="39" t="n">
        <f aca="false">MIN(N('My Debts'!$E$12),H333)</f>
        <v>0</v>
      </c>
      <c r="S333" s="39" t="n">
        <f aca="false">MIN(N('My Debts'!$E$13),I333)</f>
        <v>0</v>
      </c>
      <c r="T333" s="39" t="n">
        <f aca="false">MIN(N('My Debts'!$E$14),J333)</f>
        <v>0</v>
      </c>
      <c r="U333" s="39" t="n">
        <f aca="false">MIN(N('My Debts'!$E$15),K333)</f>
        <v>0</v>
      </c>
      <c r="V333" s="39" t="n">
        <f aca="false">ROUND(B333-L333-MIN(B333-L333,MAX(0,$AF333-SUMPRODUCT(--($B$4:$K$4&lt;B$4),$B333:$K333-$L333:$U333))),2)</f>
        <v>0</v>
      </c>
      <c r="W333" s="39" t="n">
        <f aca="false">ROUND(C333-M333-MIN(C333-M333,MAX(0,$AF333-SUMPRODUCT(--($B$4:$K$4&lt;C$4),$B333:$K333-$L333:$U333))),2)</f>
        <v>0</v>
      </c>
      <c r="X333" s="39" t="n">
        <f aca="false">ROUND(D333-N333-MIN(D333-N333,MAX(0,$AF333-SUMPRODUCT(--($B$4:$K$4&lt;D$4),$B333:$K333-$L333:$U333))),2)</f>
        <v>0</v>
      </c>
      <c r="Y333" s="39" t="n">
        <f aca="false">ROUND(E333-O333-MIN(E333-O333,MAX(0,$AF333-SUMPRODUCT(--($B$4:$K$4&lt;E$4),$B333:$K333-$L333:$U333))),2)</f>
        <v>0</v>
      </c>
      <c r="Z333" s="39" t="n">
        <f aca="false">ROUND(F333-P333-MIN(F333-P333,MAX(0,$AF333-SUMPRODUCT(--($B$4:$K$4&lt;F$4),$B333:$K333-$L333:$U333))),2)</f>
        <v>0</v>
      </c>
      <c r="AA333" s="39" t="n">
        <f aca="false">ROUND(G333-Q333-MIN(G333-Q333,MAX(0,$AF333-SUMPRODUCT(--($B$4:$K$4&lt;G$4),$B333:$K333-$L333:$U333))),2)</f>
        <v>0</v>
      </c>
      <c r="AB333" s="39" t="n">
        <f aca="false">ROUND(H333-R333-MIN(H333-R333,MAX(0,$AF333-SUMPRODUCT(--($B$4:$K$4&lt;H$4),$B333:$K333-$L333:$U333))),2)</f>
        <v>0</v>
      </c>
      <c r="AC333" s="39" t="n">
        <f aca="false">ROUND(I333-S333-MIN(I333-S333,MAX(0,$AF333-SUMPRODUCT(--($B$4:$K$4&lt;I$4),$B333:$K333-$L333:$U333))),2)</f>
        <v>0</v>
      </c>
      <c r="AD333" s="39" t="n">
        <f aca="false">ROUND(J333-T333-MIN(J333-T333,MAX(0,$AF333-SUMPRODUCT(--($B$4:$K$4&lt;J$4),$B333:$K333-$L333:$U333))),2)</f>
        <v>0</v>
      </c>
      <c r="AE333" s="39" t="n">
        <f aca="false">ROUND(K333-U333-MIN(K333-U333,MAX(0,$AF333-SUMPRODUCT(--($B$4:$K$4&lt;K$4),$B333:$K333-$L333:$U333))),2)</f>
        <v>0</v>
      </c>
      <c r="AF333" s="39" t="n">
        <f aca="false">MAX(0,'Start Here'!$C$5-SUM($L333:$U333))</f>
        <v>1200</v>
      </c>
      <c r="AG333" s="39" t="n">
        <f aca="false">SUM(V333:AE333)</f>
        <v>0</v>
      </c>
      <c r="AH333" s="39" t="n">
        <f aca="false">SUM(B333:K333)-AG332</f>
        <v>0</v>
      </c>
    </row>
    <row r="334" customFormat="false" ht="15" hidden="false" customHeight="false" outlineLevel="0" collapsed="false">
      <c r="A334" s="40" t="n">
        <f aca="false">DATE(YEAR('Start Here'!$C$6),MONTH('Start Here'!$C$6)+327,1)</f>
        <v>56250</v>
      </c>
      <c r="B334" s="39" t="n">
        <f aca="false">ROUND(V333*(1+N('My Debts'!$D$6)/12),2)</f>
        <v>0</v>
      </c>
      <c r="C334" s="39" t="n">
        <f aca="false">ROUND(W333*(1+N('My Debts'!$D$7)/12),2)</f>
        <v>0</v>
      </c>
      <c r="D334" s="39" t="n">
        <f aca="false">ROUND(X333*(1+N('My Debts'!$D$8)/12),2)</f>
        <v>0</v>
      </c>
      <c r="E334" s="39" t="n">
        <f aca="false">ROUND(Y333*(1+N('My Debts'!$D$9)/12),2)</f>
        <v>0</v>
      </c>
      <c r="F334" s="39" t="n">
        <f aca="false">ROUND(Z333*(1+N('My Debts'!$D$10)/12),2)</f>
        <v>0</v>
      </c>
      <c r="G334" s="39" t="n">
        <f aca="false">ROUND(AA333*(1+N('My Debts'!$D$11)/12),2)</f>
        <v>0</v>
      </c>
      <c r="H334" s="39" t="n">
        <f aca="false">ROUND(AB333*(1+N('My Debts'!$D$12)/12),2)</f>
        <v>0</v>
      </c>
      <c r="I334" s="39" t="n">
        <f aca="false">ROUND(AC333*(1+N('My Debts'!$D$13)/12),2)</f>
        <v>0</v>
      </c>
      <c r="J334" s="39" t="n">
        <f aca="false">ROUND(AD333*(1+N('My Debts'!$D$14)/12),2)</f>
        <v>0</v>
      </c>
      <c r="K334" s="39" t="n">
        <f aca="false">ROUND(AE333*(1+N('My Debts'!$D$15)/12),2)</f>
        <v>0</v>
      </c>
      <c r="L334" s="39" t="n">
        <f aca="false">MIN(N('My Debts'!$E$6),B334)</f>
        <v>0</v>
      </c>
      <c r="M334" s="39" t="n">
        <f aca="false">MIN(N('My Debts'!$E$7),C334)</f>
        <v>0</v>
      </c>
      <c r="N334" s="39" t="n">
        <f aca="false">MIN(N('My Debts'!$E$8),D334)</f>
        <v>0</v>
      </c>
      <c r="O334" s="39" t="n">
        <f aca="false">MIN(N('My Debts'!$E$9),E334)</f>
        <v>0</v>
      </c>
      <c r="P334" s="39" t="n">
        <f aca="false">MIN(N('My Debts'!$E$10),F334)</f>
        <v>0</v>
      </c>
      <c r="Q334" s="39" t="n">
        <f aca="false">MIN(N('My Debts'!$E$11),G334)</f>
        <v>0</v>
      </c>
      <c r="R334" s="39" t="n">
        <f aca="false">MIN(N('My Debts'!$E$12),H334)</f>
        <v>0</v>
      </c>
      <c r="S334" s="39" t="n">
        <f aca="false">MIN(N('My Debts'!$E$13),I334)</f>
        <v>0</v>
      </c>
      <c r="T334" s="39" t="n">
        <f aca="false">MIN(N('My Debts'!$E$14),J334)</f>
        <v>0</v>
      </c>
      <c r="U334" s="39" t="n">
        <f aca="false">MIN(N('My Debts'!$E$15),K334)</f>
        <v>0</v>
      </c>
      <c r="V334" s="39" t="n">
        <f aca="false">ROUND(B334-L334-MIN(B334-L334,MAX(0,$AF334-SUMPRODUCT(--($B$4:$K$4&lt;B$4),$B334:$K334-$L334:$U334))),2)</f>
        <v>0</v>
      </c>
      <c r="W334" s="39" t="n">
        <f aca="false">ROUND(C334-M334-MIN(C334-M334,MAX(0,$AF334-SUMPRODUCT(--($B$4:$K$4&lt;C$4),$B334:$K334-$L334:$U334))),2)</f>
        <v>0</v>
      </c>
      <c r="X334" s="39" t="n">
        <f aca="false">ROUND(D334-N334-MIN(D334-N334,MAX(0,$AF334-SUMPRODUCT(--($B$4:$K$4&lt;D$4),$B334:$K334-$L334:$U334))),2)</f>
        <v>0</v>
      </c>
      <c r="Y334" s="39" t="n">
        <f aca="false">ROUND(E334-O334-MIN(E334-O334,MAX(0,$AF334-SUMPRODUCT(--($B$4:$K$4&lt;E$4),$B334:$K334-$L334:$U334))),2)</f>
        <v>0</v>
      </c>
      <c r="Z334" s="39" t="n">
        <f aca="false">ROUND(F334-P334-MIN(F334-P334,MAX(0,$AF334-SUMPRODUCT(--($B$4:$K$4&lt;F$4),$B334:$K334-$L334:$U334))),2)</f>
        <v>0</v>
      </c>
      <c r="AA334" s="39" t="n">
        <f aca="false">ROUND(G334-Q334-MIN(G334-Q334,MAX(0,$AF334-SUMPRODUCT(--($B$4:$K$4&lt;G$4),$B334:$K334-$L334:$U334))),2)</f>
        <v>0</v>
      </c>
      <c r="AB334" s="39" t="n">
        <f aca="false">ROUND(H334-R334-MIN(H334-R334,MAX(0,$AF334-SUMPRODUCT(--($B$4:$K$4&lt;H$4),$B334:$K334-$L334:$U334))),2)</f>
        <v>0</v>
      </c>
      <c r="AC334" s="39" t="n">
        <f aca="false">ROUND(I334-S334-MIN(I334-S334,MAX(0,$AF334-SUMPRODUCT(--($B$4:$K$4&lt;I$4),$B334:$K334-$L334:$U334))),2)</f>
        <v>0</v>
      </c>
      <c r="AD334" s="39" t="n">
        <f aca="false">ROUND(J334-T334-MIN(J334-T334,MAX(0,$AF334-SUMPRODUCT(--($B$4:$K$4&lt;J$4),$B334:$K334-$L334:$U334))),2)</f>
        <v>0</v>
      </c>
      <c r="AE334" s="39" t="n">
        <f aca="false">ROUND(K334-U334-MIN(K334-U334,MAX(0,$AF334-SUMPRODUCT(--($B$4:$K$4&lt;K$4),$B334:$K334-$L334:$U334))),2)</f>
        <v>0</v>
      </c>
      <c r="AF334" s="39" t="n">
        <f aca="false">MAX(0,'Start Here'!$C$5-SUM($L334:$U334))</f>
        <v>1200</v>
      </c>
      <c r="AG334" s="39" t="n">
        <f aca="false">SUM(V334:AE334)</f>
        <v>0</v>
      </c>
      <c r="AH334" s="39" t="n">
        <f aca="false">SUM(B334:K334)-AG333</f>
        <v>0</v>
      </c>
    </row>
    <row r="335" customFormat="false" ht="15" hidden="false" customHeight="false" outlineLevel="0" collapsed="false">
      <c r="A335" s="40" t="n">
        <f aca="false">DATE(YEAR('Start Here'!$C$6),MONTH('Start Here'!$C$6)+328,1)</f>
        <v>56281</v>
      </c>
      <c r="B335" s="39" t="n">
        <f aca="false">ROUND(V334*(1+N('My Debts'!$D$6)/12),2)</f>
        <v>0</v>
      </c>
      <c r="C335" s="39" t="n">
        <f aca="false">ROUND(W334*(1+N('My Debts'!$D$7)/12),2)</f>
        <v>0</v>
      </c>
      <c r="D335" s="39" t="n">
        <f aca="false">ROUND(X334*(1+N('My Debts'!$D$8)/12),2)</f>
        <v>0</v>
      </c>
      <c r="E335" s="39" t="n">
        <f aca="false">ROUND(Y334*(1+N('My Debts'!$D$9)/12),2)</f>
        <v>0</v>
      </c>
      <c r="F335" s="39" t="n">
        <f aca="false">ROUND(Z334*(1+N('My Debts'!$D$10)/12),2)</f>
        <v>0</v>
      </c>
      <c r="G335" s="39" t="n">
        <f aca="false">ROUND(AA334*(1+N('My Debts'!$D$11)/12),2)</f>
        <v>0</v>
      </c>
      <c r="H335" s="39" t="n">
        <f aca="false">ROUND(AB334*(1+N('My Debts'!$D$12)/12),2)</f>
        <v>0</v>
      </c>
      <c r="I335" s="39" t="n">
        <f aca="false">ROUND(AC334*(1+N('My Debts'!$D$13)/12),2)</f>
        <v>0</v>
      </c>
      <c r="J335" s="39" t="n">
        <f aca="false">ROUND(AD334*(1+N('My Debts'!$D$14)/12),2)</f>
        <v>0</v>
      </c>
      <c r="K335" s="39" t="n">
        <f aca="false">ROUND(AE334*(1+N('My Debts'!$D$15)/12),2)</f>
        <v>0</v>
      </c>
      <c r="L335" s="39" t="n">
        <f aca="false">MIN(N('My Debts'!$E$6),B335)</f>
        <v>0</v>
      </c>
      <c r="M335" s="39" t="n">
        <f aca="false">MIN(N('My Debts'!$E$7),C335)</f>
        <v>0</v>
      </c>
      <c r="N335" s="39" t="n">
        <f aca="false">MIN(N('My Debts'!$E$8),D335)</f>
        <v>0</v>
      </c>
      <c r="O335" s="39" t="n">
        <f aca="false">MIN(N('My Debts'!$E$9),E335)</f>
        <v>0</v>
      </c>
      <c r="P335" s="39" t="n">
        <f aca="false">MIN(N('My Debts'!$E$10),F335)</f>
        <v>0</v>
      </c>
      <c r="Q335" s="39" t="n">
        <f aca="false">MIN(N('My Debts'!$E$11),G335)</f>
        <v>0</v>
      </c>
      <c r="R335" s="39" t="n">
        <f aca="false">MIN(N('My Debts'!$E$12),H335)</f>
        <v>0</v>
      </c>
      <c r="S335" s="39" t="n">
        <f aca="false">MIN(N('My Debts'!$E$13),I335)</f>
        <v>0</v>
      </c>
      <c r="T335" s="39" t="n">
        <f aca="false">MIN(N('My Debts'!$E$14),J335)</f>
        <v>0</v>
      </c>
      <c r="U335" s="39" t="n">
        <f aca="false">MIN(N('My Debts'!$E$15),K335)</f>
        <v>0</v>
      </c>
      <c r="V335" s="39" t="n">
        <f aca="false">ROUND(B335-L335-MIN(B335-L335,MAX(0,$AF335-SUMPRODUCT(--($B$4:$K$4&lt;B$4),$B335:$K335-$L335:$U335))),2)</f>
        <v>0</v>
      </c>
      <c r="W335" s="39" t="n">
        <f aca="false">ROUND(C335-M335-MIN(C335-M335,MAX(0,$AF335-SUMPRODUCT(--($B$4:$K$4&lt;C$4),$B335:$K335-$L335:$U335))),2)</f>
        <v>0</v>
      </c>
      <c r="X335" s="39" t="n">
        <f aca="false">ROUND(D335-N335-MIN(D335-N335,MAX(0,$AF335-SUMPRODUCT(--($B$4:$K$4&lt;D$4),$B335:$K335-$L335:$U335))),2)</f>
        <v>0</v>
      </c>
      <c r="Y335" s="39" t="n">
        <f aca="false">ROUND(E335-O335-MIN(E335-O335,MAX(0,$AF335-SUMPRODUCT(--($B$4:$K$4&lt;E$4),$B335:$K335-$L335:$U335))),2)</f>
        <v>0</v>
      </c>
      <c r="Z335" s="39" t="n">
        <f aca="false">ROUND(F335-P335-MIN(F335-P335,MAX(0,$AF335-SUMPRODUCT(--($B$4:$K$4&lt;F$4),$B335:$K335-$L335:$U335))),2)</f>
        <v>0</v>
      </c>
      <c r="AA335" s="39" t="n">
        <f aca="false">ROUND(G335-Q335-MIN(G335-Q335,MAX(0,$AF335-SUMPRODUCT(--($B$4:$K$4&lt;G$4),$B335:$K335-$L335:$U335))),2)</f>
        <v>0</v>
      </c>
      <c r="AB335" s="39" t="n">
        <f aca="false">ROUND(H335-R335-MIN(H335-R335,MAX(0,$AF335-SUMPRODUCT(--($B$4:$K$4&lt;H$4),$B335:$K335-$L335:$U335))),2)</f>
        <v>0</v>
      </c>
      <c r="AC335" s="39" t="n">
        <f aca="false">ROUND(I335-S335-MIN(I335-S335,MAX(0,$AF335-SUMPRODUCT(--($B$4:$K$4&lt;I$4),$B335:$K335-$L335:$U335))),2)</f>
        <v>0</v>
      </c>
      <c r="AD335" s="39" t="n">
        <f aca="false">ROUND(J335-T335-MIN(J335-T335,MAX(0,$AF335-SUMPRODUCT(--($B$4:$K$4&lt;J$4),$B335:$K335-$L335:$U335))),2)</f>
        <v>0</v>
      </c>
      <c r="AE335" s="39" t="n">
        <f aca="false">ROUND(K335-U335-MIN(K335-U335,MAX(0,$AF335-SUMPRODUCT(--($B$4:$K$4&lt;K$4),$B335:$K335-$L335:$U335))),2)</f>
        <v>0</v>
      </c>
      <c r="AF335" s="39" t="n">
        <f aca="false">MAX(0,'Start Here'!$C$5-SUM($L335:$U335))</f>
        <v>1200</v>
      </c>
      <c r="AG335" s="39" t="n">
        <f aca="false">SUM(V335:AE335)</f>
        <v>0</v>
      </c>
      <c r="AH335" s="39" t="n">
        <f aca="false">SUM(B335:K335)-AG334</f>
        <v>0</v>
      </c>
    </row>
    <row r="336" customFormat="false" ht="15" hidden="false" customHeight="false" outlineLevel="0" collapsed="false">
      <c r="A336" s="40" t="n">
        <f aca="false">DATE(YEAR('Start Here'!$C$6),MONTH('Start Here'!$C$6)+329,1)</f>
        <v>56309</v>
      </c>
      <c r="B336" s="39" t="n">
        <f aca="false">ROUND(V335*(1+N('My Debts'!$D$6)/12),2)</f>
        <v>0</v>
      </c>
      <c r="C336" s="39" t="n">
        <f aca="false">ROUND(W335*(1+N('My Debts'!$D$7)/12),2)</f>
        <v>0</v>
      </c>
      <c r="D336" s="39" t="n">
        <f aca="false">ROUND(X335*(1+N('My Debts'!$D$8)/12),2)</f>
        <v>0</v>
      </c>
      <c r="E336" s="39" t="n">
        <f aca="false">ROUND(Y335*(1+N('My Debts'!$D$9)/12),2)</f>
        <v>0</v>
      </c>
      <c r="F336" s="39" t="n">
        <f aca="false">ROUND(Z335*(1+N('My Debts'!$D$10)/12),2)</f>
        <v>0</v>
      </c>
      <c r="G336" s="39" t="n">
        <f aca="false">ROUND(AA335*(1+N('My Debts'!$D$11)/12),2)</f>
        <v>0</v>
      </c>
      <c r="H336" s="39" t="n">
        <f aca="false">ROUND(AB335*(1+N('My Debts'!$D$12)/12),2)</f>
        <v>0</v>
      </c>
      <c r="I336" s="39" t="n">
        <f aca="false">ROUND(AC335*(1+N('My Debts'!$D$13)/12),2)</f>
        <v>0</v>
      </c>
      <c r="J336" s="39" t="n">
        <f aca="false">ROUND(AD335*(1+N('My Debts'!$D$14)/12),2)</f>
        <v>0</v>
      </c>
      <c r="K336" s="39" t="n">
        <f aca="false">ROUND(AE335*(1+N('My Debts'!$D$15)/12),2)</f>
        <v>0</v>
      </c>
      <c r="L336" s="39" t="n">
        <f aca="false">MIN(N('My Debts'!$E$6),B336)</f>
        <v>0</v>
      </c>
      <c r="M336" s="39" t="n">
        <f aca="false">MIN(N('My Debts'!$E$7),C336)</f>
        <v>0</v>
      </c>
      <c r="N336" s="39" t="n">
        <f aca="false">MIN(N('My Debts'!$E$8),D336)</f>
        <v>0</v>
      </c>
      <c r="O336" s="39" t="n">
        <f aca="false">MIN(N('My Debts'!$E$9),E336)</f>
        <v>0</v>
      </c>
      <c r="P336" s="39" t="n">
        <f aca="false">MIN(N('My Debts'!$E$10),F336)</f>
        <v>0</v>
      </c>
      <c r="Q336" s="39" t="n">
        <f aca="false">MIN(N('My Debts'!$E$11),G336)</f>
        <v>0</v>
      </c>
      <c r="R336" s="39" t="n">
        <f aca="false">MIN(N('My Debts'!$E$12),H336)</f>
        <v>0</v>
      </c>
      <c r="S336" s="39" t="n">
        <f aca="false">MIN(N('My Debts'!$E$13),I336)</f>
        <v>0</v>
      </c>
      <c r="T336" s="39" t="n">
        <f aca="false">MIN(N('My Debts'!$E$14),J336)</f>
        <v>0</v>
      </c>
      <c r="U336" s="39" t="n">
        <f aca="false">MIN(N('My Debts'!$E$15),K336)</f>
        <v>0</v>
      </c>
      <c r="V336" s="39" t="n">
        <f aca="false">ROUND(B336-L336-MIN(B336-L336,MAX(0,$AF336-SUMPRODUCT(--($B$4:$K$4&lt;B$4),$B336:$K336-$L336:$U336))),2)</f>
        <v>0</v>
      </c>
      <c r="W336" s="39" t="n">
        <f aca="false">ROUND(C336-M336-MIN(C336-M336,MAX(0,$AF336-SUMPRODUCT(--($B$4:$K$4&lt;C$4),$B336:$K336-$L336:$U336))),2)</f>
        <v>0</v>
      </c>
      <c r="X336" s="39" t="n">
        <f aca="false">ROUND(D336-N336-MIN(D336-N336,MAX(0,$AF336-SUMPRODUCT(--($B$4:$K$4&lt;D$4),$B336:$K336-$L336:$U336))),2)</f>
        <v>0</v>
      </c>
      <c r="Y336" s="39" t="n">
        <f aca="false">ROUND(E336-O336-MIN(E336-O336,MAX(0,$AF336-SUMPRODUCT(--($B$4:$K$4&lt;E$4),$B336:$K336-$L336:$U336))),2)</f>
        <v>0</v>
      </c>
      <c r="Z336" s="39" t="n">
        <f aca="false">ROUND(F336-P336-MIN(F336-P336,MAX(0,$AF336-SUMPRODUCT(--($B$4:$K$4&lt;F$4),$B336:$K336-$L336:$U336))),2)</f>
        <v>0</v>
      </c>
      <c r="AA336" s="39" t="n">
        <f aca="false">ROUND(G336-Q336-MIN(G336-Q336,MAX(0,$AF336-SUMPRODUCT(--($B$4:$K$4&lt;G$4),$B336:$K336-$L336:$U336))),2)</f>
        <v>0</v>
      </c>
      <c r="AB336" s="39" t="n">
        <f aca="false">ROUND(H336-R336-MIN(H336-R336,MAX(0,$AF336-SUMPRODUCT(--($B$4:$K$4&lt;H$4),$B336:$K336-$L336:$U336))),2)</f>
        <v>0</v>
      </c>
      <c r="AC336" s="39" t="n">
        <f aca="false">ROUND(I336-S336-MIN(I336-S336,MAX(0,$AF336-SUMPRODUCT(--($B$4:$K$4&lt;I$4),$B336:$K336-$L336:$U336))),2)</f>
        <v>0</v>
      </c>
      <c r="AD336" s="39" t="n">
        <f aca="false">ROUND(J336-T336-MIN(J336-T336,MAX(0,$AF336-SUMPRODUCT(--($B$4:$K$4&lt;J$4),$B336:$K336-$L336:$U336))),2)</f>
        <v>0</v>
      </c>
      <c r="AE336" s="39" t="n">
        <f aca="false">ROUND(K336-U336-MIN(K336-U336,MAX(0,$AF336-SUMPRODUCT(--($B$4:$K$4&lt;K$4),$B336:$K336-$L336:$U336))),2)</f>
        <v>0</v>
      </c>
      <c r="AF336" s="39" t="n">
        <f aca="false">MAX(0,'Start Here'!$C$5-SUM($L336:$U336))</f>
        <v>1200</v>
      </c>
      <c r="AG336" s="39" t="n">
        <f aca="false">SUM(V336:AE336)</f>
        <v>0</v>
      </c>
      <c r="AH336" s="39" t="n">
        <f aca="false">SUM(B336:K336)-AG335</f>
        <v>0</v>
      </c>
    </row>
    <row r="337" customFormat="false" ht="15" hidden="false" customHeight="false" outlineLevel="0" collapsed="false">
      <c r="A337" s="40" t="n">
        <f aca="false">DATE(YEAR('Start Here'!$C$6),MONTH('Start Here'!$C$6)+330,1)</f>
        <v>56340</v>
      </c>
      <c r="B337" s="39" t="n">
        <f aca="false">ROUND(V336*(1+N('My Debts'!$D$6)/12),2)</f>
        <v>0</v>
      </c>
      <c r="C337" s="39" t="n">
        <f aca="false">ROUND(W336*(1+N('My Debts'!$D$7)/12),2)</f>
        <v>0</v>
      </c>
      <c r="D337" s="39" t="n">
        <f aca="false">ROUND(X336*(1+N('My Debts'!$D$8)/12),2)</f>
        <v>0</v>
      </c>
      <c r="E337" s="39" t="n">
        <f aca="false">ROUND(Y336*(1+N('My Debts'!$D$9)/12),2)</f>
        <v>0</v>
      </c>
      <c r="F337" s="39" t="n">
        <f aca="false">ROUND(Z336*(1+N('My Debts'!$D$10)/12),2)</f>
        <v>0</v>
      </c>
      <c r="G337" s="39" t="n">
        <f aca="false">ROUND(AA336*(1+N('My Debts'!$D$11)/12),2)</f>
        <v>0</v>
      </c>
      <c r="H337" s="39" t="n">
        <f aca="false">ROUND(AB336*(1+N('My Debts'!$D$12)/12),2)</f>
        <v>0</v>
      </c>
      <c r="I337" s="39" t="n">
        <f aca="false">ROUND(AC336*(1+N('My Debts'!$D$13)/12),2)</f>
        <v>0</v>
      </c>
      <c r="J337" s="39" t="n">
        <f aca="false">ROUND(AD336*(1+N('My Debts'!$D$14)/12),2)</f>
        <v>0</v>
      </c>
      <c r="K337" s="39" t="n">
        <f aca="false">ROUND(AE336*(1+N('My Debts'!$D$15)/12),2)</f>
        <v>0</v>
      </c>
      <c r="L337" s="39" t="n">
        <f aca="false">MIN(N('My Debts'!$E$6),B337)</f>
        <v>0</v>
      </c>
      <c r="M337" s="39" t="n">
        <f aca="false">MIN(N('My Debts'!$E$7),C337)</f>
        <v>0</v>
      </c>
      <c r="N337" s="39" t="n">
        <f aca="false">MIN(N('My Debts'!$E$8),D337)</f>
        <v>0</v>
      </c>
      <c r="O337" s="39" t="n">
        <f aca="false">MIN(N('My Debts'!$E$9),E337)</f>
        <v>0</v>
      </c>
      <c r="P337" s="39" t="n">
        <f aca="false">MIN(N('My Debts'!$E$10),F337)</f>
        <v>0</v>
      </c>
      <c r="Q337" s="39" t="n">
        <f aca="false">MIN(N('My Debts'!$E$11),G337)</f>
        <v>0</v>
      </c>
      <c r="R337" s="39" t="n">
        <f aca="false">MIN(N('My Debts'!$E$12),H337)</f>
        <v>0</v>
      </c>
      <c r="S337" s="39" t="n">
        <f aca="false">MIN(N('My Debts'!$E$13),I337)</f>
        <v>0</v>
      </c>
      <c r="T337" s="39" t="n">
        <f aca="false">MIN(N('My Debts'!$E$14),J337)</f>
        <v>0</v>
      </c>
      <c r="U337" s="39" t="n">
        <f aca="false">MIN(N('My Debts'!$E$15),K337)</f>
        <v>0</v>
      </c>
      <c r="V337" s="39" t="n">
        <f aca="false">ROUND(B337-L337-MIN(B337-L337,MAX(0,$AF337-SUMPRODUCT(--($B$4:$K$4&lt;B$4),$B337:$K337-$L337:$U337))),2)</f>
        <v>0</v>
      </c>
      <c r="W337" s="39" t="n">
        <f aca="false">ROUND(C337-M337-MIN(C337-M337,MAX(0,$AF337-SUMPRODUCT(--($B$4:$K$4&lt;C$4),$B337:$K337-$L337:$U337))),2)</f>
        <v>0</v>
      </c>
      <c r="X337" s="39" t="n">
        <f aca="false">ROUND(D337-N337-MIN(D337-N337,MAX(0,$AF337-SUMPRODUCT(--($B$4:$K$4&lt;D$4),$B337:$K337-$L337:$U337))),2)</f>
        <v>0</v>
      </c>
      <c r="Y337" s="39" t="n">
        <f aca="false">ROUND(E337-O337-MIN(E337-O337,MAX(0,$AF337-SUMPRODUCT(--($B$4:$K$4&lt;E$4),$B337:$K337-$L337:$U337))),2)</f>
        <v>0</v>
      </c>
      <c r="Z337" s="39" t="n">
        <f aca="false">ROUND(F337-P337-MIN(F337-P337,MAX(0,$AF337-SUMPRODUCT(--($B$4:$K$4&lt;F$4),$B337:$K337-$L337:$U337))),2)</f>
        <v>0</v>
      </c>
      <c r="AA337" s="39" t="n">
        <f aca="false">ROUND(G337-Q337-MIN(G337-Q337,MAX(0,$AF337-SUMPRODUCT(--($B$4:$K$4&lt;G$4),$B337:$K337-$L337:$U337))),2)</f>
        <v>0</v>
      </c>
      <c r="AB337" s="39" t="n">
        <f aca="false">ROUND(H337-R337-MIN(H337-R337,MAX(0,$AF337-SUMPRODUCT(--($B$4:$K$4&lt;H$4),$B337:$K337-$L337:$U337))),2)</f>
        <v>0</v>
      </c>
      <c r="AC337" s="39" t="n">
        <f aca="false">ROUND(I337-S337-MIN(I337-S337,MAX(0,$AF337-SUMPRODUCT(--($B$4:$K$4&lt;I$4),$B337:$K337-$L337:$U337))),2)</f>
        <v>0</v>
      </c>
      <c r="AD337" s="39" t="n">
        <f aca="false">ROUND(J337-T337-MIN(J337-T337,MAX(0,$AF337-SUMPRODUCT(--($B$4:$K$4&lt;J$4),$B337:$K337-$L337:$U337))),2)</f>
        <v>0</v>
      </c>
      <c r="AE337" s="39" t="n">
        <f aca="false">ROUND(K337-U337-MIN(K337-U337,MAX(0,$AF337-SUMPRODUCT(--($B$4:$K$4&lt;K$4),$B337:$K337-$L337:$U337))),2)</f>
        <v>0</v>
      </c>
      <c r="AF337" s="39" t="n">
        <f aca="false">MAX(0,'Start Here'!$C$5-SUM($L337:$U337))</f>
        <v>1200</v>
      </c>
      <c r="AG337" s="39" t="n">
        <f aca="false">SUM(V337:AE337)</f>
        <v>0</v>
      </c>
      <c r="AH337" s="39" t="n">
        <f aca="false">SUM(B337:K337)-AG336</f>
        <v>0</v>
      </c>
    </row>
    <row r="338" customFormat="false" ht="15" hidden="false" customHeight="false" outlineLevel="0" collapsed="false">
      <c r="A338" s="40" t="n">
        <f aca="false">DATE(YEAR('Start Here'!$C$6),MONTH('Start Here'!$C$6)+331,1)</f>
        <v>56370</v>
      </c>
      <c r="B338" s="39" t="n">
        <f aca="false">ROUND(V337*(1+N('My Debts'!$D$6)/12),2)</f>
        <v>0</v>
      </c>
      <c r="C338" s="39" t="n">
        <f aca="false">ROUND(W337*(1+N('My Debts'!$D$7)/12),2)</f>
        <v>0</v>
      </c>
      <c r="D338" s="39" t="n">
        <f aca="false">ROUND(X337*(1+N('My Debts'!$D$8)/12),2)</f>
        <v>0</v>
      </c>
      <c r="E338" s="39" t="n">
        <f aca="false">ROUND(Y337*(1+N('My Debts'!$D$9)/12),2)</f>
        <v>0</v>
      </c>
      <c r="F338" s="39" t="n">
        <f aca="false">ROUND(Z337*(1+N('My Debts'!$D$10)/12),2)</f>
        <v>0</v>
      </c>
      <c r="G338" s="39" t="n">
        <f aca="false">ROUND(AA337*(1+N('My Debts'!$D$11)/12),2)</f>
        <v>0</v>
      </c>
      <c r="H338" s="39" t="n">
        <f aca="false">ROUND(AB337*(1+N('My Debts'!$D$12)/12),2)</f>
        <v>0</v>
      </c>
      <c r="I338" s="39" t="n">
        <f aca="false">ROUND(AC337*(1+N('My Debts'!$D$13)/12),2)</f>
        <v>0</v>
      </c>
      <c r="J338" s="39" t="n">
        <f aca="false">ROUND(AD337*(1+N('My Debts'!$D$14)/12),2)</f>
        <v>0</v>
      </c>
      <c r="K338" s="39" t="n">
        <f aca="false">ROUND(AE337*(1+N('My Debts'!$D$15)/12),2)</f>
        <v>0</v>
      </c>
      <c r="L338" s="39" t="n">
        <f aca="false">MIN(N('My Debts'!$E$6),B338)</f>
        <v>0</v>
      </c>
      <c r="M338" s="39" t="n">
        <f aca="false">MIN(N('My Debts'!$E$7),C338)</f>
        <v>0</v>
      </c>
      <c r="N338" s="39" t="n">
        <f aca="false">MIN(N('My Debts'!$E$8),D338)</f>
        <v>0</v>
      </c>
      <c r="O338" s="39" t="n">
        <f aca="false">MIN(N('My Debts'!$E$9),E338)</f>
        <v>0</v>
      </c>
      <c r="P338" s="39" t="n">
        <f aca="false">MIN(N('My Debts'!$E$10),F338)</f>
        <v>0</v>
      </c>
      <c r="Q338" s="39" t="n">
        <f aca="false">MIN(N('My Debts'!$E$11),G338)</f>
        <v>0</v>
      </c>
      <c r="R338" s="39" t="n">
        <f aca="false">MIN(N('My Debts'!$E$12),H338)</f>
        <v>0</v>
      </c>
      <c r="S338" s="39" t="n">
        <f aca="false">MIN(N('My Debts'!$E$13),I338)</f>
        <v>0</v>
      </c>
      <c r="T338" s="39" t="n">
        <f aca="false">MIN(N('My Debts'!$E$14),J338)</f>
        <v>0</v>
      </c>
      <c r="U338" s="39" t="n">
        <f aca="false">MIN(N('My Debts'!$E$15),K338)</f>
        <v>0</v>
      </c>
      <c r="V338" s="39" t="n">
        <f aca="false">ROUND(B338-L338-MIN(B338-L338,MAX(0,$AF338-SUMPRODUCT(--($B$4:$K$4&lt;B$4),$B338:$K338-$L338:$U338))),2)</f>
        <v>0</v>
      </c>
      <c r="W338" s="39" t="n">
        <f aca="false">ROUND(C338-M338-MIN(C338-M338,MAX(0,$AF338-SUMPRODUCT(--($B$4:$K$4&lt;C$4),$B338:$K338-$L338:$U338))),2)</f>
        <v>0</v>
      </c>
      <c r="X338" s="39" t="n">
        <f aca="false">ROUND(D338-N338-MIN(D338-N338,MAX(0,$AF338-SUMPRODUCT(--($B$4:$K$4&lt;D$4),$B338:$K338-$L338:$U338))),2)</f>
        <v>0</v>
      </c>
      <c r="Y338" s="39" t="n">
        <f aca="false">ROUND(E338-O338-MIN(E338-O338,MAX(0,$AF338-SUMPRODUCT(--($B$4:$K$4&lt;E$4),$B338:$K338-$L338:$U338))),2)</f>
        <v>0</v>
      </c>
      <c r="Z338" s="39" t="n">
        <f aca="false">ROUND(F338-P338-MIN(F338-P338,MAX(0,$AF338-SUMPRODUCT(--($B$4:$K$4&lt;F$4),$B338:$K338-$L338:$U338))),2)</f>
        <v>0</v>
      </c>
      <c r="AA338" s="39" t="n">
        <f aca="false">ROUND(G338-Q338-MIN(G338-Q338,MAX(0,$AF338-SUMPRODUCT(--($B$4:$K$4&lt;G$4),$B338:$K338-$L338:$U338))),2)</f>
        <v>0</v>
      </c>
      <c r="AB338" s="39" t="n">
        <f aca="false">ROUND(H338-R338-MIN(H338-R338,MAX(0,$AF338-SUMPRODUCT(--($B$4:$K$4&lt;H$4),$B338:$K338-$L338:$U338))),2)</f>
        <v>0</v>
      </c>
      <c r="AC338" s="39" t="n">
        <f aca="false">ROUND(I338-S338-MIN(I338-S338,MAX(0,$AF338-SUMPRODUCT(--($B$4:$K$4&lt;I$4),$B338:$K338-$L338:$U338))),2)</f>
        <v>0</v>
      </c>
      <c r="AD338" s="39" t="n">
        <f aca="false">ROUND(J338-T338-MIN(J338-T338,MAX(0,$AF338-SUMPRODUCT(--($B$4:$K$4&lt;J$4),$B338:$K338-$L338:$U338))),2)</f>
        <v>0</v>
      </c>
      <c r="AE338" s="39" t="n">
        <f aca="false">ROUND(K338-U338-MIN(K338-U338,MAX(0,$AF338-SUMPRODUCT(--($B$4:$K$4&lt;K$4),$B338:$K338-$L338:$U338))),2)</f>
        <v>0</v>
      </c>
      <c r="AF338" s="39" t="n">
        <f aca="false">MAX(0,'Start Here'!$C$5-SUM($L338:$U338))</f>
        <v>1200</v>
      </c>
      <c r="AG338" s="39" t="n">
        <f aca="false">SUM(V338:AE338)</f>
        <v>0</v>
      </c>
      <c r="AH338" s="39" t="n">
        <f aca="false">SUM(B338:K338)-AG337</f>
        <v>0</v>
      </c>
    </row>
    <row r="339" customFormat="false" ht="15" hidden="false" customHeight="false" outlineLevel="0" collapsed="false">
      <c r="A339" s="40" t="n">
        <f aca="false">DATE(YEAR('Start Here'!$C$6),MONTH('Start Here'!$C$6)+332,1)</f>
        <v>56401</v>
      </c>
      <c r="B339" s="39" t="n">
        <f aca="false">ROUND(V338*(1+N('My Debts'!$D$6)/12),2)</f>
        <v>0</v>
      </c>
      <c r="C339" s="39" t="n">
        <f aca="false">ROUND(W338*(1+N('My Debts'!$D$7)/12),2)</f>
        <v>0</v>
      </c>
      <c r="D339" s="39" t="n">
        <f aca="false">ROUND(X338*(1+N('My Debts'!$D$8)/12),2)</f>
        <v>0</v>
      </c>
      <c r="E339" s="39" t="n">
        <f aca="false">ROUND(Y338*(1+N('My Debts'!$D$9)/12),2)</f>
        <v>0</v>
      </c>
      <c r="F339" s="39" t="n">
        <f aca="false">ROUND(Z338*(1+N('My Debts'!$D$10)/12),2)</f>
        <v>0</v>
      </c>
      <c r="G339" s="39" t="n">
        <f aca="false">ROUND(AA338*(1+N('My Debts'!$D$11)/12),2)</f>
        <v>0</v>
      </c>
      <c r="H339" s="39" t="n">
        <f aca="false">ROUND(AB338*(1+N('My Debts'!$D$12)/12),2)</f>
        <v>0</v>
      </c>
      <c r="I339" s="39" t="n">
        <f aca="false">ROUND(AC338*(1+N('My Debts'!$D$13)/12),2)</f>
        <v>0</v>
      </c>
      <c r="J339" s="39" t="n">
        <f aca="false">ROUND(AD338*(1+N('My Debts'!$D$14)/12),2)</f>
        <v>0</v>
      </c>
      <c r="K339" s="39" t="n">
        <f aca="false">ROUND(AE338*(1+N('My Debts'!$D$15)/12),2)</f>
        <v>0</v>
      </c>
      <c r="L339" s="39" t="n">
        <f aca="false">MIN(N('My Debts'!$E$6),B339)</f>
        <v>0</v>
      </c>
      <c r="M339" s="39" t="n">
        <f aca="false">MIN(N('My Debts'!$E$7),C339)</f>
        <v>0</v>
      </c>
      <c r="N339" s="39" t="n">
        <f aca="false">MIN(N('My Debts'!$E$8),D339)</f>
        <v>0</v>
      </c>
      <c r="O339" s="39" t="n">
        <f aca="false">MIN(N('My Debts'!$E$9),E339)</f>
        <v>0</v>
      </c>
      <c r="P339" s="39" t="n">
        <f aca="false">MIN(N('My Debts'!$E$10),F339)</f>
        <v>0</v>
      </c>
      <c r="Q339" s="39" t="n">
        <f aca="false">MIN(N('My Debts'!$E$11),G339)</f>
        <v>0</v>
      </c>
      <c r="R339" s="39" t="n">
        <f aca="false">MIN(N('My Debts'!$E$12),H339)</f>
        <v>0</v>
      </c>
      <c r="S339" s="39" t="n">
        <f aca="false">MIN(N('My Debts'!$E$13),I339)</f>
        <v>0</v>
      </c>
      <c r="T339" s="39" t="n">
        <f aca="false">MIN(N('My Debts'!$E$14),J339)</f>
        <v>0</v>
      </c>
      <c r="U339" s="39" t="n">
        <f aca="false">MIN(N('My Debts'!$E$15),K339)</f>
        <v>0</v>
      </c>
      <c r="V339" s="39" t="n">
        <f aca="false">ROUND(B339-L339-MIN(B339-L339,MAX(0,$AF339-SUMPRODUCT(--($B$4:$K$4&lt;B$4),$B339:$K339-$L339:$U339))),2)</f>
        <v>0</v>
      </c>
      <c r="W339" s="39" t="n">
        <f aca="false">ROUND(C339-M339-MIN(C339-M339,MAX(0,$AF339-SUMPRODUCT(--($B$4:$K$4&lt;C$4),$B339:$K339-$L339:$U339))),2)</f>
        <v>0</v>
      </c>
      <c r="X339" s="39" t="n">
        <f aca="false">ROUND(D339-N339-MIN(D339-N339,MAX(0,$AF339-SUMPRODUCT(--($B$4:$K$4&lt;D$4),$B339:$K339-$L339:$U339))),2)</f>
        <v>0</v>
      </c>
      <c r="Y339" s="39" t="n">
        <f aca="false">ROUND(E339-O339-MIN(E339-O339,MAX(0,$AF339-SUMPRODUCT(--($B$4:$K$4&lt;E$4),$B339:$K339-$L339:$U339))),2)</f>
        <v>0</v>
      </c>
      <c r="Z339" s="39" t="n">
        <f aca="false">ROUND(F339-P339-MIN(F339-P339,MAX(0,$AF339-SUMPRODUCT(--($B$4:$K$4&lt;F$4),$B339:$K339-$L339:$U339))),2)</f>
        <v>0</v>
      </c>
      <c r="AA339" s="39" t="n">
        <f aca="false">ROUND(G339-Q339-MIN(G339-Q339,MAX(0,$AF339-SUMPRODUCT(--($B$4:$K$4&lt;G$4),$B339:$K339-$L339:$U339))),2)</f>
        <v>0</v>
      </c>
      <c r="AB339" s="39" t="n">
        <f aca="false">ROUND(H339-R339-MIN(H339-R339,MAX(0,$AF339-SUMPRODUCT(--($B$4:$K$4&lt;H$4),$B339:$K339-$L339:$U339))),2)</f>
        <v>0</v>
      </c>
      <c r="AC339" s="39" t="n">
        <f aca="false">ROUND(I339-S339-MIN(I339-S339,MAX(0,$AF339-SUMPRODUCT(--($B$4:$K$4&lt;I$4),$B339:$K339-$L339:$U339))),2)</f>
        <v>0</v>
      </c>
      <c r="AD339" s="39" t="n">
        <f aca="false">ROUND(J339-T339-MIN(J339-T339,MAX(0,$AF339-SUMPRODUCT(--($B$4:$K$4&lt;J$4),$B339:$K339-$L339:$U339))),2)</f>
        <v>0</v>
      </c>
      <c r="AE339" s="39" t="n">
        <f aca="false">ROUND(K339-U339-MIN(K339-U339,MAX(0,$AF339-SUMPRODUCT(--($B$4:$K$4&lt;K$4),$B339:$K339-$L339:$U339))),2)</f>
        <v>0</v>
      </c>
      <c r="AF339" s="39" t="n">
        <f aca="false">MAX(0,'Start Here'!$C$5-SUM($L339:$U339))</f>
        <v>1200</v>
      </c>
      <c r="AG339" s="39" t="n">
        <f aca="false">SUM(V339:AE339)</f>
        <v>0</v>
      </c>
      <c r="AH339" s="39" t="n">
        <f aca="false">SUM(B339:K339)-AG338</f>
        <v>0</v>
      </c>
    </row>
    <row r="340" customFormat="false" ht="15" hidden="false" customHeight="false" outlineLevel="0" collapsed="false">
      <c r="A340" s="40" t="n">
        <f aca="false">DATE(YEAR('Start Here'!$C$6),MONTH('Start Here'!$C$6)+333,1)</f>
        <v>56431</v>
      </c>
      <c r="B340" s="39" t="n">
        <f aca="false">ROUND(V339*(1+N('My Debts'!$D$6)/12),2)</f>
        <v>0</v>
      </c>
      <c r="C340" s="39" t="n">
        <f aca="false">ROUND(W339*(1+N('My Debts'!$D$7)/12),2)</f>
        <v>0</v>
      </c>
      <c r="D340" s="39" t="n">
        <f aca="false">ROUND(X339*(1+N('My Debts'!$D$8)/12),2)</f>
        <v>0</v>
      </c>
      <c r="E340" s="39" t="n">
        <f aca="false">ROUND(Y339*(1+N('My Debts'!$D$9)/12),2)</f>
        <v>0</v>
      </c>
      <c r="F340" s="39" t="n">
        <f aca="false">ROUND(Z339*(1+N('My Debts'!$D$10)/12),2)</f>
        <v>0</v>
      </c>
      <c r="G340" s="39" t="n">
        <f aca="false">ROUND(AA339*(1+N('My Debts'!$D$11)/12),2)</f>
        <v>0</v>
      </c>
      <c r="H340" s="39" t="n">
        <f aca="false">ROUND(AB339*(1+N('My Debts'!$D$12)/12),2)</f>
        <v>0</v>
      </c>
      <c r="I340" s="39" t="n">
        <f aca="false">ROUND(AC339*(1+N('My Debts'!$D$13)/12),2)</f>
        <v>0</v>
      </c>
      <c r="J340" s="39" t="n">
        <f aca="false">ROUND(AD339*(1+N('My Debts'!$D$14)/12),2)</f>
        <v>0</v>
      </c>
      <c r="K340" s="39" t="n">
        <f aca="false">ROUND(AE339*(1+N('My Debts'!$D$15)/12),2)</f>
        <v>0</v>
      </c>
      <c r="L340" s="39" t="n">
        <f aca="false">MIN(N('My Debts'!$E$6),B340)</f>
        <v>0</v>
      </c>
      <c r="M340" s="39" t="n">
        <f aca="false">MIN(N('My Debts'!$E$7),C340)</f>
        <v>0</v>
      </c>
      <c r="N340" s="39" t="n">
        <f aca="false">MIN(N('My Debts'!$E$8),D340)</f>
        <v>0</v>
      </c>
      <c r="O340" s="39" t="n">
        <f aca="false">MIN(N('My Debts'!$E$9),E340)</f>
        <v>0</v>
      </c>
      <c r="P340" s="39" t="n">
        <f aca="false">MIN(N('My Debts'!$E$10),F340)</f>
        <v>0</v>
      </c>
      <c r="Q340" s="39" t="n">
        <f aca="false">MIN(N('My Debts'!$E$11),G340)</f>
        <v>0</v>
      </c>
      <c r="R340" s="39" t="n">
        <f aca="false">MIN(N('My Debts'!$E$12),H340)</f>
        <v>0</v>
      </c>
      <c r="S340" s="39" t="n">
        <f aca="false">MIN(N('My Debts'!$E$13),I340)</f>
        <v>0</v>
      </c>
      <c r="T340" s="39" t="n">
        <f aca="false">MIN(N('My Debts'!$E$14),J340)</f>
        <v>0</v>
      </c>
      <c r="U340" s="39" t="n">
        <f aca="false">MIN(N('My Debts'!$E$15),K340)</f>
        <v>0</v>
      </c>
      <c r="V340" s="39" t="n">
        <f aca="false">ROUND(B340-L340-MIN(B340-L340,MAX(0,$AF340-SUMPRODUCT(--($B$4:$K$4&lt;B$4),$B340:$K340-$L340:$U340))),2)</f>
        <v>0</v>
      </c>
      <c r="W340" s="39" t="n">
        <f aca="false">ROUND(C340-M340-MIN(C340-M340,MAX(0,$AF340-SUMPRODUCT(--($B$4:$K$4&lt;C$4),$B340:$K340-$L340:$U340))),2)</f>
        <v>0</v>
      </c>
      <c r="X340" s="39" t="n">
        <f aca="false">ROUND(D340-N340-MIN(D340-N340,MAX(0,$AF340-SUMPRODUCT(--($B$4:$K$4&lt;D$4),$B340:$K340-$L340:$U340))),2)</f>
        <v>0</v>
      </c>
      <c r="Y340" s="39" t="n">
        <f aca="false">ROUND(E340-O340-MIN(E340-O340,MAX(0,$AF340-SUMPRODUCT(--($B$4:$K$4&lt;E$4),$B340:$K340-$L340:$U340))),2)</f>
        <v>0</v>
      </c>
      <c r="Z340" s="39" t="n">
        <f aca="false">ROUND(F340-P340-MIN(F340-P340,MAX(0,$AF340-SUMPRODUCT(--($B$4:$K$4&lt;F$4),$B340:$K340-$L340:$U340))),2)</f>
        <v>0</v>
      </c>
      <c r="AA340" s="39" t="n">
        <f aca="false">ROUND(G340-Q340-MIN(G340-Q340,MAX(0,$AF340-SUMPRODUCT(--($B$4:$K$4&lt;G$4),$B340:$K340-$L340:$U340))),2)</f>
        <v>0</v>
      </c>
      <c r="AB340" s="39" t="n">
        <f aca="false">ROUND(H340-R340-MIN(H340-R340,MAX(0,$AF340-SUMPRODUCT(--($B$4:$K$4&lt;H$4),$B340:$K340-$L340:$U340))),2)</f>
        <v>0</v>
      </c>
      <c r="AC340" s="39" t="n">
        <f aca="false">ROUND(I340-S340-MIN(I340-S340,MAX(0,$AF340-SUMPRODUCT(--($B$4:$K$4&lt;I$4),$B340:$K340-$L340:$U340))),2)</f>
        <v>0</v>
      </c>
      <c r="AD340" s="39" t="n">
        <f aca="false">ROUND(J340-T340-MIN(J340-T340,MAX(0,$AF340-SUMPRODUCT(--($B$4:$K$4&lt;J$4),$B340:$K340-$L340:$U340))),2)</f>
        <v>0</v>
      </c>
      <c r="AE340" s="39" t="n">
        <f aca="false">ROUND(K340-U340-MIN(K340-U340,MAX(0,$AF340-SUMPRODUCT(--($B$4:$K$4&lt;K$4),$B340:$K340-$L340:$U340))),2)</f>
        <v>0</v>
      </c>
      <c r="AF340" s="39" t="n">
        <f aca="false">MAX(0,'Start Here'!$C$5-SUM($L340:$U340))</f>
        <v>1200</v>
      </c>
      <c r="AG340" s="39" t="n">
        <f aca="false">SUM(V340:AE340)</f>
        <v>0</v>
      </c>
      <c r="AH340" s="39" t="n">
        <f aca="false">SUM(B340:K340)-AG339</f>
        <v>0</v>
      </c>
    </row>
    <row r="341" customFormat="false" ht="15" hidden="false" customHeight="false" outlineLevel="0" collapsed="false">
      <c r="A341" s="40" t="n">
        <f aca="false">DATE(YEAR('Start Here'!$C$6),MONTH('Start Here'!$C$6)+334,1)</f>
        <v>56462</v>
      </c>
      <c r="B341" s="39" t="n">
        <f aca="false">ROUND(V340*(1+N('My Debts'!$D$6)/12),2)</f>
        <v>0</v>
      </c>
      <c r="C341" s="39" t="n">
        <f aca="false">ROUND(W340*(1+N('My Debts'!$D$7)/12),2)</f>
        <v>0</v>
      </c>
      <c r="D341" s="39" t="n">
        <f aca="false">ROUND(X340*(1+N('My Debts'!$D$8)/12),2)</f>
        <v>0</v>
      </c>
      <c r="E341" s="39" t="n">
        <f aca="false">ROUND(Y340*(1+N('My Debts'!$D$9)/12),2)</f>
        <v>0</v>
      </c>
      <c r="F341" s="39" t="n">
        <f aca="false">ROUND(Z340*(1+N('My Debts'!$D$10)/12),2)</f>
        <v>0</v>
      </c>
      <c r="G341" s="39" t="n">
        <f aca="false">ROUND(AA340*(1+N('My Debts'!$D$11)/12),2)</f>
        <v>0</v>
      </c>
      <c r="H341" s="39" t="n">
        <f aca="false">ROUND(AB340*(1+N('My Debts'!$D$12)/12),2)</f>
        <v>0</v>
      </c>
      <c r="I341" s="39" t="n">
        <f aca="false">ROUND(AC340*(1+N('My Debts'!$D$13)/12),2)</f>
        <v>0</v>
      </c>
      <c r="J341" s="39" t="n">
        <f aca="false">ROUND(AD340*(1+N('My Debts'!$D$14)/12),2)</f>
        <v>0</v>
      </c>
      <c r="K341" s="39" t="n">
        <f aca="false">ROUND(AE340*(1+N('My Debts'!$D$15)/12),2)</f>
        <v>0</v>
      </c>
      <c r="L341" s="39" t="n">
        <f aca="false">MIN(N('My Debts'!$E$6),B341)</f>
        <v>0</v>
      </c>
      <c r="M341" s="39" t="n">
        <f aca="false">MIN(N('My Debts'!$E$7),C341)</f>
        <v>0</v>
      </c>
      <c r="N341" s="39" t="n">
        <f aca="false">MIN(N('My Debts'!$E$8),D341)</f>
        <v>0</v>
      </c>
      <c r="O341" s="39" t="n">
        <f aca="false">MIN(N('My Debts'!$E$9),E341)</f>
        <v>0</v>
      </c>
      <c r="P341" s="39" t="n">
        <f aca="false">MIN(N('My Debts'!$E$10),F341)</f>
        <v>0</v>
      </c>
      <c r="Q341" s="39" t="n">
        <f aca="false">MIN(N('My Debts'!$E$11),G341)</f>
        <v>0</v>
      </c>
      <c r="R341" s="39" t="n">
        <f aca="false">MIN(N('My Debts'!$E$12),H341)</f>
        <v>0</v>
      </c>
      <c r="S341" s="39" t="n">
        <f aca="false">MIN(N('My Debts'!$E$13),I341)</f>
        <v>0</v>
      </c>
      <c r="T341" s="39" t="n">
        <f aca="false">MIN(N('My Debts'!$E$14),J341)</f>
        <v>0</v>
      </c>
      <c r="U341" s="39" t="n">
        <f aca="false">MIN(N('My Debts'!$E$15),K341)</f>
        <v>0</v>
      </c>
      <c r="V341" s="39" t="n">
        <f aca="false">ROUND(B341-L341-MIN(B341-L341,MAX(0,$AF341-SUMPRODUCT(--($B$4:$K$4&lt;B$4),$B341:$K341-$L341:$U341))),2)</f>
        <v>0</v>
      </c>
      <c r="W341" s="39" t="n">
        <f aca="false">ROUND(C341-M341-MIN(C341-M341,MAX(0,$AF341-SUMPRODUCT(--($B$4:$K$4&lt;C$4),$B341:$K341-$L341:$U341))),2)</f>
        <v>0</v>
      </c>
      <c r="X341" s="39" t="n">
        <f aca="false">ROUND(D341-N341-MIN(D341-N341,MAX(0,$AF341-SUMPRODUCT(--($B$4:$K$4&lt;D$4),$B341:$K341-$L341:$U341))),2)</f>
        <v>0</v>
      </c>
      <c r="Y341" s="39" t="n">
        <f aca="false">ROUND(E341-O341-MIN(E341-O341,MAX(0,$AF341-SUMPRODUCT(--($B$4:$K$4&lt;E$4),$B341:$K341-$L341:$U341))),2)</f>
        <v>0</v>
      </c>
      <c r="Z341" s="39" t="n">
        <f aca="false">ROUND(F341-P341-MIN(F341-P341,MAX(0,$AF341-SUMPRODUCT(--($B$4:$K$4&lt;F$4),$B341:$K341-$L341:$U341))),2)</f>
        <v>0</v>
      </c>
      <c r="AA341" s="39" t="n">
        <f aca="false">ROUND(G341-Q341-MIN(G341-Q341,MAX(0,$AF341-SUMPRODUCT(--($B$4:$K$4&lt;G$4),$B341:$K341-$L341:$U341))),2)</f>
        <v>0</v>
      </c>
      <c r="AB341" s="39" t="n">
        <f aca="false">ROUND(H341-R341-MIN(H341-R341,MAX(0,$AF341-SUMPRODUCT(--($B$4:$K$4&lt;H$4),$B341:$K341-$L341:$U341))),2)</f>
        <v>0</v>
      </c>
      <c r="AC341" s="39" t="n">
        <f aca="false">ROUND(I341-S341-MIN(I341-S341,MAX(0,$AF341-SUMPRODUCT(--($B$4:$K$4&lt;I$4),$B341:$K341-$L341:$U341))),2)</f>
        <v>0</v>
      </c>
      <c r="AD341" s="39" t="n">
        <f aca="false">ROUND(J341-T341-MIN(J341-T341,MAX(0,$AF341-SUMPRODUCT(--($B$4:$K$4&lt;J$4),$B341:$K341-$L341:$U341))),2)</f>
        <v>0</v>
      </c>
      <c r="AE341" s="39" t="n">
        <f aca="false">ROUND(K341-U341-MIN(K341-U341,MAX(0,$AF341-SUMPRODUCT(--($B$4:$K$4&lt;K$4),$B341:$K341-$L341:$U341))),2)</f>
        <v>0</v>
      </c>
      <c r="AF341" s="39" t="n">
        <f aca="false">MAX(0,'Start Here'!$C$5-SUM($L341:$U341))</f>
        <v>1200</v>
      </c>
      <c r="AG341" s="39" t="n">
        <f aca="false">SUM(V341:AE341)</f>
        <v>0</v>
      </c>
      <c r="AH341" s="39" t="n">
        <f aca="false">SUM(B341:K341)-AG340</f>
        <v>0</v>
      </c>
    </row>
    <row r="342" customFormat="false" ht="15" hidden="false" customHeight="false" outlineLevel="0" collapsed="false">
      <c r="A342" s="40" t="n">
        <f aca="false">DATE(YEAR('Start Here'!$C$6),MONTH('Start Here'!$C$6)+335,1)</f>
        <v>56493</v>
      </c>
      <c r="B342" s="39" t="n">
        <f aca="false">ROUND(V341*(1+N('My Debts'!$D$6)/12),2)</f>
        <v>0</v>
      </c>
      <c r="C342" s="39" t="n">
        <f aca="false">ROUND(W341*(1+N('My Debts'!$D$7)/12),2)</f>
        <v>0</v>
      </c>
      <c r="D342" s="39" t="n">
        <f aca="false">ROUND(X341*(1+N('My Debts'!$D$8)/12),2)</f>
        <v>0</v>
      </c>
      <c r="E342" s="39" t="n">
        <f aca="false">ROUND(Y341*(1+N('My Debts'!$D$9)/12),2)</f>
        <v>0</v>
      </c>
      <c r="F342" s="39" t="n">
        <f aca="false">ROUND(Z341*(1+N('My Debts'!$D$10)/12),2)</f>
        <v>0</v>
      </c>
      <c r="G342" s="39" t="n">
        <f aca="false">ROUND(AA341*(1+N('My Debts'!$D$11)/12),2)</f>
        <v>0</v>
      </c>
      <c r="H342" s="39" t="n">
        <f aca="false">ROUND(AB341*(1+N('My Debts'!$D$12)/12),2)</f>
        <v>0</v>
      </c>
      <c r="I342" s="39" t="n">
        <f aca="false">ROUND(AC341*(1+N('My Debts'!$D$13)/12),2)</f>
        <v>0</v>
      </c>
      <c r="J342" s="39" t="n">
        <f aca="false">ROUND(AD341*(1+N('My Debts'!$D$14)/12),2)</f>
        <v>0</v>
      </c>
      <c r="K342" s="39" t="n">
        <f aca="false">ROUND(AE341*(1+N('My Debts'!$D$15)/12),2)</f>
        <v>0</v>
      </c>
      <c r="L342" s="39" t="n">
        <f aca="false">MIN(N('My Debts'!$E$6),B342)</f>
        <v>0</v>
      </c>
      <c r="M342" s="39" t="n">
        <f aca="false">MIN(N('My Debts'!$E$7),C342)</f>
        <v>0</v>
      </c>
      <c r="N342" s="39" t="n">
        <f aca="false">MIN(N('My Debts'!$E$8),D342)</f>
        <v>0</v>
      </c>
      <c r="O342" s="39" t="n">
        <f aca="false">MIN(N('My Debts'!$E$9),E342)</f>
        <v>0</v>
      </c>
      <c r="P342" s="39" t="n">
        <f aca="false">MIN(N('My Debts'!$E$10),F342)</f>
        <v>0</v>
      </c>
      <c r="Q342" s="39" t="n">
        <f aca="false">MIN(N('My Debts'!$E$11),G342)</f>
        <v>0</v>
      </c>
      <c r="R342" s="39" t="n">
        <f aca="false">MIN(N('My Debts'!$E$12),H342)</f>
        <v>0</v>
      </c>
      <c r="S342" s="39" t="n">
        <f aca="false">MIN(N('My Debts'!$E$13),I342)</f>
        <v>0</v>
      </c>
      <c r="T342" s="39" t="n">
        <f aca="false">MIN(N('My Debts'!$E$14),J342)</f>
        <v>0</v>
      </c>
      <c r="U342" s="39" t="n">
        <f aca="false">MIN(N('My Debts'!$E$15),K342)</f>
        <v>0</v>
      </c>
      <c r="V342" s="39" t="n">
        <f aca="false">ROUND(B342-L342-MIN(B342-L342,MAX(0,$AF342-SUMPRODUCT(--($B$4:$K$4&lt;B$4),$B342:$K342-$L342:$U342))),2)</f>
        <v>0</v>
      </c>
      <c r="W342" s="39" t="n">
        <f aca="false">ROUND(C342-M342-MIN(C342-M342,MAX(0,$AF342-SUMPRODUCT(--($B$4:$K$4&lt;C$4),$B342:$K342-$L342:$U342))),2)</f>
        <v>0</v>
      </c>
      <c r="X342" s="39" t="n">
        <f aca="false">ROUND(D342-N342-MIN(D342-N342,MAX(0,$AF342-SUMPRODUCT(--($B$4:$K$4&lt;D$4),$B342:$K342-$L342:$U342))),2)</f>
        <v>0</v>
      </c>
      <c r="Y342" s="39" t="n">
        <f aca="false">ROUND(E342-O342-MIN(E342-O342,MAX(0,$AF342-SUMPRODUCT(--($B$4:$K$4&lt;E$4),$B342:$K342-$L342:$U342))),2)</f>
        <v>0</v>
      </c>
      <c r="Z342" s="39" t="n">
        <f aca="false">ROUND(F342-P342-MIN(F342-P342,MAX(0,$AF342-SUMPRODUCT(--($B$4:$K$4&lt;F$4),$B342:$K342-$L342:$U342))),2)</f>
        <v>0</v>
      </c>
      <c r="AA342" s="39" t="n">
        <f aca="false">ROUND(G342-Q342-MIN(G342-Q342,MAX(0,$AF342-SUMPRODUCT(--($B$4:$K$4&lt;G$4),$B342:$K342-$L342:$U342))),2)</f>
        <v>0</v>
      </c>
      <c r="AB342" s="39" t="n">
        <f aca="false">ROUND(H342-R342-MIN(H342-R342,MAX(0,$AF342-SUMPRODUCT(--($B$4:$K$4&lt;H$4),$B342:$K342-$L342:$U342))),2)</f>
        <v>0</v>
      </c>
      <c r="AC342" s="39" t="n">
        <f aca="false">ROUND(I342-S342-MIN(I342-S342,MAX(0,$AF342-SUMPRODUCT(--($B$4:$K$4&lt;I$4),$B342:$K342-$L342:$U342))),2)</f>
        <v>0</v>
      </c>
      <c r="AD342" s="39" t="n">
        <f aca="false">ROUND(J342-T342-MIN(J342-T342,MAX(0,$AF342-SUMPRODUCT(--($B$4:$K$4&lt;J$4),$B342:$K342-$L342:$U342))),2)</f>
        <v>0</v>
      </c>
      <c r="AE342" s="39" t="n">
        <f aca="false">ROUND(K342-U342-MIN(K342-U342,MAX(0,$AF342-SUMPRODUCT(--($B$4:$K$4&lt;K$4),$B342:$K342-$L342:$U342))),2)</f>
        <v>0</v>
      </c>
      <c r="AF342" s="39" t="n">
        <f aca="false">MAX(0,'Start Here'!$C$5-SUM($L342:$U342))</f>
        <v>1200</v>
      </c>
      <c r="AG342" s="39" t="n">
        <f aca="false">SUM(V342:AE342)</f>
        <v>0</v>
      </c>
      <c r="AH342" s="39" t="n">
        <f aca="false">SUM(B342:K342)-AG341</f>
        <v>0</v>
      </c>
    </row>
    <row r="343" customFormat="false" ht="15" hidden="false" customHeight="false" outlineLevel="0" collapsed="false">
      <c r="A343" s="40" t="n">
        <f aca="false">DATE(YEAR('Start Here'!$C$6),MONTH('Start Here'!$C$6)+336,1)</f>
        <v>56523</v>
      </c>
      <c r="B343" s="39" t="n">
        <f aca="false">ROUND(V342*(1+N('My Debts'!$D$6)/12),2)</f>
        <v>0</v>
      </c>
      <c r="C343" s="39" t="n">
        <f aca="false">ROUND(W342*(1+N('My Debts'!$D$7)/12),2)</f>
        <v>0</v>
      </c>
      <c r="D343" s="39" t="n">
        <f aca="false">ROUND(X342*(1+N('My Debts'!$D$8)/12),2)</f>
        <v>0</v>
      </c>
      <c r="E343" s="39" t="n">
        <f aca="false">ROUND(Y342*(1+N('My Debts'!$D$9)/12),2)</f>
        <v>0</v>
      </c>
      <c r="F343" s="39" t="n">
        <f aca="false">ROUND(Z342*(1+N('My Debts'!$D$10)/12),2)</f>
        <v>0</v>
      </c>
      <c r="G343" s="39" t="n">
        <f aca="false">ROUND(AA342*(1+N('My Debts'!$D$11)/12),2)</f>
        <v>0</v>
      </c>
      <c r="H343" s="39" t="n">
        <f aca="false">ROUND(AB342*(1+N('My Debts'!$D$12)/12),2)</f>
        <v>0</v>
      </c>
      <c r="I343" s="39" t="n">
        <f aca="false">ROUND(AC342*(1+N('My Debts'!$D$13)/12),2)</f>
        <v>0</v>
      </c>
      <c r="J343" s="39" t="n">
        <f aca="false">ROUND(AD342*(1+N('My Debts'!$D$14)/12),2)</f>
        <v>0</v>
      </c>
      <c r="K343" s="39" t="n">
        <f aca="false">ROUND(AE342*(1+N('My Debts'!$D$15)/12),2)</f>
        <v>0</v>
      </c>
      <c r="L343" s="39" t="n">
        <f aca="false">MIN(N('My Debts'!$E$6),B343)</f>
        <v>0</v>
      </c>
      <c r="M343" s="39" t="n">
        <f aca="false">MIN(N('My Debts'!$E$7),C343)</f>
        <v>0</v>
      </c>
      <c r="N343" s="39" t="n">
        <f aca="false">MIN(N('My Debts'!$E$8),D343)</f>
        <v>0</v>
      </c>
      <c r="O343" s="39" t="n">
        <f aca="false">MIN(N('My Debts'!$E$9),E343)</f>
        <v>0</v>
      </c>
      <c r="P343" s="39" t="n">
        <f aca="false">MIN(N('My Debts'!$E$10),F343)</f>
        <v>0</v>
      </c>
      <c r="Q343" s="39" t="n">
        <f aca="false">MIN(N('My Debts'!$E$11),G343)</f>
        <v>0</v>
      </c>
      <c r="R343" s="39" t="n">
        <f aca="false">MIN(N('My Debts'!$E$12),H343)</f>
        <v>0</v>
      </c>
      <c r="S343" s="39" t="n">
        <f aca="false">MIN(N('My Debts'!$E$13),I343)</f>
        <v>0</v>
      </c>
      <c r="T343" s="39" t="n">
        <f aca="false">MIN(N('My Debts'!$E$14),J343)</f>
        <v>0</v>
      </c>
      <c r="U343" s="39" t="n">
        <f aca="false">MIN(N('My Debts'!$E$15),K343)</f>
        <v>0</v>
      </c>
      <c r="V343" s="39" t="n">
        <f aca="false">ROUND(B343-L343-MIN(B343-L343,MAX(0,$AF343-SUMPRODUCT(--($B$4:$K$4&lt;B$4),$B343:$K343-$L343:$U343))),2)</f>
        <v>0</v>
      </c>
      <c r="W343" s="39" t="n">
        <f aca="false">ROUND(C343-M343-MIN(C343-M343,MAX(0,$AF343-SUMPRODUCT(--($B$4:$K$4&lt;C$4),$B343:$K343-$L343:$U343))),2)</f>
        <v>0</v>
      </c>
      <c r="X343" s="39" t="n">
        <f aca="false">ROUND(D343-N343-MIN(D343-N343,MAX(0,$AF343-SUMPRODUCT(--($B$4:$K$4&lt;D$4),$B343:$K343-$L343:$U343))),2)</f>
        <v>0</v>
      </c>
      <c r="Y343" s="39" t="n">
        <f aca="false">ROUND(E343-O343-MIN(E343-O343,MAX(0,$AF343-SUMPRODUCT(--($B$4:$K$4&lt;E$4),$B343:$K343-$L343:$U343))),2)</f>
        <v>0</v>
      </c>
      <c r="Z343" s="39" t="n">
        <f aca="false">ROUND(F343-P343-MIN(F343-P343,MAX(0,$AF343-SUMPRODUCT(--($B$4:$K$4&lt;F$4),$B343:$K343-$L343:$U343))),2)</f>
        <v>0</v>
      </c>
      <c r="AA343" s="39" t="n">
        <f aca="false">ROUND(G343-Q343-MIN(G343-Q343,MAX(0,$AF343-SUMPRODUCT(--($B$4:$K$4&lt;G$4),$B343:$K343-$L343:$U343))),2)</f>
        <v>0</v>
      </c>
      <c r="AB343" s="39" t="n">
        <f aca="false">ROUND(H343-R343-MIN(H343-R343,MAX(0,$AF343-SUMPRODUCT(--($B$4:$K$4&lt;H$4),$B343:$K343-$L343:$U343))),2)</f>
        <v>0</v>
      </c>
      <c r="AC343" s="39" t="n">
        <f aca="false">ROUND(I343-S343-MIN(I343-S343,MAX(0,$AF343-SUMPRODUCT(--($B$4:$K$4&lt;I$4),$B343:$K343-$L343:$U343))),2)</f>
        <v>0</v>
      </c>
      <c r="AD343" s="39" t="n">
        <f aca="false">ROUND(J343-T343-MIN(J343-T343,MAX(0,$AF343-SUMPRODUCT(--($B$4:$K$4&lt;J$4),$B343:$K343-$L343:$U343))),2)</f>
        <v>0</v>
      </c>
      <c r="AE343" s="39" t="n">
        <f aca="false">ROUND(K343-U343-MIN(K343-U343,MAX(0,$AF343-SUMPRODUCT(--($B$4:$K$4&lt;K$4),$B343:$K343-$L343:$U343))),2)</f>
        <v>0</v>
      </c>
      <c r="AF343" s="39" t="n">
        <f aca="false">MAX(0,'Start Here'!$C$5-SUM($L343:$U343))</f>
        <v>1200</v>
      </c>
      <c r="AG343" s="39" t="n">
        <f aca="false">SUM(V343:AE343)</f>
        <v>0</v>
      </c>
      <c r="AH343" s="39" t="n">
        <f aca="false">SUM(B343:K343)-AG342</f>
        <v>0</v>
      </c>
    </row>
    <row r="344" customFormat="false" ht="15" hidden="false" customHeight="false" outlineLevel="0" collapsed="false">
      <c r="A344" s="40" t="n">
        <f aca="false">DATE(YEAR('Start Here'!$C$6),MONTH('Start Here'!$C$6)+337,1)</f>
        <v>56554</v>
      </c>
      <c r="B344" s="39" t="n">
        <f aca="false">ROUND(V343*(1+N('My Debts'!$D$6)/12),2)</f>
        <v>0</v>
      </c>
      <c r="C344" s="39" t="n">
        <f aca="false">ROUND(W343*(1+N('My Debts'!$D$7)/12),2)</f>
        <v>0</v>
      </c>
      <c r="D344" s="39" t="n">
        <f aca="false">ROUND(X343*(1+N('My Debts'!$D$8)/12),2)</f>
        <v>0</v>
      </c>
      <c r="E344" s="39" t="n">
        <f aca="false">ROUND(Y343*(1+N('My Debts'!$D$9)/12),2)</f>
        <v>0</v>
      </c>
      <c r="F344" s="39" t="n">
        <f aca="false">ROUND(Z343*(1+N('My Debts'!$D$10)/12),2)</f>
        <v>0</v>
      </c>
      <c r="G344" s="39" t="n">
        <f aca="false">ROUND(AA343*(1+N('My Debts'!$D$11)/12),2)</f>
        <v>0</v>
      </c>
      <c r="H344" s="39" t="n">
        <f aca="false">ROUND(AB343*(1+N('My Debts'!$D$12)/12),2)</f>
        <v>0</v>
      </c>
      <c r="I344" s="39" t="n">
        <f aca="false">ROUND(AC343*(1+N('My Debts'!$D$13)/12),2)</f>
        <v>0</v>
      </c>
      <c r="J344" s="39" t="n">
        <f aca="false">ROUND(AD343*(1+N('My Debts'!$D$14)/12),2)</f>
        <v>0</v>
      </c>
      <c r="K344" s="39" t="n">
        <f aca="false">ROUND(AE343*(1+N('My Debts'!$D$15)/12),2)</f>
        <v>0</v>
      </c>
      <c r="L344" s="39" t="n">
        <f aca="false">MIN(N('My Debts'!$E$6),B344)</f>
        <v>0</v>
      </c>
      <c r="M344" s="39" t="n">
        <f aca="false">MIN(N('My Debts'!$E$7),C344)</f>
        <v>0</v>
      </c>
      <c r="N344" s="39" t="n">
        <f aca="false">MIN(N('My Debts'!$E$8),D344)</f>
        <v>0</v>
      </c>
      <c r="O344" s="39" t="n">
        <f aca="false">MIN(N('My Debts'!$E$9),E344)</f>
        <v>0</v>
      </c>
      <c r="P344" s="39" t="n">
        <f aca="false">MIN(N('My Debts'!$E$10),F344)</f>
        <v>0</v>
      </c>
      <c r="Q344" s="39" t="n">
        <f aca="false">MIN(N('My Debts'!$E$11),G344)</f>
        <v>0</v>
      </c>
      <c r="R344" s="39" t="n">
        <f aca="false">MIN(N('My Debts'!$E$12),H344)</f>
        <v>0</v>
      </c>
      <c r="S344" s="39" t="n">
        <f aca="false">MIN(N('My Debts'!$E$13),I344)</f>
        <v>0</v>
      </c>
      <c r="T344" s="39" t="n">
        <f aca="false">MIN(N('My Debts'!$E$14),J344)</f>
        <v>0</v>
      </c>
      <c r="U344" s="39" t="n">
        <f aca="false">MIN(N('My Debts'!$E$15),K344)</f>
        <v>0</v>
      </c>
      <c r="V344" s="39" t="n">
        <f aca="false">ROUND(B344-L344-MIN(B344-L344,MAX(0,$AF344-SUMPRODUCT(--($B$4:$K$4&lt;B$4),$B344:$K344-$L344:$U344))),2)</f>
        <v>0</v>
      </c>
      <c r="W344" s="39" t="n">
        <f aca="false">ROUND(C344-M344-MIN(C344-M344,MAX(0,$AF344-SUMPRODUCT(--($B$4:$K$4&lt;C$4),$B344:$K344-$L344:$U344))),2)</f>
        <v>0</v>
      </c>
      <c r="X344" s="39" t="n">
        <f aca="false">ROUND(D344-N344-MIN(D344-N344,MAX(0,$AF344-SUMPRODUCT(--($B$4:$K$4&lt;D$4),$B344:$K344-$L344:$U344))),2)</f>
        <v>0</v>
      </c>
      <c r="Y344" s="39" t="n">
        <f aca="false">ROUND(E344-O344-MIN(E344-O344,MAX(0,$AF344-SUMPRODUCT(--($B$4:$K$4&lt;E$4),$B344:$K344-$L344:$U344))),2)</f>
        <v>0</v>
      </c>
      <c r="Z344" s="39" t="n">
        <f aca="false">ROUND(F344-P344-MIN(F344-P344,MAX(0,$AF344-SUMPRODUCT(--($B$4:$K$4&lt;F$4),$B344:$K344-$L344:$U344))),2)</f>
        <v>0</v>
      </c>
      <c r="AA344" s="39" t="n">
        <f aca="false">ROUND(G344-Q344-MIN(G344-Q344,MAX(0,$AF344-SUMPRODUCT(--($B$4:$K$4&lt;G$4),$B344:$K344-$L344:$U344))),2)</f>
        <v>0</v>
      </c>
      <c r="AB344" s="39" t="n">
        <f aca="false">ROUND(H344-R344-MIN(H344-R344,MAX(0,$AF344-SUMPRODUCT(--($B$4:$K$4&lt;H$4),$B344:$K344-$L344:$U344))),2)</f>
        <v>0</v>
      </c>
      <c r="AC344" s="39" t="n">
        <f aca="false">ROUND(I344-S344-MIN(I344-S344,MAX(0,$AF344-SUMPRODUCT(--($B$4:$K$4&lt;I$4),$B344:$K344-$L344:$U344))),2)</f>
        <v>0</v>
      </c>
      <c r="AD344" s="39" t="n">
        <f aca="false">ROUND(J344-T344-MIN(J344-T344,MAX(0,$AF344-SUMPRODUCT(--($B$4:$K$4&lt;J$4),$B344:$K344-$L344:$U344))),2)</f>
        <v>0</v>
      </c>
      <c r="AE344" s="39" t="n">
        <f aca="false">ROUND(K344-U344-MIN(K344-U344,MAX(0,$AF344-SUMPRODUCT(--($B$4:$K$4&lt;K$4),$B344:$K344-$L344:$U344))),2)</f>
        <v>0</v>
      </c>
      <c r="AF344" s="39" t="n">
        <f aca="false">MAX(0,'Start Here'!$C$5-SUM($L344:$U344))</f>
        <v>1200</v>
      </c>
      <c r="AG344" s="39" t="n">
        <f aca="false">SUM(V344:AE344)</f>
        <v>0</v>
      </c>
      <c r="AH344" s="39" t="n">
        <f aca="false">SUM(B344:K344)-AG343</f>
        <v>0</v>
      </c>
    </row>
    <row r="345" customFormat="false" ht="15" hidden="false" customHeight="false" outlineLevel="0" collapsed="false">
      <c r="A345" s="40" t="n">
        <f aca="false">DATE(YEAR('Start Here'!$C$6),MONTH('Start Here'!$C$6)+338,1)</f>
        <v>56584</v>
      </c>
      <c r="B345" s="39" t="n">
        <f aca="false">ROUND(V344*(1+N('My Debts'!$D$6)/12),2)</f>
        <v>0</v>
      </c>
      <c r="C345" s="39" t="n">
        <f aca="false">ROUND(W344*(1+N('My Debts'!$D$7)/12),2)</f>
        <v>0</v>
      </c>
      <c r="D345" s="39" t="n">
        <f aca="false">ROUND(X344*(1+N('My Debts'!$D$8)/12),2)</f>
        <v>0</v>
      </c>
      <c r="E345" s="39" t="n">
        <f aca="false">ROUND(Y344*(1+N('My Debts'!$D$9)/12),2)</f>
        <v>0</v>
      </c>
      <c r="F345" s="39" t="n">
        <f aca="false">ROUND(Z344*(1+N('My Debts'!$D$10)/12),2)</f>
        <v>0</v>
      </c>
      <c r="G345" s="39" t="n">
        <f aca="false">ROUND(AA344*(1+N('My Debts'!$D$11)/12),2)</f>
        <v>0</v>
      </c>
      <c r="H345" s="39" t="n">
        <f aca="false">ROUND(AB344*(1+N('My Debts'!$D$12)/12),2)</f>
        <v>0</v>
      </c>
      <c r="I345" s="39" t="n">
        <f aca="false">ROUND(AC344*(1+N('My Debts'!$D$13)/12),2)</f>
        <v>0</v>
      </c>
      <c r="J345" s="39" t="n">
        <f aca="false">ROUND(AD344*(1+N('My Debts'!$D$14)/12),2)</f>
        <v>0</v>
      </c>
      <c r="K345" s="39" t="n">
        <f aca="false">ROUND(AE344*(1+N('My Debts'!$D$15)/12),2)</f>
        <v>0</v>
      </c>
      <c r="L345" s="39" t="n">
        <f aca="false">MIN(N('My Debts'!$E$6),B345)</f>
        <v>0</v>
      </c>
      <c r="M345" s="39" t="n">
        <f aca="false">MIN(N('My Debts'!$E$7),C345)</f>
        <v>0</v>
      </c>
      <c r="N345" s="39" t="n">
        <f aca="false">MIN(N('My Debts'!$E$8),D345)</f>
        <v>0</v>
      </c>
      <c r="O345" s="39" t="n">
        <f aca="false">MIN(N('My Debts'!$E$9),E345)</f>
        <v>0</v>
      </c>
      <c r="P345" s="39" t="n">
        <f aca="false">MIN(N('My Debts'!$E$10),F345)</f>
        <v>0</v>
      </c>
      <c r="Q345" s="39" t="n">
        <f aca="false">MIN(N('My Debts'!$E$11),G345)</f>
        <v>0</v>
      </c>
      <c r="R345" s="39" t="n">
        <f aca="false">MIN(N('My Debts'!$E$12),H345)</f>
        <v>0</v>
      </c>
      <c r="S345" s="39" t="n">
        <f aca="false">MIN(N('My Debts'!$E$13),I345)</f>
        <v>0</v>
      </c>
      <c r="T345" s="39" t="n">
        <f aca="false">MIN(N('My Debts'!$E$14),J345)</f>
        <v>0</v>
      </c>
      <c r="U345" s="39" t="n">
        <f aca="false">MIN(N('My Debts'!$E$15),K345)</f>
        <v>0</v>
      </c>
      <c r="V345" s="39" t="n">
        <f aca="false">ROUND(B345-L345-MIN(B345-L345,MAX(0,$AF345-SUMPRODUCT(--($B$4:$K$4&lt;B$4),$B345:$K345-$L345:$U345))),2)</f>
        <v>0</v>
      </c>
      <c r="W345" s="39" t="n">
        <f aca="false">ROUND(C345-M345-MIN(C345-M345,MAX(0,$AF345-SUMPRODUCT(--($B$4:$K$4&lt;C$4),$B345:$K345-$L345:$U345))),2)</f>
        <v>0</v>
      </c>
      <c r="X345" s="39" t="n">
        <f aca="false">ROUND(D345-N345-MIN(D345-N345,MAX(0,$AF345-SUMPRODUCT(--($B$4:$K$4&lt;D$4),$B345:$K345-$L345:$U345))),2)</f>
        <v>0</v>
      </c>
      <c r="Y345" s="39" t="n">
        <f aca="false">ROUND(E345-O345-MIN(E345-O345,MAX(0,$AF345-SUMPRODUCT(--($B$4:$K$4&lt;E$4),$B345:$K345-$L345:$U345))),2)</f>
        <v>0</v>
      </c>
      <c r="Z345" s="39" t="n">
        <f aca="false">ROUND(F345-P345-MIN(F345-P345,MAX(0,$AF345-SUMPRODUCT(--($B$4:$K$4&lt;F$4),$B345:$K345-$L345:$U345))),2)</f>
        <v>0</v>
      </c>
      <c r="AA345" s="39" t="n">
        <f aca="false">ROUND(G345-Q345-MIN(G345-Q345,MAX(0,$AF345-SUMPRODUCT(--($B$4:$K$4&lt;G$4),$B345:$K345-$L345:$U345))),2)</f>
        <v>0</v>
      </c>
      <c r="AB345" s="39" t="n">
        <f aca="false">ROUND(H345-R345-MIN(H345-R345,MAX(0,$AF345-SUMPRODUCT(--($B$4:$K$4&lt;H$4),$B345:$K345-$L345:$U345))),2)</f>
        <v>0</v>
      </c>
      <c r="AC345" s="39" t="n">
        <f aca="false">ROUND(I345-S345-MIN(I345-S345,MAX(0,$AF345-SUMPRODUCT(--($B$4:$K$4&lt;I$4),$B345:$K345-$L345:$U345))),2)</f>
        <v>0</v>
      </c>
      <c r="AD345" s="39" t="n">
        <f aca="false">ROUND(J345-T345-MIN(J345-T345,MAX(0,$AF345-SUMPRODUCT(--($B$4:$K$4&lt;J$4),$B345:$K345-$L345:$U345))),2)</f>
        <v>0</v>
      </c>
      <c r="AE345" s="39" t="n">
        <f aca="false">ROUND(K345-U345-MIN(K345-U345,MAX(0,$AF345-SUMPRODUCT(--($B$4:$K$4&lt;K$4),$B345:$K345-$L345:$U345))),2)</f>
        <v>0</v>
      </c>
      <c r="AF345" s="39" t="n">
        <f aca="false">MAX(0,'Start Here'!$C$5-SUM($L345:$U345))</f>
        <v>1200</v>
      </c>
      <c r="AG345" s="39" t="n">
        <f aca="false">SUM(V345:AE345)</f>
        <v>0</v>
      </c>
      <c r="AH345" s="39" t="n">
        <f aca="false">SUM(B345:K345)-AG344</f>
        <v>0</v>
      </c>
    </row>
    <row r="346" customFormat="false" ht="15" hidden="false" customHeight="false" outlineLevel="0" collapsed="false">
      <c r="A346" s="40" t="n">
        <f aca="false">DATE(YEAR('Start Here'!$C$6),MONTH('Start Here'!$C$6)+339,1)</f>
        <v>56615</v>
      </c>
      <c r="B346" s="39" t="n">
        <f aca="false">ROUND(V345*(1+N('My Debts'!$D$6)/12),2)</f>
        <v>0</v>
      </c>
      <c r="C346" s="39" t="n">
        <f aca="false">ROUND(W345*(1+N('My Debts'!$D$7)/12),2)</f>
        <v>0</v>
      </c>
      <c r="D346" s="39" t="n">
        <f aca="false">ROUND(X345*(1+N('My Debts'!$D$8)/12),2)</f>
        <v>0</v>
      </c>
      <c r="E346" s="39" t="n">
        <f aca="false">ROUND(Y345*(1+N('My Debts'!$D$9)/12),2)</f>
        <v>0</v>
      </c>
      <c r="F346" s="39" t="n">
        <f aca="false">ROUND(Z345*(1+N('My Debts'!$D$10)/12),2)</f>
        <v>0</v>
      </c>
      <c r="G346" s="39" t="n">
        <f aca="false">ROUND(AA345*(1+N('My Debts'!$D$11)/12),2)</f>
        <v>0</v>
      </c>
      <c r="H346" s="39" t="n">
        <f aca="false">ROUND(AB345*(1+N('My Debts'!$D$12)/12),2)</f>
        <v>0</v>
      </c>
      <c r="I346" s="39" t="n">
        <f aca="false">ROUND(AC345*(1+N('My Debts'!$D$13)/12),2)</f>
        <v>0</v>
      </c>
      <c r="J346" s="39" t="n">
        <f aca="false">ROUND(AD345*(1+N('My Debts'!$D$14)/12),2)</f>
        <v>0</v>
      </c>
      <c r="K346" s="39" t="n">
        <f aca="false">ROUND(AE345*(1+N('My Debts'!$D$15)/12),2)</f>
        <v>0</v>
      </c>
      <c r="L346" s="39" t="n">
        <f aca="false">MIN(N('My Debts'!$E$6),B346)</f>
        <v>0</v>
      </c>
      <c r="M346" s="39" t="n">
        <f aca="false">MIN(N('My Debts'!$E$7),C346)</f>
        <v>0</v>
      </c>
      <c r="N346" s="39" t="n">
        <f aca="false">MIN(N('My Debts'!$E$8),D346)</f>
        <v>0</v>
      </c>
      <c r="O346" s="39" t="n">
        <f aca="false">MIN(N('My Debts'!$E$9),E346)</f>
        <v>0</v>
      </c>
      <c r="P346" s="39" t="n">
        <f aca="false">MIN(N('My Debts'!$E$10),F346)</f>
        <v>0</v>
      </c>
      <c r="Q346" s="39" t="n">
        <f aca="false">MIN(N('My Debts'!$E$11),G346)</f>
        <v>0</v>
      </c>
      <c r="R346" s="39" t="n">
        <f aca="false">MIN(N('My Debts'!$E$12),H346)</f>
        <v>0</v>
      </c>
      <c r="S346" s="39" t="n">
        <f aca="false">MIN(N('My Debts'!$E$13),I346)</f>
        <v>0</v>
      </c>
      <c r="T346" s="39" t="n">
        <f aca="false">MIN(N('My Debts'!$E$14),J346)</f>
        <v>0</v>
      </c>
      <c r="U346" s="39" t="n">
        <f aca="false">MIN(N('My Debts'!$E$15),K346)</f>
        <v>0</v>
      </c>
      <c r="V346" s="39" t="n">
        <f aca="false">ROUND(B346-L346-MIN(B346-L346,MAX(0,$AF346-SUMPRODUCT(--($B$4:$K$4&lt;B$4),$B346:$K346-$L346:$U346))),2)</f>
        <v>0</v>
      </c>
      <c r="W346" s="39" t="n">
        <f aca="false">ROUND(C346-M346-MIN(C346-M346,MAX(0,$AF346-SUMPRODUCT(--($B$4:$K$4&lt;C$4),$B346:$K346-$L346:$U346))),2)</f>
        <v>0</v>
      </c>
      <c r="X346" s="39" t="n">
        <f aca="false">ROUND(D346-N346-MIN(D346-N346,MAX(0,$AF346-SUMPRODUCT(--($B$4:$K$4&lt;D$4),$B346:$K346-$L346:$U346))),2)</f>
        <v>0</v>
      </c>
      <c r="Y346" s="39" t="n">
        <f aca="false">ROUND(E346-O346-MIN(E346-O346,MAX(0,$AF346-SUMPRODUCT(--($B$4:$K$4&lt;E$4),$B346:$K346-$L346:$U346))),2)</f>
        <v>0</v>
      </c>
      <c r="Z346" s="39" t="n">
        <f aca="false">ROUND(F346-P346-MIN(F346-P346,MAX(0,$AF346-SUMPRODUCT(--($B$4:$K$4&lt;F$4),$B346:$K346-$L346:$U346))),2)</f>
        <v>0</v>
      </c>
      <c r="AA346" s="39" t="n">
        <f aca="false">ROUND(G346-Q346-MIN(G346-Q346,MAX(0,$AF346-SUMPRODUCT(--($B$4:$K$4&lt;G$4),$B346:$K346-$L346:$U346))),2)</f>
        <v>0</v>
      </c>
      <c r="AB346" s="39" t="n">
        <f aca="false">ROUND(H346-R346-MIN(H346-R346,MAX(0,$AF346-SUMPRODUCT(--($B$4:$K$4&lt;H$4),$B346:$K346-$L346:$U346))),2)</f>
        <v>0</v>
      </c>
      <c r="AC346" s="39" t="n">
        <f aca="false">ROUND(I346-S346-MIN(I346-S346,MAX(0,$AF346-SUMPRODUCT(--($B$4:$K$4&lt;I$4),$B346:$K346-$L346:$U346))),2)</f>
        <v>0</v>
      </c>
      <c r="AD346" s="39" t="n">
        <f aca="false">ROUND(J346-T346-MIN(J346-T346,MAX(0,$AF346-SUMPRODUCT(--($B$4:$K$4&lt;J$4),$B346:$K346-$L346:$U346))),2)</f>
        <v>0</v>
      </c>
      <c r="AE346" s="39" t="n">
        <f aca="false">ROUND(K346-U346-MIN(K346-U346,MAX(0,$AF346-SUMPRODUCT(--($B$4:$K$4&lt;K$4),$B346:$K346-$L346:$U346))),2)</f>
        <v>0</v>
      </c>
      <c r="AF346" s="39" t="n">
        <f aca="false">MAX(0,'Start Here'!$C$5-SUM($L346:$U346))</f>
        <v>1200</v>
      </c>
      <c r="AG346" s="39" t="n">
        <f aca="false">SUM(V346:AE346)</f>
        <v>0</v>
      </c>
      <c r="AH346" s="39" t="n">
        <f aca="false">SUM(B346:K346)-AG345</f>
        <v>0</v>
      </c>
    </row>
    <row r="347" customFormat="false" ht="15" hidden="false" customHeight="false" outlineLevel="0" collapsed="false">
      <c r="A347" s="40" t="n">
        <f aca="false">DATE(YEAR('Start Here'!$C$6),MONTH('Start Here'!$C$6)+340,1)</f>
        <v>56646</v>
      </c>
      <c r="B347" s="39" t="n">
        <f aca="false">ROUND(V346*(1+N('My Debts'!$D$6)/12),2)</f>
        <v>0</v>
      </c>
      <c r="C347" s="39" t="n">
        <f aca="false">ROUND(W346*(1+N('My Debts'!$D$7)/12),2)</f>
        <v>0</v>
      </c>
      <c r="D347" s="39" t="n">
        <f aca="false">ROUND(X346*(1+N('My Debts'!$D$8)/12),2)</f>
        <v>0</v>
      </c>
      <c r="E347" s="39" t="n">
        <f aca="false">ROUND(Y346*(1+N('My Debts'!$D$9)/12),2)</f>
        <v>0</v>
      </c>
      <c r="F347" s="39" t="n">
        <f aca="false">ROUND(Z346*(1+N('My Debts'!$D$10)/12),2)</f>
        <v>0</v>
      </c>
      <c r="G347" s="39" t="n">
        <f aca="false">ROUND(AA346*(1+N('My Debts'!$D$11)/12),2)</f>
        <v>0</v>
      </c>
      <c r="H347" s="39" t="n">
        <f aca="false">ROUND(AB346*(1+N('My Debts'!$D$12)/12),2)</f>
        <v>0</v>
      </c>
      <c r="I347" s="39" t="n">
        <f aca="false">ROUND(AC346*(1+N('My Debts'!$D$13)/12),2)</f>
        <v>0</v>
      </c>
      <c r="J347" s="39" t="n">
        <f aca="false">ROUND(AD346*(1+N('My Debts'!$D$14)/12),2)</f>
        <v>0</v>
      </c>
      <c r="K347" s="39" t="n">
        <f aca="false">ROUND(AE346*(1+N('My Debts'!$D$15)/12),2)</f>
        <v>0</v>
      </c>
      <c r="L347" s="39" t="n">
        <f aca="false">MIN(N('My Debts'!$E$6),B347)</f>
        <v>0</v>
      </c>
      <c r="M347" s="39" t="n">
        <f aca="false">MIN(N('My Debts'!$E$7),C347)</f>
        <v>0</v>
      </c>
      <c r="N347" s="39" t="n">
        <f aca="false">MIN(N('My Debts'!$E$8),D347)</f>
        <v>0</v>
      </c>
      <c r="O347" s="39" t="n">
        <f aca="false">MIN(N('My Debts'!$E$9),E347)</f>
        <v>0</v>
      </c>
      <c r="P347" s="39" t="n">
        <f aca="false">MIN(N('My Debts'!$E$10),F347)</f>
        <v>0</v>
      </c>
      <c r="Q347" s="39" t="n">
        <f aca="false">MIN(N('My Debts'!$E$11),G347)</f>
        <v>0</v>
      </c>
      <c r="R347" s="39" t="n">
        <f aca="false">MIN(N('My Debts'!$E$12),H347)</f>
        <v>0</v>
      </c>
      <c r="S347" s="39" t="n">
        <f aca="false">MIN(N('My Debts'!$E$13),I347)</f>
        <v>0</v>
      </c>
      <c r="T347" s="39" t="n">
        <f aca="false">MIN(N('My Debts'!$E$14),J347)</f>
        <v>0</v>
      </c>
      <c r="U347" s="39" t="n">
        <f aca="false">MIN(N('My Debts'!$E$15),K347)</f>
        <v>0</v>
      </c>
      <c r="V347" s="39" t="n">
        <f aca="false">ROUND(B347-L347-MIN(B347-L347,MAX(0,$AF347-SUMPRODUCT(--($B$4:$K$4&lt;B$4),$B347:$K347-$L347:$U347))),2)</f>
        <v>0</v>
      </c>
      <c r="W347" s="39" t="n">
        <f aca="false">ROUND(C347-M347-MIN(C347-M347,MAX(0,$AF347-SUMPRODUCT(--($B$4:$K$4&lt;C$4),$B347:$K347-$L347:$U347))),2)</f>
        <v>0</v>
      </c>
      <c r="X347" s="39" t="n">
        <f aca="false">ROUND(D347-N347-MIN(D347-N347,MAX(0,$AF347-SUMPRODUCT(--($B$4:$K$4&lt;D$4),$B347:$K347-$L347:$U347))),2)</f>
        <v>0</v>
      </c>
      <c r="Y347" s="39" t="n">
        <f aca="false">ROUND(E347-O347-MIN(E347-O347,MAX(0,$AF347-SUMPRODUCT(--($B$4:$K$4&lt;E$4),$B347:$K347-$L347:$U347))),2)</f>
        <v>0</v>
      </c>
      <c r="Z347" s="39" t="n">
        <f aca="false">ROUND(F347-P347-MIN(F347-P347,MAX(0,$AF347-SUMPRODUCT(--($B$4:$K$4&lt;F$4),$B347:$K347-$L347:$U347))),2)</f>
        <v>0</v>
      </c>
      <c r="AA347" s="39" t="n">
        <f aca="false">ROUND(G347-Q347-MIN(G347-Q347,MAX(0,$AF347-SUMPRODUCT(--($B$4:$K$4&lt;G$4),$B347:$K347-$L347:$U347))),2)</f>
        <v>0</v>
      </c>
      <c r="AB347" s="39" t="n">
        <f aca="false">ROUND(H347-R347-MIN(H347-R347,MAX(0,$AF347-SUMPRODUCT(--($B$4:$K$4&lt;H$4),$B347:$K347-$L347:$U347))),2)</f>
        <v>0</v>
      </c>
      <c r="AC347" s="39" t="n">
        <f aca="false">ROUND(I347-S347-MIN(I347-S347,MAX(0,$AF347-SUMPRODUCT(--($B$4:$K$4&lt;I$4),$B347:$K347-$L347:$U347))),2)</f>
        <v>0</v>
      </c>
      <c r="AD347" s="39" t="n">
        <f aca="false">ROUND(J347-T347-MIN(J347-T347,MAX(0,$AF347-SUMPRODUCT(--($B$4:$K$4&lt;J$4),$B347:$K347-$L347:$U347))),2)</f>
        <v>0</v>
      </c>
      <c r="AE347" s="39" t="n">
        <f aca="false">ROUND(K347-U347-MIN(K347-U347,MAX(0,$AF347-SUMPRODUCT(--($B$4:$K$4&lt;K$4),$B347:$K347-$L347:$U347))),2)</f>
        <v>0</v>
      </c>
      <c r="AF347" s="39" t="n">
        <f aca="false">MAX(0,'Start Here'!$C$5-SUM($L347:$U347))</f>
        <v>1200</v>
      </c>
      <c r="AG347" s="39" t="n">
        <f aca="false">SUM(V347:AE347)</f>
        <v>0</v>
      </c>
      <c r="AH347" s="39" t="n">
        <f aca="false">SUM(B347:K347)-AG346</f>
        <v>0</v>
      </c>
    </row>
    <row r="348" customFormat="false" ht="15" hidden="false" customHeight="false" outlineLevel="0" collapsed="false">
      <c r="A348" s="40" t="n">
        <f aca="false">DATE(YEAR('Start Here'!$C$6),MONTH('Start Here'!$C$6)+341,1)</f>
        <v>56674</v>
      </c>
      <c r="B348" s="39" t="n">
        <f aca="false">ROUND(V347*(1+N('My Debts'!$D$6)/12),2)</f>
        <v>0</v>
      </c>
      <c r="C348" s="39" t="n">
        <f aca="false">ROUND(W347*(1+N('My Debts'!$D$7)/12),2)</f>
        <v>0</v>
      </c>
      <c r="D348" s="39" t="n">
        <f aca="false">ROUND(X347*(1+N('My Debts'!$D$8)/12),2)</f>
        <v>0</v>
      </c>
      <c r="E348" s="39" t="n">
        <f aca="false">ROUND(Y347*(1+N('My Debts'!$D$9)/12),2)</f>
        <v>0</v>
      </c>
      <c r="F348" s="39" t="n">
        <f aca="false">ROUND(Z347*(1+N('My Debts'!$D$10)/12),2)</f>
        <v>0</v>
      </c>
      <c r="G348" s="39" t="n">
        <f aca="false">ROUND(AA347*(1+N('My Debts'!$D$11)/12),2)</f>
        <v>0</v>
      </c>
      <c r="H348" s="39" t="n">
        <f aca="false">ROUND(AB347*(1+N('My Debts'!$D$12)/12),2)</f>
        <v>0</v>
      </c>
      <c r="I348" s="39" t="n">
        <f aca="false">ROUND(AC347*(1+N('My Debts'!$D$13)/12),2)</f>
        <v>0</v>
      </c>
      <c r="J348" s="39" t="n">
        <f aca="false">ROUND(AD347*(1+N('My Debts'!$D$14)/12),2)</f>
        <v>0</v>
      </c>
      <c r="K348" s="39" t="n">
        <f aca="false">ROUND(AE347*(1+N('My Debts'!$D$15)/12),2)</f>
        <v>0</v>
      </c>
      <c r="L348" s="39" t="n">
        <f aca="false">MIN(N('My Debts'!$E$6),B348)</f>
        <v>0</v>
      </c>
      <c r="M348" s="39" t="n">
        <f aca="false">MIN(N('My Debts'!$E$7),C348)</f>
        <v>0</v>
      </c>
      <c r="N348" s="39" t="n">
        <f aca="false">MIN(N('My Debts'!$E$8),D348)</f>
        <v>0</v>
      </c>
      <c r="O348" s="39" t="n">
        <f aca="false">MIN(N('My Debts'!$E$9),E348)</f>
        <v>0</v>
      </c>
      <c r="P348" s="39" t="n">
        <f aca="false">MIN(N('My Debts'!$E$10),F348)</f>
        <v>0</v>
      </c>
      <c r="Q348" s="39" t="n">
        <f aca="false">MIN(N('My Debts'!$E$11),G348)</f>
        <v>0</v>
      </c>
      <c r="R348" s="39" t="n">
        <f aca="false">MIN(N('My Debts'!$E$12),H348)</f>
        <v>0</v>
      </c>
      <c r="S348" s="39" t="n">
        <f aca="false">MIN(N('My Debts'!$E$13),I348)</f>
        <v>0</v>
      </c>
      <c r="T348" s="39" t="n">
        <f aca="false">MIN(N('My Debts'!$E$14),J348)</f>
        <v>0</v>
      </c>
      <c r="U348" s="39" t="n">
        <f aca="false">MIN(N('My Debts'!$E$15),K348)</f>
        <v>0</v>
      </c>
      <c r="V348" s="39" t="n">
        <f aca="false">ROUND(B348-L348-MIN(B348-L348,MAX(0,$AF348-SUMPRODUCT(--($B$4:$K$4&lt;B$4),$B348:$K348-$L348:$U348))),2)</f>
        <v>0</v>
      </c>
      <c r="W348" s="39" t="n">
        <f aca="false">ROUND(C348-M348-MIN(C348-M348,MAX(0,$AF348-SUMPRODUCT(--($B$4:$K$4&lt;C$4),$B348:$K348-$L348:$U348))),2)</f>
        <v>0</v>
      </c>
      <c r="X348" s="39" t="n">
        <f aca="false">ROUND(D348-N348-MIN(D348-N348,MAX(0,$AF348-SUMPRODUCT(--($B$4:$K$4&lt;D$4),$B348:$K348-$L348:$U348))),2)</f>
        <v>0</v>
      </c>
      <c r="Y348" s="39" t="n">
        <f aca="false">ROUND(E348-O348-MIN(E348-O348,MAX(0,$AF348-SUMPRODUCT(--($B$4:$K$4&lt;E$4),$B348:$K348-$L348:$U348))),2)</f>
        <v>0</v>
      </c>
      <c r="Z348" s="39" t="n">
        <f aca="false">ROUND(F348-P348-MIN(F348-P348,MAX(0,$AF348-SUMPRODUCT(--($B$4:$K$4&lt;F$4),$B348:$K348-$L348:$U348))),2)</f>
        <v>0</v>
      </c>
      <c r="AA348" s="39" t="n">
        <f aca="false">ROUND(G348-Q348-MIN(G348-Q348,MAX(0,$AF348-SUMPRODUCT(--($B$4:$K$4&lt;G$4),$B348:$K348-$L348:$U348))),2)</f>
        <v>0</v>
      </c>
      <c r="AB348" s="39" t="n">
        <f aca="false">ROUND(H348-R348-MIN(H348-R348,MAX(0,$AF348-SUMPRODUCT(--($B$4:$K$4&lt;H$4),$B348:$K348-$L348:$U348))),2)</f>
        <v>0</v>
      </c>
      <c r="AC348" s="39" t="n">
        <f aca="false">ROUND(I348-S348-MIN(I348-S348,MAX(0,$AF348-SUMPRODUCT(--($B$4:$K$4&lt;I$4),$B348:$K348-$L348:$U348))),2)</f>
        <v>0</v>
      </c>
      <c r="AD348" s="39" t="n">
        <f aca="false">ROUND(J348-T348-MIN(J348-T348,MAX(0,$AF348-SUMPRODUCT(--($B$4:$K$4&lt;J$4),$B348:$K348-$L348:$U348))),2)</f>
        <v>0</v>
      </c>
      <c r="AE348" s="39" t="n">
        <f aca="false">ROUND(K348-U348-MIN(K348-U348,MAX(0,$AF348-SUMPRODUCT(--($B$4:$K$4&lt;K$4),$B348:$K348-$L348:$U348))),2)</f>
        <v>0</v>
      </c>
      <c r="AF348" s="39" t="n">
        <f aca="false">MAX(0,'Start Here'!$C$5-SUM($L348:$U348))</f>
        <v>1200</v>
      </c>
      <c r="AG348" s="39" t="n">
        <f aca="false">SUM(V348:AE348)</f>
        <v>0</v>
      </c>
      <c r="AH348" s="39" t="n">
        <f aca="false">SUM(B348:K348)-AG347</f>
        <v>0</v>
      </c>
    </row>
    <row r="349" customFormat="false" ht="15" hidden="false" customHeight="false" outlineLevel="0" collapsed="false">
      <c r="A349" s="40" t="n">
        <f aca="false">DATE(YEAR('Start Here'!$C$6),MONTH('Start Here'!$C$6)+342,1)</f>
        <v>56705</v>
      </c>
      <c r="B349" s="39" t="n">
        <f aca="false">ROUND(V348*(1+N('My Debts'!$D$6)/12),2)</f>
        <v>0</v>
      </c>
      <c r="C349" s="39" t="n">
        <f aca="false">ROUND(W348*(1+N('My Debts'!$D$7)/12),2)</f>
        <v>0</v>
      </c>
      <c r="D349" s="39" t="n">
        <f aca="false">ROUND(X348*(1+N('My Debts'!$D$8)/12),2)</f>
        <v>0</v>
      </c>
      <c r="E349" s="39" t="n">
        <f aca="false">ROUND(Y348*(1+N('My Debts'!$D$9)/12),2)</f>
        <v>0</v>
      </c>
      <c r="F349" s="39" t="n">
        <f aca="false">ROUND(Z348*(1+N('My Debts'!$D$10)/12),2)</f>
        <v>0</v>
      </c>
      <c r="G349" s="39" t="n">
        <f aca="false">ROUND(AA348*(1+N('My Debts'!$D$11)/12),2)</f>
        <v>0</v>
      </c>
      <c r="H349" s="39" t="n">
        <f aca="false">ROUND(AB348*(1+N('My Debts'!$D$12)/12),2)</f>
        <v>0</v>
      </c>
      <c r="I349" s="39" t="n">
        <f aca="false">ROUND(AC348*(1+N('My Debts'!$D$13)/12),2)</f>
        <v>0</v>
      </c>
      <c r="J349" s="39" t="n">
        <f aca="false">ROUND(AD348*(1+N('My Debts'!$D$14)/12),2)</f>
        <v>0</v>
      </c>
      <c r="K349" s="39" t="n">
        <f aca="false">ROUND(AE348*(1+N('My Debts'!$D$15)/12),2)</f>
        <v>0</v>
      </c>
      <c r="L349" s="39" t="n">
        <f aca="false">MIN(N('My Debts'!$E$6),B349)</f>
        <v>0</v>
      </c>
      <c r="M349" s="39" t="n">
        <f aca="false">MIN(N('My Debts'!$E$7),C349)</f>
        <v>0</v>
      </c>
      <c r="N349" s="39" t="n">
        <f aca="false">MIN(N('My Debts'!$E$8),D349)</f>
        <v>0</v>
      </c>
      <c r="O349" s="39" t="n">
        <f aca="false">MIN(N('My Debts'!$E$9),E349)</f>
        <v>0</v>
      </c>
      <c r="P349" s="39" t="n">
        <f aca="false">MIN(N('My Debts'!$E$10),F349)</f>
        <v>0</v>
      </c>
      <c r="Q349" s="39" t="n">
        <f aca="false">MIN(N('My Debts'!$E$11),G349)</f>
        <v>0</v>
      </c>
      <c r="R349" s="39" t="n">
        <f aca="false">MIN(N('My Debts'!$E$12),H349)</f>
        <v>0</v>
      </c>
      <c r="S349" s="39" t="n">
        <f aca="false">MIN(N('My Debts'!$E$13),I349)</f>
        <v>0</v>
      </c>
      <c r="T349" s="39" t="n">
        <f aca="false">MIN(N('My Debts'!$E$14),J349)</f>
        <v>0</v>
      </c>
      <c r="U349" s="39" t="n">
        <f aca="false">MIN(N('My Debts'!$E$15),K349)</f>
        <v>0</v>
      </c>
      <c r="V349" s="39" t="n">
        <f aca="false">ROUND(B349-L349-MIN(B349-L349,MAX(0,$AF349-SUMPRODUCT(--($B$4:$K$4&lt;B$4),$B349:$K349-$L349:$U349))),2)</f>
        <v>0</v>
      </c>
      <c r="W349" s="39" t="n">
        <f aca="false">ROUND(C349-M349-MIN(C349-M349,MAX(0,$AF349-SUMPRODUCT(--($B$4:$K$4&lt;C$4),$B349:$K349-$L349:$U349))),2)</f>
        <v>0</v>
      </c>
      <c r="X349" s="39" t="n">
        <f aca="false">ROUND(D349-N349-MIN(D349-N349,MAX(0,$AF349-SUMPRODUCT(--($B$4:$K$4&lt;D$4),$B349:$K349-$L349:$U349))),2)</f>
        <v>0</v>
      </c>
      <c r="Y349" s="39" t="n">
        <f aca="false">ROUND(E349-O349-MIN(E349-O349,MAX(0,$AF349-SUMPRODUCT(--($B$4:$K$4&lt;E$4),$B349:$K349-$L349:$U349))),2)</f>
        <v>0</v>
      </c>
      <c r="Z349" s="39" t="n">
        <f aca="false">ROUND(F349-P349-MIN(F349-P349,MAX(0,$AF349-SUMPRODUCT(--($B$4:$K$4&lt;F$4),$B349:$K349-$L349:$U349))),2)</f>
        <v>0</v>
      </c>
      <c r="AA349" s="39" t="n">
        <f aca="false">ROUND(G349-Q349-MIN(G349-Q349,MAX(0,$AF349-SUMPRODUCT(--($B$4:$K$4&lt;G$4),$B349:$K349-$L349:$U349))),2)</f>
        <v>0</v>
      </c>
      <c r="AB349" s="39" t="n">
        <f aca="false">ROUND(H349-R349-MIN(H349-R349,MAX(0,$AF349-SUMPRODUCT(--($B$4:$K$4&lt;H$4),$B349:$K349-$L349:$U349))),2)</f>
        <v>0</v>
      </c>
      <c r="AC349" s="39" t="n">
        <f aca="false">ROUND(I349-S349-MIN(I349-S349,MAX(0,$AF349-SUMPRODUCT(--($B$4:$K$4&lt;I$4),$B349:$K349-$L349:$U349))),2)</f>
        <v>0</v>
      </c>
      <c r="AD349" s="39" t="n">
        <f aca="false">ROUND(J349-T349-MIN(J349-T349,MAX(0,$AF349-SUMPRODUCT(--($B$4:$K$4&lt;J$4),$B349:$K349-$L349:$U349))),2)</f>
        <v>0</v>
      </c>
      <c r="AE349" s="39" t="n">
        <f aca="false">ROUND(K349-U349-MIN(K349-U349,MAX(0,$AF349-SUMPRODUCT(--($B$4:$K$4&lt;K$4),$B349:$K349-$L349:$U349))),2)</f>
        <v>0</v>
      </c>
      <c r="AF349" s="39" t="n">
        <f aca="false">MAX(0,'Start Here'!$C$5-SUM($L349:$U349))</f>
        <v>1200</v>
      </c>
      <c r="AG349" s="39" t="n">
        <f aca="false">SUM(V349:AE349)</f>
        <v>0</v>
      </c>
      <c r="AH349" s="39" t="n">
        <f aca="false">SUM(B349:K349)-AG348</f>
        <v>0</v>
      </c>
    </row>
    <row r="350" customFormat="false" ht="15" hidden="false" customHeight="false" outlineLevel="0" collapsed="false">
      <c r="A350" s="40" t="n">
        <f aca="false">DATE(YEAR('Start Here'!$C$6),MONTH('Start Here'!$C$6)+343,1)</f>
        <v>56735</v>
      </c>
      <c r="B350" s="39" t="n">
        <f aca="false">ROUND(V349*(1+N('My Debts'!$D$6)/12),2)</f>
        <v>0</v>
      </c>
      <c r="C350" s="39" t="n">
        <f aca="false">ROUND(W349*(1+N('My Debts'!$D$7)/12),2)</f>
        <v>0</v>
      </c>
      <c r="D350" s="39" t="n">
        <f aca="false">ROUND(X349*(1+N('My Debts'!$D$8)/12),2)</f>
        <v>0</v>
      </c>
      <c r="E350" s="39" t="n">
        <f aca="false">ROUND(Y349*(1+N('My Debts'!$D$9)/12),2)</f>
        <v>0</v>
      </c>
      <c r="F350" s="39" t="n">
        <f aca="false">ROUND(Z349*(1+N('My Debts'!$D$10)/12),2)</f>
        <v>0</v>
      </c>
      <c r="G350" s="39" t="n">
        <f aca="false">ROUND(AA349*(1+N('My Debts'!$D$11)/12),2)</f>
        <v>0</v>
      </c>
      <c r="H350" s="39" t="n">
        <f aca="false">ROUND(AB349*(1+N('My Debts'!$D$12)/12),2)</f>
        <v>0</v>
      </c>
      <c r="I350" s="39" t="n">
        <f aca="false">ROUND(AC349*(1+N('My Debts'!$D$13)/12),2)</f>
        <v>0</v>
      </c>
      <c r="J350" s="39" t="n">
        <f aca="false">ROUND(AD349*(1+N('My Debts'!$D$14)/12),2)</f>
        <v>0</v>
      </c>
      <c r="K350" s="39" t="n">
        <f aca="false">ROUND(AE349*(1+N('My Debts'!$D$15)/12),2)</f>
        <v>0</v>
      </c>
      <c r="L350" s="39" t="n">
        <f aca="false">MIN(N('My Debts'!$E$6),B350)</f>
        <v>0</v>
      </c>
      <c r="M350" s="39" t="n">
        <f aca="false">MIN(N('My Debts'!$E$7),C350)</f>
        <v>0</v>
      </c>
      <c r="N350" s="39" t="n">
        <f aca="false">MIN(N('My Debts'!$E$8),D350)</f>
        <v>0</v>
      </c>
      <c r="O350" s="39" t="n">
        <f aca="false">MIN(N('My Debts'!$E$9),E350)</f>
        <v>0</v>
      </c>
      <c r="P350" s="39" t="n">
        <f aca="false">MIN(N('My Debts'!$E$10),F350)</f>
        <v>0</v>
      </c>
      <c r="Q350" s="39" t="n">
        <f aca="false">MIN(N('My Debts'!$E$11),G350)</f>
        <v>0</v>
      </c>
      <c r="R350" s="39" t="n">
        <f aca="false">MIN(N('My Debts'!$E$12),H350)</f>
        <v>0</v>
      </c>
      <c r="S350" s="39" t="n">
        <f aca="false">MIN(N('My Debts'!$E$13),I350)</f>
        <v>0</v>
      </c>
      <c r="T350" s="39" t="n">
        <f aca="false">MIN(N('My Debts'!$E$14),J350)</f>
        <v>0</v>
      </c>
      <c r="U350" s="39" t="n">
        <f aca="false">MIN(N('My Debts'!$E$15),K350)</f>
        <v>0</v>
      </c>
      <c r="V350" s="39" t="n">
        <f aca="false">ROUND(B350-L350-MIN(B350-L350,MAX(0,$AF350-SUMPRODUCT(--($B$4:$K$4&lt;B$4),$B350:$K350-$L350:$U350))),2)</f>
        <v>0</v>
      </c>
      <c r="W350" s="39" t="n">
        <f aca="false">ROUND(C350-M350-MIN(C350-M350,MAX(0,$AF350-SUMPRODUCT(--($B$4:$K$4&lt;C$4),$B350:$K350-$L350:$U350))),2)</f>
        <v>0</v>
      </c>
      <c r="X350" s="39" t="n">
        <f aca="false">ROUND(D350-N350-MIN(D350-N350,MAX(0,$AF350-SUMPRODUCT(--($B$4:$K$4&lt;D$4),$B350:$K350-$L350:$U350))),2)</f>
        <v>0</v>
      </c>
      <c r="Y350" s="39" t="n">
        <f aca="false">ROUND(E350-O350-MIN(E350-O350,MAX(0,$AF350-SUMPRODUCT(--($B$4:$K$4&lt;E$4),$B350:$K350-$L350:$U350))),2)</f>
        <v>0</v>
      </c>
      <c r="Z350" s="39" t="n">
        <f aca="false">ROUND(F350-P350-MIN(F350-P350,MAX(0,$AF350-SUMPRODUCT(--($B$4:$K$4&lt;F$4),$B350:$K350-$L350:$U350))),2)</f>
        <v>0</v>
      </c>
      <c r="AA350" s="39" t="n">
        <f aca="false">ROUND(G350-Q350-MIN(G350-Q350,MAX(0,$AF350-SUMPRODUCT(--($B$4:$K$4&lt;G$4),$B350:$K350-$L350:$U350))),2)</f>
        <v>0</v>
      </c>
      <c r="AB350" s="39" t="n">
        <f aca="false">ROUND(H350-R350-MIN(H350-R350,MAX(0,$AF350-SUMPRODUCT(--($B$4:$K$4&lt;H$4),$B350:$K350-$L350:$U350))),2)</f>
        <v>0</v>
      </c>
      <c r="AC350" s="39" t="n">
        <f aca="false">ROUND(I350-S350-MIN(I350-S350,MAX(0,$AF350-SUMPRODUCT(--($B$4:$K$4&lt;I$4),$B350:$K350-$L350:$U350))),2)</f>
        <v>0</v>
      </c>
      <c r="AD350" s="39" t="n">
        <f aca="false">ROUND(J350-T350-MIN(J350-T350,MAX(0,$AF350-SUMPRODUCT(--($B$4:$K$4&lt;J$4),$B350:$K350-$L350:$U350))),2)</f>
        <v>0</v>
      </c>
      <c r="AE350" s="39" t="n">
        <f aca="false">ROUND(K350-U350-MIN(K350-U350,MAX(0,$AF350-SUMPRODUCT(--($B$4:$K$4&lt;K$4),$B350:$K350-$L350:$U350))),2)</f>
        <v>0</v>
      </c>
      <c r="AF350" s="39" t="n">
        <f aca="false">MAX(0,'Start Here'!$C$5-SUM($L350:$U350))</f>
        <v>1200</v>
      </c>
      <c r="AG350" s="39" t="n">
        <f aca="false">SUM(V350:AE350)</f>
        <v>0</v>
      </c>
      <c r="AH350" s="39" t="n">
        <f aca="false">SUM(B350:K350)-AG349</f>
        <v>0</v>
      </c>
    </row>
    <row r="351" customFormat="false" ht="15" hidden="false" customHeight="false" outlineLevel="0" collapsed="false">
      <c r="A351" s="40" t="n">
        <f aca="false">DATE(YEAR('Start Here'!$C$6),MONTH('Start Here'!$C$6)+344,1)</f>
        <v>56766</v>
      </c>
      <c r="B351" s="39" t="n">
        <f aca="false">ROUND(V350*(1+N('My Debts'!$D$6)/12),2)</f>
        <v>0</v>
      </c>
      <c r="C351" s="39" t="n">
        <f aca="false">ROUND(W350*(1+N('My Debts'!$D$7)/12),2)</f>
        <v>0</v>
      </c>
      <c r="D351" s="39" t="n">
        <f aca="false">ROUND(X350*(1+N('My Debts'!$D$8)/12),2)</f>
        <v>0</v>
      </c>
      <c r="E351" s="39" t="n">
        <f aca="false">ROUND(Y350*(1+N('My Debts'!$D$9)/12),2)</f>
        <v>0</v>
      </c>
      <c r="F351" s="39" t="n">
        <f aca="false">ROUND(Z350*(1+N('My Debts'!$D$10)/12),2)</f>
        <v>0</v>
      </c>
      <c r="G351" s="39" t="n">
        <f aca="false">ROUND(AA350*(1+N('My Debts'!$D$11)/12),2)</f>
        <v>0</v>
      </c>
      <c r="H351" s="39" t="n">
        <f aca="false">ROUND(AB350*(1+N('My Debts'!$D$12)/12),2)</f>
        <v>0</v>
      </c>
      <c r="I351" s="39" t="n">
        <f aca="false">ROUND(AC350*(1+N('My Debts'!$D$13)/12),2)</f>
        <v>0</v>
      </c>
      <c r="J351" s="39" t="n">
        <f aca="false">ROUND(AD350*(1+N('My Debts'!$D$14)/12),2)</f>
        <v>0</v>
      </c>
      <c r="K351" s="39" t="n">
        <f aca="false">ROUND(AE350*(1+N('My Debts'!$D$15)/12),2)</f>
        <v>0</v>
      </c>
      <c r="L351" s="39" t="n">
        <f aca="false">MIN(N('My Debts'!$E$6),B351)</f>
        <v>0</v>
      </c>
      <c r="M351" s="39" t="n">
        <f aca="false">MIN(N('My Debts'!$E$7),C351)</f>
        <v>0</v>
      </c>
      <c r="N351" s="39" t="n">
        <f aca="false">MIN(N('My Debts'!$E$8),D351)</f>
        <v>0</v>
      </c>
      <c r="O351" s="39" t="n">
        <f aca="false">MIN(N('My Debts'!$E$9),E351)</f>
        <v>0</v>
      </c>
      <c r="P351" s="39" t="n">
        <f aca="false">MIN(N('My Debts'!$E$10),F351)</f>
        <v>0</v>
      </c>
      <c r="Q351" s="39" t="n">
        <f aca="false">MIN(N('My Debts'!$E$11),G351)</f>
        <v>0</v>
      </c>
      <c r="R351" s="39" t="n">
        <f aca="false">MIN(N('My Debts'!$E$12),H351)</f>
        <v>0</v>
      </c>
      <c r="S351" s="39" t="n">
        <f aca="false">MIN(N('My Debts'!$E$13),I351)</f>
        <v>0</v>
      </c>
      <c r="T351" s="39" t="n">
        <f aca="false">MIN(N('My Debts'!$E$14),J351)</f>
        <v>0</v>
      </c>
      <c r="U351" s="39" t="n">
        <f aca="false">MIN(N('My Debts'!$E$15),K351)</f>
        <v>0</v>
      </c>
      <c r="V351" s="39" t="n">
        <f aca="false">ROUND(B351-L351-MIN(B351-L351,MAX(0,$AF351-SUMPRODUCT(--($B$4:$K$4&lt;B$4),$B351:$K351-$L351:$U351))),2)</f>
        <v>0</v>
      </c>
      <c r="W351" s="39" t="n">
        <f aca="false">ROUND(C351-M351-MIN(C351-M351,MAX(0,$AF351-SUMPRODUCT(--($B$4:$K$4&lt;C$4),$B351:$K351-$L351:$U351))),2)</f>
        <v>0</v>
      </c>
      <c r="X351" s="39" t="n">
        <f aca="false">ROUND(D351-N351-MIN(D351-N351,MAX(0,$AF351-SUMPRODUCT(--($B$4:$K$4&lt;D$4),$B351:$K351-$L351:$U351))),2)</f>
        <v>0</v>
      </c>
      <c r="Y351" s="39" t="n">
        <f aca="false">ROUND(E351-O351-MIN(E351-O351,MAX(0,$AF351-SUMPRODUCT(--($B$4:$K$4&lt;E$4),$B351:$K351-$L351:$U351))),2)</f>
        <v>0</v>
      </c>
      <c r="Z351" s="39" t="n">
        <f aca="false">ROUND(F351-P351-MIN(F351-P351,MAX(0,$AF351-SUMPRODUCT(--($B$4:$K$4&lt;F$4),$B351:$K351-$L351:$U351))),2)</f>
        <v>0</v>
      </c>
      <c r="AA351" s="39" t="n">
        <f aca="false">ROUND(G351-Q351-MIN(G351-Q351,MAX(0,$AF351-SUMPRODUCT(--($B$4:$K$4&lt;G$4),$B351:$K351-$L351:$U351))),2)</f>
        <v>0</v>
      </c>
      <c r="AB351" s="39" t="n">
        <f aca="false">ROUND(H351-R351-MIN(H351-R351,MAX(0,$AF351-SUMPRODUCT(--($B$4:$K$4&lt;H$4),$B351:$K351-$L351:$U351))),2)</f>
        <v>0</v>
      </c>
      <c r="AC351" s="39" t="n">
        <f aca="false">ROUND(I351-S351-MIN(I351-S351,MAX(0,$AF351-SUMPRODUCT(--($B$4:$K$4&lt;I$4),$B351:$K351-$L351:$U351))),2)</f>
        <v>0</v>
      </c>
      <c r="AD351" s="39" t="n">
        <f aca="false">ROUND(J351-T351-MIN(J351-T351,MAX(0,$AF351-SUMPRODUCT(--($B$4:$K$4&lt;J$4),$B351:$K351-$L351:$U351))),2)</f>
        <v>0</v>
      </c>
      <c r="AE351" s="39" t="n">
        <f aca="false">ROUND(K351-U351-MIN(K351-U351,MAX(0,$AF351-SUMPRODUCT(--($B$4:$K$4&lt;K$4),$B351:$K351-$L351:$U351))),2)</f>
        <v>0</v>
      </c>
      <c r="AF351" s="39" t="n">
        <f aca="false">MAX(0,'Start Here'!$C$5-SUM($L351:$U351))</f>
        <v>1200</v>
      </c>
      <c r="AG351" s="39" t="n">
        <f aca="false">SUM(V351:AE351)</f>
        <v>0</v>
      </c>
      <c r="AH351" s="39" t="n">
        <f aca="false">SUM(B351:K351)-AG350</f>
        <v>0</v>
      </c>
    </row>
    <row r="352" customFormat="false" ht="15" hidden="false" customHeight="false" outlineLevel="0" collapsed="false">
      <c r="A352" s="40" t="n">
        <f aca="false">DATE(YEAR('Start Here'!$C$6),MONTH('Start Here'!$C$6)+345,1)</f>
        <v>56796</v>
      </c>
      <c r="B352" s="39" t="n">
        <f aca="false">ROUND(V351*(1+N('My Debts'!$D$6)/12),2)</f>
        <v>0</v>
      </c>
      <c r="C352" s="39" t="n">
        <f aca="false">ROUND(W351*(1+N('My Debts'!$D$7)/12),2)</f>
        <v>0</v>
      </c>
      <c r="D352" s="39" t="n">
        <f aca="false">ROUND(X351*(1+N('My Debts'!$D$8)/12),2)</f>
        <v>0</v>
      </c>
      <c r="E352" s="39" t="n">
        <f aca="false">ROUND(Y351*(1+N('My Debts'!$D$9)/12),2)</f>
        <v>0</v>
      </c>
      <c r="F352" s="39" t="n">
        <f aca="false">ROUND(Z351*(1+N('My Debts'!$D$10)/12),2)</f>
        <v>0</v>
      </c>
      <c r="G352" s="39" t="n">
        <f aca="false">ROUND(AA351*(1+N('My Debts'!$D$11)/12),2)</f>
        <v>0</v>
      </c>
      <c r="H352" s="39" t="n">
        <f aca="false">ROUND(AB351*(1+N('My Debts'!$D$12)/12),2)</f>
        <v>0</v>
      </c>
      <c r="I352" s="39" t="n">
        <f aca="false">ROUND(AC351*(1+N('My Debts'!$D$13)/12),2)</f>
        <v>0</v>
      </c>
      <c r="J352" s="39" t="n">
        <f aca="false">ROUND(AD351*(1+N('My Debts'!$D$14)/12),2)</f>
        <v>0</v>
      </c>
      <c r="K352" s="39" t="n">
        <f aca="false">ROUND(AE351*(1+N('My Debts'!$D$15)/12),2)</f>
        <v>0</v>
      </c>
      <c r="L352" s="39" t="n">
        <f aca="false">MIN(N('My Debts'!$E$6),B352)</f>
        <v>0</v>
      </c>
      <c r="M352" s="39" t="n">
        <f aca="false">MIN(N('My Debts'!$E$7),C352)</f>
        <v>0</v>
      </c>
      <c r="N352" s="39" t="n">
        <f aca="false">MIN(N('My Debts'!$E$8),D352)</f>
        <v>0</v>
      </c>
      <c r="O352" s="39" t="n">
        <f aca="false">MIN(N('My Debts'!$E$9),E352)</f>
        <v>0</v>
      </c>
      <c r="P352" s="39" t="n">
        <f aca="false">MIN(N('My Debts'!$E$10),F352)</f>
        <v>0</v>
      </c>
      <c r="Q352" s="39" t="n">
        <f aca="false">MIN(N('My Debts'!$E$11),G352)</f>
        <v>0</v>
      </c>
      <c r="R352" s="39" t="n">
        <f aca="false">MIN(N('My Debts'!$E$12),H352)</f>
        <v>0</v>
      </c>
      <c r="S352" s="39" t="n">
        <f aca="false">MIN(N('My Debts'!$E$13),I352)</f>
        <v>0</v>
      </c>
      <c r="T352" s="39" t="n">
        <f aca="false">MIN(N('My Debts'!$E$14),J352)</f>
        <v>0</v>
      </c>
      <c r="U352" s="39" t="n">
        <f aca="false">MIN(N('My Debts'!$E$15),K352)</f>
        <v>0</v>
      </c>
      <c r="V352" s="39" t="n">
        <f aca="false">ROUND(B352-L352-MIN(B352-L352,MAX(0,$AF352-SUMPRODUCT(--($B$4:$K$4&lt;B$4),$B352:$K352-$L352:$U352))),2)</f>
        <v>0</v>
      </c>
      <c r="W352" s="39" t="n">
        <f aca="false">ROUND(C352-M352-MIN(C352-M352,MAX(0,$AF352-SUMPRODUCT(--($B$4:$K$4&lt;C$4),$B352:$K352-$L352:$U352))),2)</f>
        <v>0</v>
      </c>
      <c r="X352" s="39" t="n">
        <f aca="false">ROUND(D352-N352-MIN(D352-N352,MAX(0,$AF352-SUMPRODUCT(--($B$4:$K$4&lt;D$4),$B352:$K352-$L352:$U352))),2)</f>
        <v>0</v>
      </c>
      <c r="Y352" s="39" t="n">
        <f aca="false">ROUND(E352-O352-MIN(E352-O352,MAX(0,$AF352-SUMPRODUCT(--($B$4:$K$4&lt;E$4),$B352:$K352-$L352:$U352))),2)</f>
        <v>0</v>
      </c>
      <c r="Z352" s="39" t="n">
        <f aca="false">ROUND(F352-P352-MIN(F352-P352,MAX(0,$AF352-SUMPRODUCT(--($B$4:$K$4&lt;F$4),$B352:$K352-$L352:$U352))),2)</f>
        <v>0</v>
      </c>
      <c r="AA352" s="39" t="n">
        <f aca="false">ROUND(G352-Q352-MIN(G352-Q352,MAX(0,$AF352-SUMPRODUCT(--($B$4:$K$4&lt;G$4),$B352:$K352-$L352:$U352))),2)</f>
        <v>0</v>
      </c>
      <c r="AB352" s="39" t="n">
        <f aca="false">ROUND(H352-R352-MIN(H352-R352,MAX(0,$AF352-SUMPRODUCT(--($B$4:$K$4&lt;H$4),$B352:$K352-$L352:$U352))),2)</f>
        <v>0</v>
      </c>
      <c r="AC352" s="39" t="n">
        <f aca="false">ROUND(I352-S352-MIN(I352-S352,MAX(0,$AF352-SUMPRODUCT(--($B$4:$K$4&lt;I$4),$B352:$K352-$L352:$U352))),2)</f>
        <v>0</v>
      </c>
      <c r="AD352" s="39" t="n">
        <f aca="false">ROUND(J352-T352-MIN(J352-T352,MAX(0,$AF352-SUMPRODUCT(--($B$4:$K$4&lt;J$4),$B352:$K352-$L352:$U352))),2)</f>
        <v>0</v>
      </c>
      <c r="AE352" s="39" t="n">
        <f aca="false">ROUND(K352-U352-MIN(K352-U352,MAX(0,$AF352-SUMPRODUCT(--($B$4:$K$4&lt;K$4),$B352:$K352-$L352:$U352))),2)</f>
        <v>0</v>
      </c>
      <c r="AF352" s="39" t="n">
        <f aca="false">MAX(0,'Start Here'!$C$5-SUM($L352:$U352))</f>
        <v>1200</v>
      </c>
      <c r="AG352" s="39" t="n">
        <f aca="false">SUM(V352:AE352)</f>
        <v>0</v>
      </c>
      <c r="AH352" s="39" t="n">
        <f aca="false">SUM(B352:K352)-AG351</f>
        <v>0</v>
      </c>
    </row>
    <row r="353" customFormat="false" ht="15" hidden="false" customHeight="false" outlineLevel="0" collapsed="false">
      <c r="A353" s="40" t="n">
        <f aca="false">DATE(YEAR('Start Here'!$C$6),MONTH('Start Here'!$C$6)+346,1)</f>
        <v>56827</v>
      </c>
      <c r="B353" s="39" t="n">
        <f aca="false">ROUND(V352*(1+N('My Debts'!$D$6)/12),2)</f>
        <v>0</v>
      </c>
      <c r="C353" s="39" t="n">
        <f aca="false">ROUND(W352*(1+N('My Debts'!$D$7)/12),2)</f>
        <v>0</v>
      </c>
      <c r="D353" s="39" t="n">
        <f aca="false">ROUND(X352*(1+N('My Debts'!$D$8)/12),2)</f>
        <v>0</v>
      </c>
      <c r="E353" s="39" t="n">
        <f aca="false">ROUND(Y352*(1+N('My Debts'!$D$9)/12),2)</f>
        <v>0</v>
      </c>
      <c r="F353" s="39" t="n">
        <f aca="false">ROUND(Z352*(1+N('My Debts'!$D$10)/12),2)</f>
        <v>0</v>
      </c>
      <c r="G353" s="39" t="n">
        <f aca="false">ROUND(AA352*(1+N('My Debts'!$D$11)/12),2)</f>
        <v>0</v>
      </c>
      <c r="H353" s="39" t="n">
        <f aca="false">ROUND(AB352*(1+N('My Debts'!$D$12)/12),2)</f>
        <v>0</v>
      </c>
      <c r="I353" s="39" t="n">
        <f aca="false">ROUND(AC352*(1+N('My Debts'!$D$13)/12),2)</f>
        <v>0</v>
      </c>
      <c r="J353" s="39" t="n">
        <f aca="false">ROUND(AD352*(1+N('My Debts'!$D$14)/12),2)</f>
        <v>0</v>
      </c>
      <c r="K353" s="39" t="n">
        <f aca="false">ROUND(AE352*(1+N('My Debts'!$D$15)/12),2)</f>
        <v>0</v>
      </c>
      <c r="L353" s="39" t="n">
        <f aca="false">MIN(N('My Debts'!$E$6),B353)</f>
        <v>0</v>
      </c>
      <c r="M353" s="39" t="n">
        <f aca="false">MIN(N('My Debts'!$E$7),C353)</f>
        <v>0</v>
      </c>
      <c r="N353" s="39" t="n">
        <f aca="false">MIN(N('My Debts'!$E$8),D353)</f>
        <v>0</v>
      </c>
      <c r="O353" s="39" t="n">
        <f aca="false">MIN(N('My Debts'!$E$9),E353)</f>
        <v>0</v>
      </c>
      <c r="P353" s="39" t="n">
        <f aca="false">MIN(N('My Debts'!$E$10),F353)</f>
        <v>0</v>
      </c>
      <c r="Q353" s="39" t="n">
        <f aca="false">MIN(N('My Debts'!$E$11),G353)</f>
        <v>0</v>
      </c>
      <c r="R353" s="39" t="n">
        <f aca="false">MIN(N('My Debts'!$E$12),H353)</f>
        <v>0</v>
      </c>
      <c r="S353" s="39" t="n">
        <f aca="false">MIN(N('My Debts'!$E$13),I353)</f>
        <v>0</v>
      </c>
      <c r="T353" s="39" t="n">
        <f aca="false">MIN(N('My Debts'!$E$14),J353)</f>
        <v>0</v>
      </c>
      <c r="U353" s="39" t="n">
        <f aca="false">MIN(N('My Debts'!$E$15),K353)</f>
        <v>0</v>
      </c>
      <c r="V353" s="39" t="n">
        <f aca="false">ROUND(B353-L353-MIN(B353-L353,MAX(0,$AF353-SUMPRODUCT(--($B$4:$K$4&lt;B$4),$B353:$K353-$L353:$U353))),2)</f>
        <v>0</v>
      </c>
      <c r="W353" s="39" t="n">
        <f aca="false">ROUND(C353-M353-MIN(C353-M353,MAX(0,$AF353-SUMPRODUCT(--($B$4:$K$4&lt;C$4),$B353:$K353-$L353:$U353))),2)</f>
        <v>0</v>
      </c>
      <c r="X353" s="39" t="n">
        <f aca="false">ROUND(D353-N353-MIN(D353-N353,MAX(0,$AF353-SUMPRODUCT(--($B$4:$K$4&lt;D$4),$B353:$K353-$L353:$U353))),2)</f>
        <v>0</v>
      </c>
      <c r="Y353" s="39" t="n">
        <f aca="false">ROUND(E353-O353-MIN(E353-O353,MAX(0,$AF353-SUMPRODUCT(--($B$4:$K$4&lt;E$4),$B353:$K353-$L353:$U353))),2)</f>
        <v>0</v>
      </c>
      <c r="Z353" s="39" t="n">
        <f aca="false">ROUND(F353-P353-MIN(F353-P353,MAX(0,$AF353-SUMPRODUCT(--($B$4:$K$4&lt;F$4),$B353:$K353-$L353:$U353))),2)</f>
        <v>0</v>
      </c>
      <c r="AA353" s="39" t="n">
        <f aca="false">ROUND(G353-Q353-MIN(G353-Q353,MAX(0,$AF353-SUMPRODUCT(--($B$4:$K$4&lt;G$4),$B353:$K353-$L353:$U353))),2)</f>
        <v>0</v>
      </c>
      <c r="AB353" s="39" t="n">
        <f aca="false">ROUND(H353-R353-MIN(H353-R353,MAX(0,$AF353-SUMPRODUCT(--($B$4:$K$4&lt;H$4),$B353:$K353-$L353:$U353))),2)</f>
        <v>0</v>
      </c>
      <c r="AC353" s="39" t="n">
        <f aca="false">ROUND(I353-S353-MIN(I353-S353,MAX(0,$AF353-SUMPRODUCT(--($B$4:$K$4&lt;I$4),$B353:$K353-$L353:$U353))),2)</f>
        <v>0</v>
      </c>
      <c r="AD353" s="39" t="n">
        <f aca="false">ROUND(J353-T353-MIN(J353-T353,MAX(0,$AF353-SUMPRODUCT(--($B$4:$K$4&lt;J$4),$B353:$K353-$L353:$U353))),2)</f>
        <v>0</v>
      </c>
      <c r="AE353" s="39" t="n">
        <f aca="false">ROUND(K353-U353-MIN(K353-U353,MAX(0,$AF353-SUMPRODUCT(--($B$4:$K$4&lt;K$4),$B353:$K353-$L353:$U353))),2)</f>
        <v>0</v>
      </c>
      <c r="AF353" s="39" t="n">
        <f aca="false">MAX(0,'Start Here'!$C$5-SUM($L353:$U353))</f>
        <v>1200</v>
      </c>
      <c r="AG353" s="39" t="n">
        <f aca="false">SUM(V353:AE353)</f>
        <v>0</v>
      </c>
      <c r="AH353" s="39" t="n">
        <f aca="false">SUM(B353:K353)-AG352</f>
        <v>0</v>
      </c>
    </row>
    <row r="354" customFormat="false" ht="15" hidden="false" customHeight="false" outlineLevel="0" collapsed="false">
      <c r="A354" s="40" t="n">
        <f aca="false">DATE(YEAR('Start Here'!$C$6),MONTH('Start Here'!$C$6)+347,1)</f>
        <v>56858</v>
      </c>
      <c r="B354" s="39" t="n">
        <f aca="false">ROUND(V353*(1+N('My Debts'!$D$6)/12),2)</f>
        <v>0</v>
      </c>
      <c r="C354" s="39" t="n">
        <f aca="false">ROUND(W353*(1+N('My Debts'!$D$7)/12),2)</f>
        <v>0</v>
      </c>
      <c r="D354" s="39" t="n">
        <f aca="false">ROUND(X353*(1+N('My Debts'!$D$8)/12),2)</f>
        <v>0</v>
      </c>
      <c r="E354" s="39" t="n">
        <f aca="false">ROUND(Y353*(1+N('My Debts'!$D$9)/12),2)</f>
        <v>0</v>
      </c>
      <c r="F354" s="39" t="n">
        <f aca="false">ROUND(Z353*(1+N('My Debts'!$D$10)/12),2)</f>
        <v>0</v>
      </c>
      <c r="G354" s="39" t="n">
        <f aca="false">ROUND(AA353*(1+N('My Debts'!$D$11)/12),2)</f>
        <v>0</v>
      </c>
      <c r="H354" s="39" t="n">
        <f aca="false">ROUND(AB353*(1+N('My Debts'!$D$12)/12),2)</f>
        <v>0</v>
      </c>
      <c r="I354" s="39" t="n">
        <f aca="false">ROUND(AC353*(1+N('My Debts'!$D$13)/12),2)</f>
        <v>0</v>
      </c>
      <c r="J354" s="39" t="n">
        <f aca="false">ROUND(AD353*(1+N('My Debts'!$D$14)/12),2)</f>
        <v>0</v>
      </c>
      <c r="K354" s="39" t="n">
        <f aca="false">ROUND(AE353*(1+N('My Debts'!$D$15)/12),2)</f>
        <v>0</v>
      </c>
      <c r="L354" s="39" t="n">
        <f aca="false">MIN(N('My Debts'!$E$6),B354)</f>
        <v>0</v>
      </c>
      <c r="M354" s="39" t="n">
        <f aca="false">MIN(N('My Debts'!$E$7),C354)</f>
        <v>0</v>
      </c>
      <c r="N354" s="39" t="n">
        <f aca="false">MIN(N('My Debts'!$E$8),D354)</f>
        <v>0</v>
      </c>
      <c r="O354" s="39" t="n">
        <f aca="false">MIN(N('My Debts'!$E$9),E354)</f>
        <v>0</v>
      </c>
      <c r="P354" s="39" t="n">
        <f aca="false">MIN(N('My Debts'!$E$10),F354)</f>
        <v>0</v>
      </c>
      <c r="Q354" s="39" t="n">
        <f aca="false">MIN(N('My Debts'!$E$11),G354)</f>
        <v>0</v>
      </c>
      <c r="R354" s="39" t="n">
        <f aca="false">MIN(N('My Debts'!$E$12),H354)</f>
        <v>0</v>
      </c>
      <c r="S354" s="39" t="n">
        <f aca="false">MIN(N('My Debts'!$E$13),I354)</f>
        <v>0</v>
      </c>
      <c r="T354" s="39" t="n">
        <f aca="false">MIN(N('My Debts'!$E$14),J354)</f>
        <v>0</v>
      </c>
      <c r="U354" s="39" t="n">
        <f aca="false">MIN(N('My Debts'!$E$15),K354)</f>
        <v>0</v>
      </c>
      <c r="V354" s="39" t="n">
        <f aca="false">ROUND(B354-L354-MIN(B354-L354,MAX(0,$AF354-SUMPRODUCT(--($B$4:$K$4&lt;B$4),$B354:$K354-$L354:$U354))),2)</f>
        <v>0</v>
      </c>
      <c r="W354" s="39" t="n">
        <f aca="false">ROUND(C354-M354-MIN(C354-M354,MAX(0,$AF354-SUMPRODUCT(--($B$4:$K$4&lt;C$4),$B354:$K354-$L354:$U354))),2)</f>
        <v>0</v>
      </c>
      <c r="X354" s="39" t="n">
        <f aca="false">ROUND(D354-N354-MIN(D354-N354,MAX(0,$AF354-SUMPRODUCT(--($B$4:$K$4&lt;D$4),$B354:$K354-$L354:$U354))),2)</f>
        <v>0</v>
      </c>
      <c r="Y354" s="39" t="n">
        <f aca="false">ROUND(E354-O354-MIN(E354-O354,MAX(0,$AF354-SUMPRODUCT(--($B$4:$K$4&lt;E$4),$B354:$K354-$L354:$U354))),2)</f>
        <v>0</v>
      </c>
      <c r="Z354" s="39" t="n">
        <f aca="false">ROUND(F354-P354-MIN(F354-P354,MAX(0,$AF354-SUMPRODUCT(--($B$4:$K$4&lt;F$4),$B354:$K354-$L354:$U354))),2)</f>
        <v>0</v>
      </c>
      <c r="AA354" s="39" t="n">
        <f aca="false">ROUND(G354-Q354-MIN(G354-Q354,MAX(0,$AF354-SUMPRODUCT(--($B$4:$K$4&lt;G$4),$B354:$K354-$L354:$U354))),2)</f>
        <v>0</v>
      </c>
      <c r="AB354" s="39" t="n">
        <f aca="false">ROUND(H354-R354-MIN(H354-R354,MAX(0,$AF354-SUMPRODUCT(--($B$4:$K$4&lt;H$4),$B354:$K354-$L354:$U354))),2)</f>
        <v>0</v>
      </c>
      <c r="AC354" s="39" t="n">
        <f aca="false">ROUND(I354-S354-MIN(I354-S354,MAX(0,$AF354-SUMPRODUCT(--($B$4:$K$4&lt;I$4),$B354:$K354-$L354:$U354))),2)</f>
        <v>0</v>
      </c>
      <c r="AD354" s="39" t="n">
        <f aca="false">ROUND(J354-T354-MIN(J354-T354,MAX(0,$AF354-SUMPRODUCT(--($B$4:$K$4&lt;J$4),$B354:$K354-$L354:$U354))),2)</f>
        <v>0</v>
      </c>
      <c r="AE354" s="39" t="n">
        <f aca="false">ROUND(K354-U354-MIN(K354-U354,MAX(0,$AF354-SUMPRODUCT(--($B$4:$K$4&lt;K$4),$B354:$K354-$L354:$U354))),2)</f>
        <v>0</v>
      </c>
      <c r="AF354" s="39" t="n">
        <f aca="false">MAX(0,'Start Here'!$C$5-SUM($L354:$U354))</f>
        <v>1200</v>
      </c>
      <c r="AG354" s="39" t="n">
        <f aca="false">SUM(V354:AE354)</f>
        <v>0</v>
      </c>
      <c r="AH354" s="39" t="n">
        <f aca="false">SUM(B354:K354)-AG353</f>
        <v>0</v>
      </c>
    </row>
    <row r="355" customFormat="false" ht="15" hidden="false" customHeight="false" outlineLevel="0" collapsed="false">
      <c r="A355" s="40" t="n">
        <f aca="false">DATE(YEAR('Start Here'!$C$6),MONTH('Start Here'!$C$6)+348,1)</f>
        <v>56888</v>
      </c>
      <c r="B355" s="39" t="n">
        <f aca="false">ROUND(V354*(1+N('My Debts'!$D$6)/12),2)</f>
        <v>0</v>
      </c>
      <c r="C355" s="39" t="n">
        <f aca="false">ROUND(W354*(1+N('My Debts'!$D$7)/12),2)</f>
        <v>0</v>
      </c>
      <c r="D355" s="39" t="n">
        <f aca="false">ROUND(X354*(1+N('My Debts'!$D$8)/12),2)</f>
        <v>0</v>
      </c>
      <c r="E355" s="39" t="n">
        <f aca="false">ROUND(Y354*(1+N('My Debts'!$D$9)/12),2)</f>
        <v>0</v>
      </c>
      <c r="F355" s="39" t="n">
        <f aca="false">ROUND(Z354*(1+N('My Debts'!$D$10)/12),2)</f>
        <v>0</v>
      </c>
      <c r="G355" s="39" t="n">
        <f aca="false">ROUND(AA354*(1+N('My Debts'!$D$11)/12),2)</f>
        <v>0</v>
      </c>
      <c r="H355" s="39" t="n">
        <f aca="false">ROUND(AB354*(1+N('My Debts'!$D$12)/12),2)</f>
        <v>0</v>
      </c>
      <c r="I355" s="39" t="n">
        <f aca="false">ROUND(AC354*(1+N('My Debts'!$D$13)/12),2)</f>
        <v>0</v>
      </c>
      <c r="J355" s="39" t="n">
        <f aca="false">ROUND(AD354*(1+N('My Debts'!$D$14)/12),2)</f>
        <v>0</v>
      </c>
      <c r="K355" s="39" t="n">
        <f aca="false">ROUND(AE354*(1+N('My Debts'!$D$15)/12),2)</f>
        <v>0</v>
      </c>
      <c r="L355" s="39" t="n">
        <f aca="false">MIN(N('My Debts'!$E$6),B355)</f>
        <v>0</v>
      </c>
      <c r="M355" s="39" t="n">
        <f aca="false">MIN(N('My Debts'!$E$7),C355)</f>
        <v>0</v>
      </c>
      <c r="N355" s="39" t="n">
        <f aca="false">MIN(N('My Debts'!$E$8),D355)</f>
        <v>0</v>
      </c>
      <c r="O355" s="39" t="n">
        <f aca="false">MIN(N('My Debts'!$E$9),E355)</f>
        <v>0</v>
      </c>
      <c r="P355" s="39" t="n">
        <f aca="false">MIN(N('My Debts'!$E$10),F355)</f>
        <v>0</v>
      </c>
      <c r="Q355" s="39" t="n">
        <f aca="false">MIN(N('My Debts'!$E$11),G355)</f>
        <v>0</v>
      </c>
      <c r="R355" s="39" t="n">
        <f aca="false">MIN(N('My Debts'!$E$12),H355)</f>
        <v>0</v>
      </c>
      <c r="S355" s="39" t="n">
        <f aca="false">MIN(N('My Debts'!$E$13),I355)</f>
        <v>0</v>
      </c>
      <c r="T355" s="39" t="n">
        <f aca="false">MIN(N('My Debts'!$E$14),J355)</f>
        <v>0</v>
      </c>
      <c r="U355" s="39" t="n">
        <f aca="false">MIN(N('My Debts'!$E$15),K355)</f>
        <v>0</v>
      </c>
      <c r="V355" s="39" t="n">
        <f aca="false">ROUND(B355-L355-MIN(B355-L355,MAX(0,$AF355-SUMPRODUCT(--($B$4:$K$4&lt;B$4),$B355:$K355-$L355:$U355))),2)</f>
        <v>0</v>
      </c>
      <c r="W355" s="39" t="n">
        <f aca="false">ROUND(C355-M355-MIN(C355-M355,MAX(0,$AF355-SUMPRODUCT(--($B$4:$K$4&lt;C$4),$B355:$K355-$L355:$U355))),2)</f>
        <v>0</v>
      </c>
      <c r="X355" s="39" t="n">
        <f aca="false">ROUND(D355-N355-MIN(D355-N355,MAX(0,$AF355-SUMPRODUCT(--($B$4:$K$4&lt;D$4),$B355:$K355-$L355:$U355))),2)</f>
        <v>0</v>
      </c>
      <c r="Y355" s="39" t="n">
        <f aca="false">ROUND(E355-O355-MIN(E355-O355,MAX(0,$AF355-SUMPRODUCT(--($B$4:$K$4&lt;E$4),$B355:$K355-$L355:$U355))),2)</f>
        <v>0</v>
      </c>
      <c r="Z355" s="39" t="n">
        <f aca="false">ROUND(F355-P355-MIN(F355-P355,MAX(0,$AF355-SUMPRODUCT(--($B$4:$K$4&lt;F$4),$B355:$K355-$L355:$U355))),2)</f>
        <v>0</v>
      </c>
      <c r="AA355" s="39" t="n">
        <f aca="false">ROUND(G355-Q355-MIN(G355-Q355,MAX(0,$AF355-SUMPRODUCT(--($B$4:$K$4&lt;G$4),$B355:$K355-$L355:$U355))),2)</f>
        <v>0</v>
      </c>
      <c r="AB355" s="39" t="n">
        <f aca="false">ROUND(H355-R355-MIN(H355-R355,MAX(0,$AF355-SUMPRODUCT(--($B$4:$K$4&lt;H$4),$B355:$K355-$L355:$U355))),2)</f>
        <v>0</v>
      </c>
      <c r="AC355" s="39" t="n">
        <f aca="false">ROUND(I355-S355-MIN(I355-S355,MAX(0,$AF355-SUMPRODUCT(--($B$4:$K$4&lt;I$4),$B355:$K355-$L355:$U355))),2)</f>
        <v>0</v>
      </c>
      <c r="AD355" s="39" t="n">
        <f aca="false">ROUND(J355-T355-MIN(J355-T355,MAX(0,$AF355-SUMPRODUCT(--($B$4:$K$4&lt;J$4),$B355:$K355-$L355:$U355))),2)</f>
        <v>0</v>
      </c>
      <c r="AE355" s="39" t="n">
        <f aca="false">ROUND(K355-U355-MIN(K355-U355,MAX(0,$AF355-SUMPRODUCT(--($B$4:$K$4&lt;K$4),$B355:$K355-$L355:$U355))),2)</f>
        <v>0</v>
      </c>
      <c r="AF355" s="39" t="n">
        <f aca="false">MAX(0,'Start Here'!$C$5-SUM($L355:$U355))</f>
        <v>1200</v>
      </c>
      <c r="AG355" s="39" t="n">
        <f aca="false">SUM(V355:AE355)</f>
        <v>0</v>
      </c>
      <c r="AH355" s="39" t="n">
        <f aca="false">SUM(B355:K355)-AG354</f>
        <v>0</v>
      </c>
    </row>
    <row r="356" customFormat="false" ht="15" hidden="false" customHeight="false" outlineLevel="0" collapsed="false">
      <c r="A356" s="40" t="n">
        <f aca="false">DATE(YEAR('Start Here'!$C$6),MONTH('Start Here'!$C$6)+349,1)</f>
        <v>56919</v>
      </c>
      <c r="B356" s="39" t="n">
        <f aca="false">ROUND(V355*(1+N('My Debts'!$D$6)/12),2)</f>
        <v>0</v>
      </c>
      <c r="C356" s="39" t="n">
        <f aca="false">ROUND(W355*(1+N('My Debts'!$D$7)/12),2)</f>
        <v>0</v>
      </c>
      <c r="D356" s="39" t="n">
        <f aca="false">ROUND(X355*(1+N('My Debts'!$D$8)/12),2)</f>
        <v>0</v>
      </c>
      <c r="E356" s="39" t="n">
        <f aca="false">ROUND(Y355*(1+N('My Debts'!$D$9)/12),2)</f>
        <v>0</v>
      </c>
      <c r="F356" s="39" t="n">
        <f aca="false">ROUND(Z355*(1+N('My Debts'!$D$10)/12),2)</f>
        <v>0</v>
      </c>
      <c r="G356" s="39" t="n">
        <f aca="false">ROUND(AA355*(1+N('My Debts'!$D$11)/12),2)</f>
        <v>0</v>
      </c>
      <c r="H356" s="39" t="n">
        <f aca="false">ROUND(AB355*(1+N('My Debts'!$D$12)/12),2)</f>
        <v>0</v>
      </c>
      <c r="I356" s="39" t="n">
        <f aca="false">ROUND(AC355*(1+N('My Debts'!$D$13)/12),2)</f>
        <v>0</v>
      </c>
      <c r="J356" s="39" t="n">
        <f aca="false">ROUND(AD355*(1+N('My Debts'!$D$14)/12),2)</f>
        <v>0</v>
      </c>
      <c r="K356" s="39" t="n">
        <f aca="false">ROUND(AE355*(1+N('My Debts'!$D$15)/12),2)</f>
        <v>0</v>
      </c>
      <c r="L356" s="39" t="n">
        <f aca="false">MIN(N('My Debts'!$E$6),B356)</f>
        <v>0</v>
      </c>
      <c r="M356" s="39" t="n">
        <f aca="false">MIN(N('My Debts'!$E$7),C356)</f>
        <v>0</v>
      </c>
      <c r="N356" s="39" t="n">
        <f aca="false">MIN(N('My Debts'!$E$8),D356)</f>
        <v>0</v>
      </c>
      <c r="O356" s="39" t="n">
        <f aca="false">MIN(N('My Debts'!$E$9),E356)</f>
        <v>0</v>
      </c>
      <c r="P356" s="39" t="n">
        <f aca="false">MIN(N('My Debts'!$E$10),F356)</f>
        <v>0</v>
      </c>
      <c r="Q356" s="39" t="n">
        <f aca="false">MIN(N('My Debts'!$E$11),G356)</f>
        <v>0</v>
      </c>
      <c r="R356" s="39" t="n">
        <f aca="false">MIN(N('My Debts'!$E$12),H356)</f>
        <v>0</v>
      </c>
      <c r="S356" s="39" t="n">
        <f aca="false">MIN(N('My Debts'!$E$13),I356)</f>
        <v>0</v>
      </c>
      <c r="T356" s="39" t="n">
        <f aca="false">MIN(N('My Debts'!$E$14),J356)</f>
        <v>0</v>
      </c>
      <c r="U356" s="39" t="n">
        <f aca="false">MIN(N('My Debts'!$E$15),K356)</f>
        <v>0</v>
      </c>
      <c r="V356" s="39" t="n">
        <f aca="false">ROUND(B356-L356-MIN(B356-L356,MAX(0,$AF356-SUMPRODUCT(--($B$4:$K$4&lt;B$4),$B356:$K356-$L356:$U356))),2)</f>
        <v>0</v>
      </c>
      <c r="W356" s="39" t="n">
        <f aca="false">ROUND(C356-M356-MIN(C356-M356,MAX(0,$AF356-SUMPRODUCT(--($B$4:$K$4&lt;C$4),$B356:$K356-$L356:$U356))),2)</f>
        <v>0</v>
      </c>
      <c r="X356" s="39" t="n">
        <f aca="false">ROUND(D356-N356-MIN(D356-N356,MAX(0,$AF356-SUMPRODUCT(--($B$4:$K$4&lt;D$4),$B356:$K356-$L356:$U356))),2)</f>
        <v>0</v>
      </c>
      <c r="Y356" s="39" t="n">
        <f aca="false">ROUND(E356-O356-MIN(E356-O356,MAX(0,$AF356-SUMPRODUCT(--($B$4:$K$4&lt;E$4),$B356:$K356-$L356:$U356))),2)</f>
        <v>0</v>
      </c>
      <c r="Z356" s="39" t="n">
        <f aca="false">ROUND(F356-P356-MIN(F356-P356,MAX(0,$AF356-SUMPRODUCT(--($B$4:$K$4&lt;F$4),$B356:$K356-$L356:$U356))),2)</f>
        <v>0</v>
      </c>
      <c r="AA356" s="39" t="n">
        <f aca="false">ROUND(G356-Q356-MIN(G356-Q356,MAX(0,$AF356-SUMPRODUCT(--($B$4:$K$4&lt;G$4),$B356:$K356-$L356:$U356))),2)</f>
        <v>0</v>
      </c>
      <c r="AB356" s="39" t="n">
        <f aca="false">ROUND(H356-R356-MIN(H356-R356,MAX(0,$AF356-SUMPRODUCT(--($B$4:$K$4&lt;H$4),$B356:$K356-$L356:$U356))),2)</f>
        <v>0</v>
      </c>
      <c r="AC356" s="39" t="n">
        <f aca="false">ROUND(I356-S356-MIN(I356-S356,MAX(0,$AF356-SUMPRODUCT(--($B$4:$K$4&lt;I$4),$B356:$K356-$L356:$U356))),2)</f>
        <v>0</v>
      </c>
      <c r="AD356" s="39" t="n">
        <f aca="false">ROUND(J356-T356-MIN(J356-T356,MAX(0,$AF356-SUMPRODUCT(--($B$4:$K$4&lt;J$4),$B356:$K356-$L356:$U356))),2)</f>
        <v>0</v>
      </c>
      <c r="AE356" s="39" t="n">
        <f aca="false">ROUND(K356-U356-MIN(K356-U356,MAX(0,$AF356-SUMPRODUCT(--($B$4:$K$4&lt;K$4),$B356:$K356-$L356:$U356))),2)</f>
        <v>0</v>
      </c>
      <c r="AF356" s="39" t="n">
        <f aca="false">MAX(0,'Start Here'!$C$5-SUM($L356:$U356))</f>
        <v>1200</v>
      </c>
      <c r="AG356" s="39" t="n">
        <f aca="false">SUM(V356:AE356)</f>
        <v>0</v>
      </c>
      <c r="AH356" s="39" t="n">
        <f aca="false">SUM(B356:K356)-AG355</f>
        <v>0</v>
      </c>
    </row>
    <row r="357" customFormat="false" ht="15" hidden="false" customHeight="false" outlineLevel="0" collapsed="false">
      <c r="A357" s="40" t="n">
        <f aca="false">DATE(YEAR('Start Here'!$C$6),MONTH('Start Here'!$C$6)+350,1)</f>
        <v>56949</v>
      </c>
      <c r="B357" s="39" t="n">
        <f aca="false">ROUND(V356*(1+N('My Debts'!$D$6)/12),2)</f>
        <v>0</v>
      </c>
      <c r="C357" s="39" t="n">
        <f aca="false">ROUND(W356*(1+N('My Debts'!$D$7)/12),2)</f>
        <v>0</v>
      </c>
      <c r="D357" s="39" t="n">
        <f aca="false">ROUND(X356*(1+N('My Debts'!$D$8)/12),2)</f>
        <v>0</v>
      </c>
      <c r="E357" s="39" t="n">
        <f aca="false">ROUND(Y356*(1+N('My Debts'!$D$9)/12),2)</f>
        <v>0</v>
      </c>
      <c r="F357" s="39" t="n">
        <f aca="false">ROUND(Z356*(1+N('My Debts'!$D$10)/12),2)</f>
        <v>0</v>
      </c>
      <c r="G357" s="39" t="n">
        <f aca="false">ROUND(AA356*(1+N('My Debts'!$D$11)/12),2)</f>
        <v>0</v>
      </c>
      <c r="H357" s="39" t="n">
        <f aca="false">ROUND(AB356*(1+N('My Debts'!$D$12)/12),2)</f>
        <v>0</v>
      </c>
      <c r="I357" s="39" t="n">
        <f aca="false">ROUND(AC356*(1+N('My Debts'!$D$13)/12),2)</f>
        <v>0</v>
      </c>
      <c r="J357" s="39" t="n">
        <f aca="false">ROUND(AD356*(1+N('My Debts'!$D$14)/12),2)</f>
        <v>0</v>
      </c>
      <c r="K357" s="39" t="n">
        <f aca="false">ROUND(AE356*(1+N('My Debts'!$D$15)/12),2)</f>
        <v>0</v>
      </c>
      <c r="L357" s="39" t="n">
        <f aca="false">MIN(N('My Debts'!$E$6),B357)</f>
        <v>0</v>
      </c>
      <c r="M357" s="39" t="n">
        <f aca="false">MIN(N('My Debts'!$E$7),C357)</f>
        <v>0</v>
      </c>
      <c r="N357" s="39" t="n">
        <f aca="false">MIN(N('My Debts'!$E$8),D357)</f>
        <v>0</v>
      </c>
      <c r="O357" s="39" t="n">
        <f aca="false">MIN(N('My Debts'!$E$9),E357)</f>
        <v>0</v>
      </c>
      <c r="P357" s="39" t="n">
        <f aca="false">MIN(N('My Debts'!$E$10),F357)</f>
        <v>0</v>
      </c>
      <c r="Q357" s="39" t="n">
        <f aca="false">MIN(N('My Debts'!$E$11),G357)</f>
        <v>0</v>
      </c>
      <c r="R357" s="39" t="n">
        <f aca="false">MIN(N('My Debts'!$E$12),H357)</f>
        <v>0</v>
      </c>
      <c r="S357" s="39" t="n">
        <f aca="false">MIN(N('My Debts'!$E$13),I357)</f>
        <v>0</v>
      </c>
      <c r="T357" s="39" t="n">
        <f aca="false">MIN(N('My Debts'!$E$14),J357)</f>
        <v>0</v>
      </c>
      <c r="U357" s="39" t="n">
        <f aca="false">MIN(N('My Debts'!$E$15),K357)</f>
        <v>0</v>
      </c>
      <c r="V357" s="39" t="n">
        <f aca="false">ROUND(B357-L357-MIN(B357-L357,MAX(0,$AF357-SUMPRODUCT(--($B$4:$K$4&lt;B$4),$B357:$K357-$L357:$U357))),2)</f>
        <v>0</v>
      </c>
      <c r="W357" s="39" t="n">
        <f aca="false">ROUND(C357-M357-MIN(C357-M357,MAX(0,$AF357-SUMPRODUCT(--($B$4:$K$4&lt;C$4),$B357:$K357-$L357:$U357))),2)</f>
        <v>0</v>
      </c>
      <c r="X357" s="39" t="n">
        <f aca="false">ROUND(D357-N357-MIN(D357-N357,MAX(0,$AF357-SUMPRODUCT(--($B$4:$K$4&lt;D$4),$B357:$K357-$L357:$U357))),2)</f>
        <v>0</v>
      </c>
      <c r="Y357" s="39" t="n">
        <f aca="false">ROUND(E357-O357-MIN(E357-O357,MAX(0,$AF357-SUMPRODUCT(--($B$4:$K$4&lt;E$4),$B357:$K357-$L357:$U357))),2)</f>
        <v>0</v>
      </c>
      <c r="Z357" s="39" t="n">
        <f aca="false">ROUND(F357-P357-MIN(F357-P357,MAX(0,$AF357-SUMPRODUCT(--($B$4:$K$4&lt;F$4),$B357:$K357-$L357:$U357))),2)</f>
        <v>0</v>
      </c>
      <c r="AA357" s="39" t="n">
        <f aca="false">ROUND(G357-Q357-MIN(G357-Q357,MAX(0,$AF357-SUMPRODUCT(--($B$4:$K$4&lt;G$4),$B357:$K357-$L357:$U357))),2)</f>
        <v>0</v>
      </c>
      <c r="AB357" s="39" t="n">
        <f aca="false">ROUND(H357-R357-MIN(H357-R357,MAX(0,$AF357-SUMPRODUCT(--($B$4:$K$4&lt;H$4),$B357:$K357-$L357:$U357))),2)</f>
        <v>0</v>
      </c>
      <c r="AC357" s="39" t="n">
        <f aca="false">ROUND(I357-S357-MIN(I357-S357,MAX(0,$AF357-SUMPRODUCT(--($B$4:$K$4&lt;I$4),$B357:$K357-$L357:$U357))),2)</f>
        <v>0</v>
      </c>
      <c r="AD357" s="39" t="n">
        <f aca="false">ROUND(J357-T357-MIN(J357-T357,MAX(0,$AF357-SUMPRODUCT(--($B$4:$K$4&lt;J$4),$B357:$K357-$L357:$U357))),2)</f>
        <v>0</v>
      </c>
      <c r="AE357" s="39" t="n">
        <f aca="false">ROUND(K357-U357-MIN(K357-U357,MAX(0,$AF357-SUMPRODUCT(--($B$4:$K$4&lt;K$4),$B357:$K357-$L357:$U357))),2)</f>
        <v>0</v>
      </c>
      <c r="AF357" s="39" t="n">
        <f aca="false">MAX(0,'Start Here'!$C$5-SUM($L357:$U357))</f>
        <v>1200</v>
      </c>
      <c r="AG357" s="39" t="n">
        <f aca="false">SUM(V357:AE357)</f>
        <v>0</v>
      </c>
      <c r="AH357" s="39" t="n">
        <f aca="false">SUM(B357:K357)-AG356</f>
        <v>0</v>
      </c>
    </row>
    <row r="358" customFormat="false" ht="15" hidden="false" customHeight="false" outlineLevel="0" collapsed="false">
      <c r="A358" s="40" t="n">
        <f aca="false">DATE(YEAR('Start Here'!$C$6),MONTH('Start Here'!$C$6)+351,1)</f>
        <v>56980</v>
      </c>
      <c r="B358" s="39" t="n">
        <f aca="false">ROUND(V357*(1+N('My Debts'!$D$6)/12),2)</f>
        <v>0</v>
      </c>
      <c r="C358" s="39" t="n">
        <f aca="false">ROUND(W357*(1+N('My Debts'!$D$7)/12),2)</f>
        <v>0</v>
      </c>
      <c r="D358" s="39" t="n">
        <f aca="false">ROUND(X357*(1+N('My Debts'!$D$8)/12),2)</f>
        <v>0</v>
      </c>
      <c r="E358" s="39" t="n">
        <f aca="false">ROUND(Y357*(1+N('My Debts'!$D$9)/12),2)</f>
        <v>0</v>
      </c>
      <c r="F358" s="39" t="n">
        <f aca="false">ROUND(Z357*(1+N('My Debts'!$D$10)/12),2)</f>
        <v>0</v>
      </c>
      <c r="G358" s="39" t="n">
        <f aca="false">ROUND(AA357*(1+N('My Debts'!$D$11)/12),2)</f>
        <v>0</v>
      </c>
      <c r="H358" s="39" t="n">
        <f aca="false">ROUND(AB357*(1+N('My Debts'!$D$12)/12),2)</f>
        <v>0</v>
      </c>
      <c r="I358" s="39" t="n">
        <f aca="false">ROUND(AC357*(1+N('My Debts'!$D$13)/12),2)</f>
        <v>0</v>
      </c>
      <c r="J358" s="39" t="n">
        <f aca="false">ROUND(AD357*(1+N('My Debts'!$D$14)/12),2)</f>
        <v>0</v>
      </c>
      <c r="K358" s="39" t="n">
        <f aca="false">ROUND(AE357*(1+N('My Debts'!$D$15)/12),2)</f>
        <v>0</v>
      </c>
      <c r="L358" s="39" t="n">
        <f aca="false">MIN(N('My Debts'!$E$6),B358)</f>
        <v>0</v>
      </c>
      <c r="M358" s="39" t="n">
        <f aca="false">MIN(N('My Debts'!$E$7),C358)</f>
        <v>0</v>
      </c>
      <c r="N358" s="39" t="n">
        <f aca="false">MIN(N('My Debts'!$E$8),D358)</f>
        <v>0</v>
      </c>
      <c r="O358" s="39" t="n">
        <f aca="false">MIN(N('My Debts'!$E$9),E358)</f>
        <v>0</v>
      </c>
      <c r="P358" s="39" t="n">
        <f aca="false">MIN(N('My Debts'!$E$10),F358)</f>
        <v>0</v>
      </c>
      <c r="Q358" s="39" t="n">
        <f aca="false">MIN(N('My Debts'!$E$11),G358)</f>
        <v>0</v>
      </c>
      <c r="R358" s="39" t="n">
        <f aca="false">MIN(N('My Debts'!$E$12),H358)</f>
        <v>0</v>
      </c>
      <c r="S358" s="39" t="n">
        <f aca="false">MIN(N('My Debts'!$E$13),I358)</f>
        <v>0</v>
      </c>
      <c r="T358" s="39" t="n">
        <f aca="false">MIN(N('My Debts'!$E$14),J358)</f>
        <v>0</v>
      </c>
      <c r="U358" s="39" t="n">
        <f aca="false">MIN(N('My Debts'!$E$15),K358)</f>
        <v>0</v>
      </c>
      <c r="V358" s="39" t="n">
        <f aca="false">ROUND(B358-L358-MIN(B358-L358,MAX(0,$AF358-SUMPRODUCT(--($B$4:$K$4&lt;B$4),$B358:$K358-$L358:$U358))),2)</f>
        <v>0</v>
      </c>
      <c r="W358" s="39" t="n">
        <f aca="false">ROUND(C358-M358-MIN(C358-M358,MAX(0,$AF358-SUMPRODUCT(--($B$4:$K$4&lt;C$4),$B358:$K358-$L358:$U358))),2)</f>
        <v>0</v>
      </c>
      <c r="X358" s="39" t="n">
        <f aca="false">ROUND(D358-N358-MIN(D358-N358,MAX(0,$AF358-SUMPRODUCT(--($B$4:$K$4&lt;D$4),$B358:$K358-$L358:$U358))),2)</f>
        <v>0</v>
      </c>
      <c r="Y358" s="39" t="n">
        <f aca="false">ROUND(E358-O358-MIN(E358-O358,MAX(0,$AF358-SUMPRODUCT(--($B$4:$K$4&lt;E$4),$B358:$K358-$L358:$U358))),2)</f>
        <v>0</v>
      </c>
      <c r="Z358" s="39" t="n">
        <f aca="false">ROUND(F358-P358-MIN(F358-P358,MAX(0,$AF358-SUMPRODUCT(--($B$4:$K$4&lt;F$4),$B358:$K358-$L358:$U358))),2)</f>
        <v>0</v>
      </c>
      <c r="AA358" s="39" t="n">
        <f aca="false">ROUND(G358-Q358-MIN(G358-Q358,MAX(0,$AF358-SUMPRODUCT(--($B$4:$K$4&lt;G$4),$B358:$K358-$L358:$U358))),2)</f>
        <v>0</v>
      </c>
      <c r="AB358" s="39" t="n">
        <f aca="false">ROUND(H358-R358-MIN(H358-R358,MAX(0,$AF358-SUMPRODUCT(--($B$4:$K$4&lt;H$4),$B358:$K358-$L358:$U358))),2)</f>
        <v>0</v>
      </c>
      <c r="AC358" s="39" t="n">
        <f aca="false">ROUND(I358-S358-MIN(I358-S358,MAX(0,$AF358-SUMPRODUCT(--($B$4:$K$4&lt;I$4),$B358:$K358-$L358:$U358))),2)</f>
        <v>0</v>
      </c>
      <c r="AD358" s="39" t="n">
        <f aca="false">ROUND(J358-T358-MIN(J358-T358,MAX(0,$AF358-SUMPRODUCT(--($B$4:$K$4&lt;J$4),$B358:$K358-$L358:$U358))),2)</f>
        <v>0</v>
      </c>
      <c r="AE358" s="39" t="n">
        <f aca="false">ROUND(K358-U358-MIN(K358-U358,MAX(0,$AF358-SUMPRODUCT(--($B$4:$K$4&lt;K$4),$B358:$K358-$L358:$U358))),2)</f>
        <v>0</v>
      </c>
      <c r="AF358" s="39" t="n">
        <f aca="false">MAX(0,'Start Here'!$C$5-SUM($L358:$U358))</f>
        <v>1200</v>
      </c>
      <c r="AG358" s="39" t="n">
        <f aca="false">SUM(V358:AE358)</f>
        <v>0</v>
      </c>
      <c r="AH358" s="39" t="n">
        <f aca="false">SUM(B358:K358)-AG357</f>
        <v>0</v>
      </c>
    </row>
    <row r="359" customFormat="false" ht="15" hidden="false" customHeight="false" outlineLevel="0" collapsed="false">
      <c r="A359" s="40" t="n">
        <f aca="false">DATE(YEAR('Start Here'!$C$6),MONTH('Start Here'!$C$6)+352,1)</f>
        <v>57011</v>
      </c>
      <c r="B359" s="39" t="n">
        <f aca="false">ROUND(V358*(1+N('My Debts'!$D$6)/12),2)</f>
        <v>0</v>
      </c>
      <c r="C359" s="39" t="n">
        <f aca="false">ROUND(W358*(1+N('My Debts'!$D$7)/12),2)</f>
        <v>0</v>
      </c>
      <c r="D359" s="39" t="n">
        <f aca="false">ROUND(X358*(1+N('My Debts'!$D$8)/12),2)</f>
        <v>0</v>
      </c>
      <c r="E359" s="39" t="n">
        <f aca="false">ROUND(Y358*(1+N('My Debts'!$D$9)/12),2)</f>
        <v>0</v>
      </c>
      <c r="F359" s="39" t="n">
        <f aca="false">ROUND(Z358*(1+N('My Debts'!$D$10)/12),2)</f>
        <v>0</v>
      </c>
      <c r="G359" s="39" t="n">
        <f aca="false">ROUND(AA358*(1+N('My Debts'!$D$11)/12),2)</f>
        <v>0</v>
      </c>
      <c r="H359" s="39" t="n">
        <f aca="false">ROUND(AB358*(1+N('My Debts'!$D$12)/12),2)</f>
        <v>0</v>
      </c>
      <c r="I359" s="39" t="n">
        <f aca="false">ROUND(AC358*(1+N('My Debts'!$D$13)/12),2)</f>
        <v>0</v>
      </c>
      <c r="J359" s="39" t="n">
        <f aca="false">ROUND(AD358*(1+N('My Debts'!$D$14)/12),2)</f>
        <v>0</v>
      </c>
      <c r="K359" s="39" t="n">
        <f aca="false">ROUND(AE358*(1+N('My Debts'!$D$15)/12),2)</f>
        <v>0</v>
      </c>
      <c r="L359" s="39" t="n">
        <f aca="false">MIN(N('My Debts'!$E$6),B359)</f>
        <v>0</v>
      </c>
      <c r="M359" s="39" t="n">
        <f aca="false">MIN(N('My Debts'!$E$7),C359)</f>
        <v>0</v>
      </c>
      <c r="N359" s="39" t="n">
        <f aca="false">MIN(N('My Debts'!$E$8),D359)</f>
        <v>0</v>
      </c>
      <c r="O359" s="39" t="n">
        <f aca="false">MIN(N('My Debts'!$E$9),E359)</f>
        <v>0</v>
      </c>
      <c r="P359" s="39" t="n">
        <f aca="false">MIN(N('My Debts'!$E$10),F359)</f>
        <v>0</v>
      </c>
      <c r="Q359" s="39" t="n">
        <f aca="false">MIN(N('My Debts'!$E$11),G359)</f>
        <v>0</v>
      </c>
      <c r="R359" s="39" t="n">
        <f aca="false">MIN(N('My Debts'!$E$12),H359)</f>
        <v>0</v>
      </c>
      <c r="S359" s="39" t="n">
        <f aca="false">MIN(N('My Debts'!$E$13),I359)</f>
        <v>0</v>
      </c>
      <c r="T359" s="39" t="n">
        <f aca="false">MIN(N('My Debts'!$E$14),J359)</f>
        <v>0</v>
      </c>
      <c r="U359" s="39" t="n">
        <f aca="false">MIN(N('My Debts'!$E$15),K359)</f>
        <v>0</v>
      </c>
      <c r="V359" s="39" t="n">
        <f aca="false">ROUND(B359-L359-MIN(B359-L359,MAX(0,$AF359-SUMPRODUCT(--($B$4:$K$4&lt;B$4),$B359:$K359-$L359:$U359))),2)</f>
        <v>0</v>
      </c>
      <c r="W359" s="39" t="n">
        <f aca="false">ROUND(C359-M359-MIN(C359-M359,MAX(0,$AF359-SUMPRODUCT(--($B$4:$K$4&lt;C$4),$B359:$K359-$L359:$U359))),2)</f>
        <v>0</v>
      </c>
      <c r="X359" s="39" t="n">
        <f aca="false">ROUND(D359-N359-MIN(D359-N359,MAX(0,$AF359-SUMPRODUCT(--($B$4:$K$4&lt;D$4),$B359:$K359-$L359:$U359))),2)</f>
        <v>0</v>
      </c>
      <c r="Y359" s="39" t="n">
        <f aca="false">ROUND(E359-O359-MIN(E359-O359,MAX(0,$AF359-SUMPRODUCT(--($B$4:$K$4&lt;E$4),$B359:$K359-$L359:$U359))),2)</f>
        <v>0</v>
      </c>
      <c r="Z359" s="39" t="n">
        <f aca="false">ROUND(F359-P359-MIN(F359-P359,MAX(0,$AF359-SUMPRODUCT(--($B$4:$K$4&lt;F$4),$B359:$K359-$L359:$U359))),2)</f>
        <v>0</v>
      </c>
      <c r="AA359" s="39" t="n">
        <f aca="false">ROUND(G359-Q359-MIN(G359-Q359,MAX(0,$AF359-SUMPRODUCT(--($B$4:$K$4&lt;G$4),$B359:$K359-$L359:$U359))),2)</f>
        <v>0</v>
      </c>
      <c r="AB359" s="39" t="n">
        <f aca="false">ROUND(H359-R359-MIN(H359-R359,MAX(0,$AF359-SUMPRODUCT(--($B$4:$K$4&lt;H$4),$B359:$K359-$L359:$U359))),2)</f>
        <v>0</v>
      </c>
      <c r="AC359" s="39" t="n">
        <f aca="false">ROUND(I359-S359-MIN(I359-S359,MAX(0,$AF359-SUMPRODUCT(--($B$4:$K$4&lt;I$4),$B359:$K359-$L359:$U359))),2)</f>
        <v>0</v>
      </c>
      <c r="AD359" s="39" t="n">
        <f aca="false">ROUND(J359-T359-MIN(J359-T359,MAX(0,$AF359-SUMPRODUCT(--($B$4:$K$4&lt;J$4),$B359:$K359-$L359:$U359))),2)</f>
        <v>0</v>
      </c>
      <c r="AE359" s="39" t="n">
        <f aca="false">ROUND(K359-U359-MIN(K359-U359,MAX(0,$AF359-SUMPRODUCT(--($B$4:$K$4&lt;K$4),$B359:$K359-$L359:$U359))),2)</f>
        <v>0</v>
      </c>
      <c r="AF359" s="39" t="n">
        <f aca="false">MAX(0,'Start Here'!$C$5-SUM($L359:$U359))</f>
        <v>1200</v>
      </c>
      <c r="AG359" s="39" t="n">
        <f aca="false">SUM(V359:AE359)</f>
        <v>0</v>
      </c>
      <c r="AH359" s="39" t="n">
        <f aca="false">SUM(B359:K359)-AG358</f>
        <v>0</v>
      </c>
    </row>
    <row r="360" customFormat="false" ht="15" hidden="false" customHeight="false" outlineLevel="0" collapsed="false">
      <c r="A360" s="40" t="n">
        <f aca="false">DATE(YEAR('Start Here'!$C$6),MONTH('Start Here'!$C$6)+353,1)</f>
        <v>57040</v>
      </c>
      <c r="B360" s="39" t="n">
        <f aca="false">ROUND(V359*(1+N('My Debts'!$D$6)/12),2)</f>
        <v>0</v>
      </c>
      <c r="C360" s="39" t="n">
        <f aca="false">ROUND(W359*(1+N('My Debts'!$D$7)/12),2)</f>
        <v>0</v>
      </c>
      <c r="D360" s="39" t="n">
        <f aca="false">ROUND(X359*(1+N('My Debts'!$D$8)/12),2)</f>
        <v>0</v>
      </c>
      <c r="E360" s="39" t="n">
        <f aca="false">ROUND(Y359*(1+N('My Debts'!$D$9)/12),2)</f>
        <v>0</v>
      </c>
      <c r="F360" s="39" t="n">
        <f aca="false">ROUND(Z359*(1+N('My Debts'!$D$10)/12),2)</f>
        <v>0</v>
      </c>
      <c r="G360" s="39" t="n">
        <f aca="false">ROUND(AA359*(1+N('My Debts'!$D$11)/12),2)</f>
        <v>0</v>
      </c>
      <c r="H360" s="39" t="n">
        <f aca="false">ROUND(AB359*(1+N('My Debts'!$D$12)/12),2)</f>
        <v>0</v>
      </c>
      <c r="I360" s="39" t="n">
        <f aca="false">ROUND(AC359*(1+N('My Debts'!$D$13)/12),2)</f>
        <v>0</v>
      </c>
      <c r="J360" s="39" t="n">
        <f aca="false">ROUND(AD359*(1+N('My Debts'!$D$14)/12),2)</f>
        <v>0</v>
      </c>
      <c r="K360" s="39" t="n">
        <f aca="false">ROUND(AE359*(1+N('My Debts'!$D$15)/12),2)</f>
        <v>0</v>
      </c>
      <c r="L360" s="39" t="n">
        <f aca="false">MIN(N('My Debts'!$E$6),B360)</f>
        <v>0</v>
      </c>
      <c r="M360" s="39" t="n">
        <f aca="false">MIN(N('My Debts'!$E$7),C360)</f>
        <v>0</v>
      </c>
      <c r="N360" s="39" t="n">
        <f aca="false">MIN(N('My Debts'!$E$8),D360)</f>
        <v>0</v>
      </c>
      <c r="O360" s="39" t="n">
        <f aca="false">MIN(N('My Debts'!$E$9),E360)</f>
        <v>0</v>
      </c>
      <c r="P360" s="39" t="n">
        <f aca="false">MIN(N('My Debts'!$E$10),F360)</f>
        <v>0</v>
      </c>
      <c r="Q360" s="39" t="n">
        <f aca="false">MIN(N('My Debts'!$E$11),G360)</f>
        <v>0</v>
      </c>
      <c r="R360" s="39" t="n">
        <f aca="false">MIN(N('My Debts'!$E$12),H360)</f>
        <v>0</v>
      </c>
      <c r="S360" s="39" t="n">
        <f aca="false">MIN(N('My Debts'!$E$13),I360)</f>
        <v>0</v>
      </c>
      <c r="T360" s="39" t="n">
        <f aca="false">MIN(N('My Debts'!$E$14),J360)</f>
        <v>0</v>
      </c>
      <c r="U360" s="39" t="n">
        <f aca="false">MIN(N('My Debts'!$E$15),K360)</f>
        <v>0</v>
      </c>
      <c r="V360" s="39" t="n">
        <f aca="false">ROUND(B360-L360-MIN(B360-L360,MAX(0,$AF360-SUMPRODUCT(--($B$4:$K$4&lt;B$4),$B360:$K360-$L360:$U360))),2)</f>
        <v>0</v>
      </c>
      <c r="W360" s="39" t="n">
        <f aca="false">ROUND(C360-M360-MIN(C360-M360,MAX(0,$AF360-SUMPRODUCT(--($B$4:$K$4&lt;C$4),$B360:$K360-$L360:$U360))),2)</f>
        <v>0</v>
      </c>
      <c r="X360" s="39" t="n">
        <f aca="false">ROUND(D360-N360-MIN(D360-N360,MAX(0,$AF360-SUMPRODUCT(--($B$4:$K$4&lt;D$4),$B360:$K360-$L360:$U360))),2)</f>
        <v>0</v>
      </c>
      <c r="Y360" s="39" t="n">
        <f aca="false">ROUND(E360-O360-MIN(E360-O360,MAX(0,$AF360-SUMPRODUCT(--($B$4:$K$4&lt;E$4),$B360:$K360-$L360:$U360))),2)</f>
        <v>0</v>
      </c>
      <c r="Z360" s="39" t="n">
        <f aca="false">ROUND(F360-P360-MIN(F360-P360,MAX(0,$AF360-SUMPRODUCT(--($B$4:$K$4&lt;F$4),$B360:$K360-$L360:$U360))),2)</f>
        <v>0</v>
      </c>
      <c r="AA360" s="39" t="n">
        <f aca="false">ROUND(G360-Q360-MIN(G360-Q360,MAX(0,$AF360-SUMPRODUCT(--($B$4:$K$4&lt;G$4),$B360:$K360-$L360:$U360))),2)</f>
        <v>0</v>
      </c>
      <c r="AB360" s="39" t="n">
        <f aca="false">ROUND(H360-R360-MIN(H360-R360,MAX(0,$AF360-SUMPRODUCT(--($B$4:$K$4&lt;H$4),$B360:$K360-$L360:$U360))),2)</f>
        <v>0</v>
      </c>
      <c r="AC360" s="39" t="n">
        <f aca="false">ROUND(I360-S360-MIN(I360-S360,MAX(0,$AF360-SUMPRODUCT(--($B$4:$K$4&lt;I$4),$B360:$K360-$L360:$U360))),2)</f>
        <v>0</v>
      </c>
      <c r="AD360" s="39" t="n">
        <f aca="false">ROUND(J360-T360-MIN(J360-T360,MAX(0,$AF360-SUMPRODUCT(--($B$4:$K$4&lt;J$4),$B360:$K360-$L360:$U360))),2)</f>
        <v>0</v>
      </c>
      <c r="AE360" s="39" t="n">
        <f aca="false">ROUND(K360-U360-MIN(K360-U360,MAX(0,$AF360-SUMPRODUCT(--($B$4:$K$4&lt;K$4),$B360:$K360-$L360:$U360))),2)</f>
        <v>0</v>
      </c>
      <c r="AF360" s="39" t="n">
        <f aca="false">MAX(0,'Start Here'!$C$5-SUM($L360:$U360))</f>
        <v>1200</v>
      </c>
      <c r="AG360" s="39" t="n">
        <f aca="false">SUM(V360:AE360)</f>
        <v>0</v>
      </c>
      <c r="AH360" s="39" t="n">
        <f aca="false">SUM(B360:K360)-AG359</f>
        <v>0</v>
      </c>
    </row>
    <row r="361" customFormat="false" ht="15" hidden="false" customHeight="false" outlineLevel="0" collapsed="false">
      <c r="A361" s="40" t="n">
        <f aca="false">DATE(YEAR('Start Here'!$C$6),MONTH('Start Here'!$C$6)+354,1)</f>
        <v>57071</v>
      </c>
      <c r="B361" s="39" t="n">
        <f aca="false">ROUND(V360*(1+N('My Debts'!$D$6)/12),2)</f>
        <v>0</v>
      </c>
      <c r="C361" s="39" t="n">
        <f aca="false">ROUND(W360*(1+N('My Debts'!$D$7)/12),2)</f>
        <v>0</v>
      </c>
      <c r="D361" s="39" t="n">
        <f aca="false">ROUND(X360*(1+N('My Debts'!$D$8)/12),2)</f>
        <v>0</v>
      </c>
      <c r="E361" s="39" t="n">
        <f aca="false">ROUND(Y360*(1+N('My Debts'!$D$9)/12),2)</f>
        <v>0</v>
      </c>
      <c r="F361" s="39" t="n">
        <f aca="false">ROUND(Z360*(1+N('My Debts'!$D$10)/12),2)</f>
        <v>0</v>
      </c>
      <c r="G361" s="39" t="n">
        <f aca="false">ROUND(AA360*(1+N('My Debts'!$D$11)/12),2)</f>
        <v>0</v>
      </c>
      <c r="H361" s="39" t="n">
        <f aca="false">ROUND(AB360*(1+N('My Debts'!$D$12)/12),2)</f>
        <v>0</v>
      </c>
      <c r="I361" s="39" t="n">
        <f aca="false">ROUND(AC360*(1+N('My Debts'!$D$13)/12),2)</f>
        <v>0</v>
      </c>
      <c r="J361" s="39" t="n">
        <f aca="false">ROUND(AD360*(1+N('My Debts'!$D$14)/12),2)</f>
        <v>0</v>
      </c>
      <c r="K361" s="39" t="n">
        <f aca="false">ROUND(AE360*(1+N('My Debts'!$D$15)/12),2)</f>
        <v>0</v>
      </c>
      <c r="L361" s="39" t="n">
        <f aca="false">MIN(N('My Debts'!$E$6),B361)</f>
        <v>0</v>
      </c>
      <c r="M361" s="39" t="n">
        <f aca="false">MIN(N('My Debts'!$E$7),C361)</f>
        <v>0</v>
      </c>
      <c r="N361" s="39" t="n">
        <f aca="false">MIN(N('My Debts'!$E$8),D361)</f>
        <v>0</v>
      </c>
      <c r="O361" s="39" t="n">
        <f aca="false">MIN(N('My Debts'!$E$9),E361)</f>
        <v>0</v>
      </c>
      <c r="P361" s="39" t="n">
        <f aca="false">MIN(N('My Debts'!$E$10),F361)</f>
        <v>0</v>
      </c>
      <c r="Q361" s="39" t="n">
        <f aca="false">MIN(N('My Debts'!$E$11),G361)</f>
        <v>0</v>
      </c>
      <c r="R361" s="39" t="n">
        <f aca="false">MIN(N('My Debts'!$E$12),H361)</f>
        <v>0</v>
      </c>
      <c r="S361" s="39" t="n">
        <f aca="false">MIN(N('My Debts'!$E$13),I361)</f>
        <v>0</v>
      </c>
      <c r="T361" s="39" t="n">
        <f aca="false">MIN(N('My Debts'!$E$14),J361)</f>
        <v>0</v>
      </c>
      <c r="U361" s="39" t="n">
        <f aca="false">MIN(N('My Debts'!$E$15),K361)</f>
        <v>0</v>
      </c>
      <c r="V361" s="39" t="n">
        <f aca="false">ROUND(B361-L361-MIN(B361-L361,MAX(0,$AF361-SUMPRODUCT(--($B$4:$K$4&lt;B$4),$B361:$K361-$L361:$U361))),2)</f>
        <v>0</v>
      </c>
      <c r="W361" s="39" t="n">
        <f aca="false">ROUND(C361-M361-MIN(C361-M361,MAX(0,$AF361-SUMPRODUCT(--($B$4:$K$4&lt;C$4),$B361:$K361-$L361:$U361))),2)</f>
        <v>0</v>
      </c>
      <c r="X361" s="39" t="n">
        <f aca="false">ROUND(D361-N361-MIN(D361-N361,MAX(0,$AF361-SUMPRODUCT(--($B$4:$K$4&lt;D$4),$B361:$K361-$L361:$U361))),2)</f>
        <v>0</v>
      </c>
      <c r="Y361" s="39" t="n">
        <f aca="false">ROUND(E361-O361-MIN(E361-O361,MAX(0,$AF361-SUMPRODUCT(--($B$4:$K$4&lt;E$4),$B361:$K361-$L361:$U361))),2)</f>
        <v>0</v>
      </c>
      <c r="Z361" s="39" t="n">
        <f aca="false">ROUND(F361-P361-MIN(F361-P361,MAX(0,$AF361-SUMPRODUCT(--($B$4:$K$4&lt;F$4),$B361:$K361-$L361:$U361))),2)</f>
        <v>0</v>
      </c>
      <c r="AA361" s="39" t="n">
        <f aca="false">ROUND(G361-Q361-MIN(G361-Q361,MAX(0,$AF361-SUMPRODUCT(--($B$4:$K$4&lt;G$4),$B361:$K361-$L361:$U361))),2)</f>
        <v>0</v>
      </c>
      <c r="AB361" s="39" t="n">
        <f aca="false">ROUND(H361-R361-MIN(H361-R361,MAX(0,$AF361-SUMPRODUCT(--($B$4:$K$4&lt;H$4),$B361:$K361-$L361:$U361))),2)</f>
        <v>0</v>
      </c>
      <c r="AC361" s="39" t="n">
        <f aca="false">ROUND(I361-S361-MIN(I361-S361,MAX(0,$AF361-SUMPRODUCT(--($B$4:$K$4&lt;I$4),$B361:$K361-$L361:$U361))),2)</f>
        <v>0</v>
      </c>
      <c r="AD361" s="39" t="n">
        <f aca="false">ROUND(J361-T361-MIN(J361-T361,MAX(0,$AF361-SUMPRODUCT(--($B$4:$K$4&lt;J$4),$B361:$K361-$L361:$U361))),2)</f>
        <v>0</v>
      </c>
      <c r="AE361" s="39" t="n">
        <f aca="false">ROUND(K361-U361-MIN(K361-U361,MAX(0,$AF361-SUMPRODUCT(--($B$4:$K$4&lt;K$4),$B361:$K361-$L361:$U361))),2)</f>
        <v>0</v>
      </c>
      <c r="AF361" s="39" t="n">
        <f aca="false">MAX(0,'Start Here'!$C$5-SUM($L361:$U361))</f>
        <v>1200</v>
      </c>
      <c r="AG361" s="39" t="n">
        <f aca="false">SUM(V361:AE361)</f>
        <v>0</v>
      </c>
      <c r="AH361" s="39" t="n">
        <f aca="false">SUM(B361:K361)-AG360</f>
        <v>0</v>
      </c>
    </row>
    <row r="362" customFormat="false" ht="15" hidden="false" customHeight="false" outlineLevel="0" collapsed="false">
      <c r="A362" s="40" t="n">
        <f aca="false">DATE(YEAR('Start Here'!$C$6),MONTH('Start Here'!$C$6)+355,1)</f>
        <v>57101</v>
      </c>
      <c r="B362" s="39" t="n">
        <f aca="false">ROUND(V361*(1+N('My Debts'!$D$6)/12),2)</f>
        <v>0</v>
      </c>
      <c r="C362" s="39" t="n">
        <f aca="false">ROUND(W361*(1+N('My Debts'!$D$7)/12),2)</f>
        <v>0</v>
      </c>
      <c r="D362" s="39" t="n">
        <f aca="false">ROUND(X361*(1+N('My Debts'!$D$8)/12),2)</f>
        <v>0</v>
      </c>
      <c r="E362" s="39" t="n">
        <f aca="false">ROUND(Y361*(1+N('My Debts'!$D$9)/12),2)</f>
        <v>0</v>
      </c>
      <c r="F362" s="39" t="n">
        <f aca="false">ROUND(Z361*(1+N('My Debts'!$D$10)/12),2)</f>
        <v>0</v>
      </c>
      <c r="G362" s="39" t="n">
        <f aca="false">ROUND(AA361*(1+N('My Debts'!$D$11)/12),2)</f>
        <v>0</v>
      </c>
      <c r="H362" s="39" t="n">
        <f aca="false">ROUND(AB361*(1+N('My Debts'!$D$12)/12),2)</f>
        <v>0</v>
      </c>
      <c r="I362" s="39" t="n">
        <f aca="false">ROUND(AC361*(1+N('My Debts'!$D$13)/12),2)</f>
        <v>0</v>
      </c>
      <c r="J362" s="39" t="n">
        <f aca="false">ROUND(AD361*(1+N('My Debts'!$D$14)/12),2)</f>
        <v>0</v>
      </c>
      <c r="K362" s="39" t="n">
        <f aca="false">ROUND(AE361*(1+N('My Debts'!$D$15)/12),2)</f>
        <v>0</v>
      </c>
      <c r="L362" s="39" t="n">
        <f aca="false">MIN(N('My Debts'!$E$6),B362)</f>
        <v>0</v>
      </c>
      <c r="M362" s="39" t="n">
        <f aca="false">MIN(N('My Debts'!$E$7),C362)</f>
        <v>0</v>
      </c>
      <c r="N362" s="39" t="n">
        <f aca="false">MIN(N('My Debts'!$E$8),D362)</f>
        <v>0</v>
      </c>
      <c r="O362" s="39" t="n">
        <f aca="false">MIN(N('My Debts'!$E$9),E362)</f>
        <v>0</v>
      </c>
      <c r="P362" s="39" t="n">
        <f aca="false">MIN(N('My Debts'!$E$10),F362)</f>
        <v>0</v>
      </c>
      <c r="Q362" s="39" t="n">
        <f aca="false">MIN(N('My Debts'!$E$11),G362)</f>
        <v>0</v>
      </c>
      <c r="R362" s="39" t="n">
        <f aca="false">MIN(N('My Debts'!$E$12),H362)</f>
        <v>0</v>
      </c>
      <c r="S362" s="39" t="n">
        <f aca="false">MIN(N('My Debts'!$E$13),I362)</f>
        <v>0</v>
      </c>
      <c r="T362" s="39" t="n">
        <f aca="false">MIN(N('My Debts'!$E$14),J362)</f>
        <v>0</v>
      </c>
      <c r="U362" s="39" t="n">
        <f aca="false">MIN(N('My Debts'!$E$15),K362)</f>
        <v>0</v>
      </c>
      <c r="V362" s="39" t="n">
        <f aca="false">ROUND(B362-L362-MIN(B362-L362,MAX(0,$AF362-SUMPRODUCT(--($B$4:$K$4&lt;B$4),$B362:$K362-$L362:$U362))),2)</f>
        <v>0</v>
      </c>
      <c r="W362" s="39" t="n">
        <f aca="false">ROUND(C362-M362-MIN(C362-M362,MAX(0,$AF362-SUMPRODUCT(--($B$4:$K$4&lt;C$4),$B362:$K362-$L362:$U362))),2)</f>
        <v>0</v>
      </c>
      <c r="X362" s="39" t="n">
        <f aca="false">ROUND(D362-N362-MIN(D362-N362,MAX(0,$AF362-SUMPRODUCT(--($B$4:$K$4&lt;D$4),$B362:$K362-$L362:$U362))),2)</f>
        <v>0</v>
      </c>
      <c r="Y362" s="39" t="n">
        <f aca="false">ROUND(E362-O362-MIN(E362-O362,MAX(0,$AF362-SUMPRODUCT(--($B$4:$K$4&lt;E$4),$B362:$K362-$L362:$U362))),2)</f>
        <v>0</v>
      </c>
      <c r="Z362" s="39" t="n">
        <f aca="false">ROUND(F362-P362-MIN(F362-P362,MAX(0,$AF362-SUMPRODUCT(--($B$4:$K$4&lt;F$4),$B362:$K362-$L362:$U362))),2)</f>
        <v>0</v>
      </c>
      <c r="AA362" s="39" t="n">
        <f aca="false">ROUND(G362-Q362-MIN(G362-Q362,MAX(0,$AF362-SUMPRODUCT(--($B$4:$K$4&lt;G$4),$B362:$K362-$L362:$U362))),2)</f>
        <v>0</v>
      </c>
      <c r="AB362" s="39" t="n">
        <f aca="false">ROUND(H362-R362-MIN(H362-R362,MAX(0,$AF362-SUMPRODUCT(--($B$4:$K$4&lt;H$4),$B362:$K362-$L362:$U362))),2)</f>
        <v>0</v>
      </c>
      <c r="AC362" s="39" t="n">
        <f aca="false">ROUND(I362-S362-MIN(I362-S362,MAX(0,$AF362-SUMPRODUCT(--($B$4:$K$4&lt;I$4),$B362:$K362-$L362:$U362))),2)</f>
        <v>0</v>
      </c>
      <c r="AD362" s="39" t="n">
        <f aca="false">ROUND(J362-T362-MIN(J362-T362,MAX(0,$AF362-SUMPRODUCT(--($B$4:$K$4&lt;J$4),$B362:$K362-$L362:$U362))),2)</f>
        <v>0</v>
      </c>
      <c r="AE362" s="39" t="n">
        <f aca="false">ROUND(K362-U362-MIN(K362-U362,MAX(0,$AF362-SUMPRODUCT(--($B$4:$K$4&lt;K$4),$B362:$K362-$L362:$U362))),2)</f>
        <v>0</v>
      </c>
      <c r="AF362" s="39" t="n">
        <f aca="false">MAX(0,'Start Here'!$C$5-SUM($L362:$U362))</f>
        <v>1200</v>
      </c>
      <c r="AG362" s="39" t="n">
        <f aca="false">SUM(V362:AE362)</f>
        <v>0</v>
      </c>
      <c r="AH362" s="39" t="n">
        <f aca="false">SUM(B362:K362)-AG361</f>
        <v>0</v>
      </c>
    </row>
    <row r="363" customFormat="false" ht="15" hidden="false" customHeight="false" outlineLevel="0" collapsed="false">
      <c r="A363" s="40" t="n">
        <f aca="false">DATE(YEAR('Start Here'!$C$6),MONTH('Start Here'!$C$6)+356,1)</f>
        <v>57132</v>
      </c>
      <c r="B363" s="39" t="n">
        <f aca="false">ROUND(V362*(1+N('My Debts'!$D$6)/12),2)</f>
        <v>0</v>
      </c>
      <c r="C363" s="39" t="n">
        <f aca="false">ROUND(W362*(1+N('My Debts'!$D$7)/12),2)</f>
        <v>0</v>
      </c>
      <c r="D363" s="39" t="n">
        <f aca="false">ROUND(X362*(1+N('My Debts'!$D$8)/12),2)</f>
        <v>0</v>
      </c>
      <c r="E363" s="39" t="n">
        <f aca="false">ROUND(Y362*(1+N('My Debts'!$D$9)/12),2)</f>
        <v>0</v>
      </c>
      <c r="F363" s="39" t="n">
        <f aca="false">ROUND(Z362*(1+N('My Debts'!$D$10)/12),2)</f>
        <v>0</v>
      </c>
      <c r="G363" s="39" t="n">
        <f aca="false">ROUND(AA362*(1+N('My Debts'!$D$11)/12),2)</f>
        <v>0</v>
      </c>
      <c r="H363" s="39" t="n">
        <f aca="false">ROUND(AB362*(1+N('My Debts'!$D$12)/12),2)</f>
        <v>0</v>
      </c>
      <c r="I363" s="39" t="n">
        <f aca="false">ROUND(AC362*(1+N('My Debts'!$D$13)/12),2)</f>
        <v>0</v>
      </c>
      <c r="J363" s="39" t="n">
        <f aca="false">ROUND(AD362*(1+N('My Debts'!$D$14)/12),2)</f>
        <v>0</v>
      </c>
      <c r="K363" s="39" t="n">
        <f aca="false">ROUND(AE362*(1+N('My Debts'!$D$15)/12),2)</f>
        <v>0</v>
      </c>
      <c r="L363" s="39" t="n">
        <f aca="false">MIN(N('My Debts'!$E$6),B363)</f>
        <v>0</v>
      </c>
      <c r="M363" s="39" t="n">
        <f aca="false">MIN(N('My Debts'!$E$7),C363)</f>
        <v>0</v>
      </c>
      <c r="N363" s="39" t="n">
        <f aca="false">MIN(N('My Debts'!$E$8),D363)</f>
        <v>0</v>
      </c>
      <c r="O363" s="39" t="n">
        <f aca="false">MIN(N('My Debts'!$E$9),E363)</f>
        <v>0</v>
      </c>
      <c r="P363" s="39" t="n">
        <f aca="false">MIN(N('My Debts'!$E$10),F363)</f>
        <v>0</v>
      </c>
      <c r="Q363" s="39" t="n">
        <f aca="false">MIN(N('My Debts'!$E$11),G363)</f>
        <v>0</v>
      </c>
      <c r="R363" s="39" t="n">
        <f aca="false">MIN(N('My Debts'!$E$12),H363)</f>
        <v>0</v>
      </c>
      <c r="S363" s="39" t="n">
        <f aca="false">MIN(N('My Debts'!$E$13),I363)</f>
        <v>0</v>
      </c>
      <c r="T363" s="39" t="n">
        <f aca="false">MIN(N('My Debts'!$E$14),J363)</f>
        <v>0</v>
      </c>
      <c r="U363" s="39" t="n">
        <f aca="false">MIN(N('My Debts'!$E$15),K363)</f>
        <v>0</v>
      </c>
      <c r="V363" s="39" t="n">
        <f aca="false">ROUND(B363-L363-MIN(B363-L363,MAX(0,$AF363-SUMPRODUCT(--($B$4:$K$4&lt;B$4),$B363:$K363-$L363:$U363))),2)</f>
        <v>0</v>
      </c>
      <c r="W363" s="39" t="n">
        <f aca="false">ROUND(C363-M363-MIN(C363-M363,MAX(0,$AF363-SUMPRODUCT(--($B$4:$K$4&lt;C$4),$B363:$K363-$L363:$U363))),2)</f>
        <v>0</v>
      </c>
      <c r="X363" s="39" t="n">
        <f aca="false">ROUND(D363-N363-MIN(D363-N363,MAX(0,$AF363-SUMPRODUCT(--($B$4:$K$4&lt;D$4),$B363:$K363-$L363:$U363))),2)</f>
        <v>0</v>
      </c>
      <c r="Y363" s="39" t="n">
        <f aca="false">ROUND(E363-O363-MIN(E363-O363,MAX(0,$AF363-SUMPRODUCT(--($B$4:$K$4&lt;E$4),$B363:$K363-$L363:$U363))),2)</f>
        <v>0</v>
      </c>
      <c r="Z363" s="39" t="n">
        <f aca="false">ROUND(F363-P363-MIN(F363-P363,MAX(0,$AF363-SUMPRODUCT(--($B$4:$K$4&lt;F$4),$B363:$K363-$L363:$U363))),2)</f>
        <v>0</v>
      </c>
      <c r="AA363" s="39" t="n">
        <f aca="false">ROUND(G363-Q363-MIN(G363-Q363,MAX(0,$AF363-SUMPRODUCT(--($B$4:$K$4&lt;G$4),$B363:$K363-$L363:$U363))),2)</f>
        <v>0</v>
      </c>
      <c r="AB363" s="39" t="n">
        <f aca="false">ROUND(H363-R363-MIN(H363-R363,MAX(0,$AF363-SUMPRODUCT(--($B$4:$K$4&lt;H$4),$B363:$K363-$L363:$U363))),2)</f>
        <v>0</v>
      </c>
      <c r="AC363" s="39" t="n">
        <f aca="false">ROUND(I363-S363-MIN(I363-S363,MAX(0,$AF363-SUMPRODUCT(--($B$4:$K$4&lt;I$4),$B363:$K363-$L363:$U363))),2)</f>
        <v>0</v>
      </c>
      <c r="AD363" s="39" t="n">
        <f aca="false">ROUND(J363-T363-MIN(J363-T363,MAX(0,$AF363-SUMPRODUCT(--($B$4:$K$4&lt;J$4),$B363:$K363-$L363:$U363))),2)</f>
        <v>0</v>
      </c>
      <c r="AE363" s="39" t="n">
        <f aca="false">ROUND(K363-U363-MIN(K363-U363,MAX(0,$AF363-SUMPRODUCT(--($B$4:$K$4&lt;K$4),$B363:$K363-$L363:$U363))),2)</f>
        <v>0</v>
      </c>
      <c r="AF363" s="39" t="n">
        <f aca="false">MAX(0,'Start Here'!$C$5-SUM($L363:$U363))</f>
        <v>1200</v>
      </c>
      <c r="AG363" s="39" t="n">
        <f aca="false">SUM(V363:AE363)</f>
        <v>0</v>
      </c>
      <c r="AH363" s="39" t="n">
        <f aca="false">SUM(B363:K363)-AG362</f>
        <v>0</v>
      </c>
    </row>
    <row r="364" customFormat="false" ht="15" hidden="false" customHeight="false" outlineLevel="0" collapsed="false">
      <c r="A364" s="40" t="n">
        <f aca="false">DATE(YEAR('Start Here'!$C$6),MONTH('Start Here'!$C$6)+357,1)</f>
        <v>57162</v>
      </c>
      <c r="B364" s="39" t="n">
        <f aca="false">ROUND(V363*(1+N('My Debts'!$D$6)/12),2)</f>
        <v>0</v>
      </c>
      <c r="C364" s="39" t="n">
        <f aca="false">ROUND(W363*(1+N('My Debts'!$D$7)/12),2)</f>
        <v>0</v>
      </c>
      <c r="D364" s="39" t="n">
        <f aca="false">ROUND(X363*(1+N('My Debts'!$D$8)/12),2)</f>
        <v>0</v>
      </c>
      <c r="E364" s="39" t="n">
        <f aca="false">ROUND(Y363*(1+N('My Debts'!$D$9)/12),2)</f>
        <v>0</v>
      </c>
      <c r="F364" s="39" t="n">
        <f aca="false">ROUND(Z363*(1+N('My Debts'!$D$10)/12),2)</f>
        <v>0</v>
      </c>
      <c r="G364" s="39" t="n">
        <f aca="false">ROUND(AA363*(1+N('My Debts'!$D$11)/12),2)</f>
        <v>0</v>
      </c>
      <c r="H364" s="39" t="n">
        <f aca="false">ROUND(AB363*(1+N('My Debts'!$D$12)/12),2)</f>
        <v>0</v>
      </c>
      <c r="I364" s="39" t="n">
        <f aca="false">ROUND(AC363*(1+N('My Debts'!$D$13)/12),2)</f>
        <v>0</v>
      </c>
      <c r="J364" s="39" t="n">
        <f aca="false">ROUND(AD363*(1+N('My Debts'!$D$14)/12),2)</f>
        <v>0</v>
      </c>
      <c r="K364" s="39" t="n">
        <f aca="false">ROUND(AE363*(1+N('My Debts'!$D$15)/12),2)</f>
        <v>0</v>
      </c>
      <c r="L364" s="39" t="n">
        <f aca="false">MIN(N('My Debts'!$E$6),B364)</f>
        <v>0</v>
      </c>
      <c r="M364" s="39" t="n">
        <f aca="false">MIN(N('My Debts'!$E$7),C364)</f>
        <v>0</v>
      </c>
      <c r="N364" s="39" t="n">
        <f aca="false">MIN(N('My Debts'!$E$8),D364)</f>
        <v>0</v>
      </c>
      <c r="O364" s="39" t="n">
        <f aca="false">MIN(N('My Debts'!$E$9),E364)</f>
        <v>0</v>
      </c>
      <c r="P364" s="39" t="n">
        <f aca="false">MIN(N('My Debts'!$E$10),F364)</f>
        <v>0</v>
      </c>
      <c r="Q364" s="39" t="n">
        <f aca="false">MIN(N('My Debts'!$E$11),G364)</f>
        <v>0</v>
      </c>
      <c r="R364" s="39" t="n">
        <f aca="false">MIN(N('My Debts'!$E$12),H364)</f>
        <v>0</v>
      </c>
      <c r="S364" s="39" t="n">
        <f aca="false">MIN(N('My Debts'!$E$13),I364)</f>
        <v>0</v>
      </c>
      <c r="T364" s="39" t="n">
        <f aca="false">MIN(N('My Debts'!$E$14),J364)</f>
        <v>0</v>
      </c>
      <c r="U364" s="39" t="n">
        <f aca="false">MIN(N('My Debts'!$E$15),K364)</f>
        <v>0</v>
      </c>
      <c r="V364" s="39" t="n">
        <f aca="false">ROUND(B364-L364-MIN(B364-L364,MAX(0,$AF364-SUMPRODUCT(--($B$4:$K$4&lt;B$4),$B364:$K364-$L364:$U364))),2)</f>
        <v>0</v>
      </c>
      <c r="W364" s="39" t="n">
        <f aca="false">ROUND(C364-M364-MIN(C364-M364,MAX(0,$AF364-SUMPRODUCT(--($B$4:$K$4&lt;C$4),$B364:$K364-$L364:$U364))),2)</f>
        <v>0</v>
      </c>
      <c r="X364" s="39" t="n">
        <f aca="false">ROUND(D364-N364-MIN(D364-N364,MAX(0,$AF364-SUMPRODUCT(--($B$4:$K$4&lt;D$4),$B364:$K364-$L364:$U364))),2)</f>
        <v>0</v>
      </c>
      <c r="Y364" s="39" t="n">
        <f aca="false">ROUND(E364-O364-MIN(E364-O364,MAX(0,$AF364-SUMPRODUCT(--($B$4:$K$4&lt;E$4),$B364:$K364-$L364:$U364))),2)</f>
        <v>0</v>
      </c>
      <c r="Z364" s="39" t="n">
        <f aca="false">ROUND(F364-P364-MIN(F364-P364,MAX(0,$AF364-SUMPRODUCT(--($B$4:$K$4&lt;F$4),$B364:$K364-$L364:$U364))),2)</f>
        <v>0</v>
      </c>
      <c r="AA364" s="39" t="n">
        <f aca="false">ROUND(G364-Q364-MIN(G364-Q364,MAX(0,$AF364-SUMPRODUCT(--($B$4:$K$4&lt;G$4),$B364:$K364-$L364:$U364))),2)</f>
        <v>0</v>
      </c>
      <c r="AB364" s="39" t="n">
        <f aca="false">ROUND(H364-R364-MIN(H364-R364,MAX(0,$AF364-SUMPRODUCT(--($B$4:$K$4&lt;H$4),$B364:$K364-$L364:$U364))),2)</f>
        <v>0</v>
      </c>
      <c r="AC364" s="39" t="n">
        <f aca="false">ROUND(I364-S364-MIN(I364-S364,MAX(0,$AF364-SUMPRODUCT(--($B$4:$K$4&lt;I$4),$B364:$K364-$L364:$U364))),2)</f>
        <v>0</v>
      </c>
      <c r="AD364" s="39" t="n">
        <f aca="false">ROUND(J364-T364-MIN(J364-T364,MAX(0,$AF364-SUMPRODUCT(--($B$4:$K$4&lt;J$4),$B364:$K364-$L364:$U364))),2)</f>
        <v>0</v>
      </c>
      <c r="AE364" s="39" t="n">
        <f aca="false">ROUND(K364-U364-MIN(K364-U364,MAX(0,$AF364-SUMPRODUCT(--($B$4:$K$4&lt;K$4),$B364:$K364-$L364:$U364))),2)</f>
        <v>0</v>
      </c>
      <c r="AF364" s="39" t="n">
        <f aca="false">MAX(0,'Start Here'!$C$5-SUM($L364:$U364))</f>
        <v>1200</v>
      </c>
      <c r="AG364" s="39" t="n">
        <f aca="false">SUM(V364:AE364)</f>
        <v>0</v>
      </c>
      <c r="AH364" s="39" t="n">
        <f aca="false">SUM(B364:K364)-AG363</f>
        <v>0</v>
      </c>
    </row>
    <row r="365" customFormat="false" ht="15" hidden="false" customHeight="false" outlineLevel="0" collapsed="false">
      <c r="A365" s="40" t="n">
        <f aca="false">DATE(YEAR('Start Here'!$C$6),MONTH('Start Here'!$C$6)+358,1)</f>
        <v>57193</v>
      </c>
      <c r="B365" s="39" t="n">
        <f aca="false">ROUND(V364*(1+N('My Debts'!$D$6)/12),2)</f>
        <v>0</v>
      </c>
      <c r="C365" s="39" t="n">
        <f aca="false">ROUND(W364*(1+N('My Debts'!$D$7)/12),2)</f>
        <v>0</v>
      </c>
      <c r="D365" s="39" t="n">
        <f aca="false">ROUND(X364*(1+N('My Debts'!$D$8)/12),2)</f>
        <v>0</v>
      </c>
      <c r="E365" s="39" t="n">
        <f aca="false">ROUND(Y364*(1+N('My Debts'!$D$9)/12),2)</f>
        <v>0</v>
      </c>
      <c r="F365" s="39" t="n">
        <f aca="false">ROUND(Z364*(1+N('My Debts'!$D$10)/12),2)</f>
        <v>0</v>
      </c>
      <c r="G365" s="39" t="n">
        <f aca="false">ROUND(AA364*(1+N('My Debts'!$D$11)/12),2)</f>
        <v>0</v>
      </c>
      <c r="H365" s="39" t="n">
        <f aca="false">ROUND(AB364*(1+N('My Debts'!$D$12)/12),2)</f>
        <v>0</v>
      </c>
      <c r="I365" s="39" t="n">
        <f aca="false">ROUND(AC364*(1+N('My Debts'!$D$13)/12),2)</f>
        <v>0</v>
      </c>
      <c r="J365" s="39" t="n">
        <f aca="false">ROUND(AD364*(1+N('My Debts'!$D$14)/12),2)</f>
        <v>0</v>
      </c>
      <c r="K365" s="39" t="n">
        <f aca="false">ROUND(AE364*(1+N('My Debts'!$D$15)/12),2)</f>
        <v>0</v>
      </c>
      <c r="L365" s="39" t="n">
        <f aca="false">MIN(N('My Debts'!$E$6),B365)</f>
        <v>0</v>
      </c>
      <c r="M365" s="39" t="n">
        <f aca="false">MIN(N('My Debts'!$E$7),C365)</f>
        <v>0</v>
      </c>
      <c r="N365" s="39" t="n">
        <f aca="false">MIN(N('My Debts'!$E$8),D365)</f>
        <v>0</v>
      </c>
      <c r="O365" s="39" t="n">
        <f aca="false">MIN(N('My Debts'!$E$9),E365)</f>
        <v>0</v>
      </c>
      <c r="P365" s="39" t="n">
        <f aca="false">MIN(N('My Debts'!$E$10),F365)</f>
        <v>0</v>
      </c>
      <c r="Q365" s="39" t="n">
        <f aca="false">MIN(N('My Debts'!$E$11),G365)</f>
        <v>0</v>
      </c>
      <c r="R365" s="39" t="n">
        <f aca="false">MIN(N('My Debts'!$E$12),H365)</f>
        <v>0</v>
      </c>
      <c r="S365" s="39" t="n">
        <f aca="false">MIN(N('My Debts'!$E$13),I365)</f>
        <v>0</v>
      </c>
      <c r="T365" s="39" t="n">
        <f aca="false">MIN(N('My Debts'!$E$14),J365)</f>
        <v>0</v>
      </c>
      <c r="U365" s="39" t="n">
        <f aca="false">MIN(N('My Debts'!$E$15),K365)</f>
        <v>0</v>
      </c>
      <c r="V365" s="39" t="n">
        <f aca="false">ROUND(B365-L365-MIN(B365-L365,MAX(0,$AF365-SUMPRODUCT(--($B$4:$K$4&lt;B$4),$B365:$K365-$L365:$U365))),2)</f>
        <v>0</v>
      </c>
      <c r="W365" s="39" t="n">
        <f aca="false">ROUND(C365-M365-MIN(C365-M365,MAX(0,$AF365-SUMPRODUCT(--($B$4:$K$4&lt;C$4),$B365:$K365-$L365:$U365))),2)</f>
        <v>0</v>
      </c>
      <c r="X365" s="39" t="n">
        <f aca="false">ROUND(D365-N365-MIN(D365-N365,MAX(0,$AF365-SUMPRODUCT(--($B$4:$K$4&lt;D$4),$B365:$K365-$L365:$U365))),2)</f>
        <v>0</v>
      </c>
      <c r="Y365" s="39" t="n">
        <f aca="false">ROUND(E365-O365-MIN(E365-O365,MAX(0,$AF365-SUMPRODUCT(--($B$4:$K$4&lt;E$4),$B365:$K365-$L365:$U365))),2)</f>
        <v>0</v>
      </c>
      <c r="Z365" s="39" t="n">
        <f aca="false">ROUND(F365-P365-MIN(F365-P365,MAX(0,$AF365-SUMPRODUCT(--($B$4:$K$4&lt;F$4),$B365:$K365-$L365:$U365))),2)</f>
        <v>0</v>
      </c>
      <c r="AA365" s="39" t="n">
        <f aca="false">ROUND(G365-Q365-MIN(G365-Q365,MAX(0,$AF365-SUMPRODUCT(--($B$4:$K$4&lt;G$4),$B365:$K365-$L365:$U365))),2)</f>
        <v>0</v>
      </c>
      <c r="AB365" s="39" t="n">
        <f aca="false">ROUND(H365-R365-MIN(H365-R365,MAX(0,$AF365-SUMPRODUCT(--($B$4:$K$4&lt;H$4),$B365:$K365-$L365:$U365))),2)</f>
        <v>0</v>
      </c>
      <c r="AC365" s="39" t="n">
        <f aca="false">ROUND(I365-S365-MIN(I365-S365,MAX(0,$AF365-SUMPRODUCT(--($B$4:$K$4&lt;I$4),$B365:$K365-$L365:$U365))),2)</f>
        <v>0</v>
      </c>
      <c r="AD365" s="39" t="n">
        <f aca="false">ROUND(J365-T365-MIN(J365-T365,MAX(0,$AF365-SUMPRODUCT(--($B$4:$K$4&lt;J$4),$B365:$K365-$L365:$U365))),2)</f>
        <v>0</v>
      </c>
      <c r="AE365" s="39" t="n">
        <f aca="false">ROUND(K365-U365-MIN(K365-U365,MAX(0,$AF365-SUMPRODUCT(--($B$4:$K$4&lt;K$4),$B365:$K365-$L365:$U365))),2)</f>
        <v>0</v>
      </c>
      <c r="AF365" s="39" t="n">
        <f aca="false">MAX(0,'Start Here'!$C$5-SUM($L365:$U365))</f>
        <v>1200</v>
      </c>
      <c r="AG365" s="39" t="n">
        <f aca="false">SUM(V365:AE365)</f>
        <v>0</v>
      </c>
      <c r="AH365" s="39" t="n">
        <f aca="false">SUM(B365:K365)-AG364</f>
        <v>0</v>
      </c>
    </row>
    <row r="366" customFormat="false" ht="15" hidden="false" customHeight="false" outlineLevel="0" collapsed="false">
      <c r="A366" s="40" t="n">
        <f aca="false">DATE(YEAR('Start Here'!$C$6),MONTH('Start Here'!$C$6)+359,1)</f>
        <v>57224</v>
      </c>
      <c r="B366" s="39" t="n">
        <f aca="false">ROUND(V365*(1+N('My Debts'!$D$6)/12),2)</f>
        <v>0</v>
      </c>
      <c r="C366" s="39" t="n">
        <f aca="false">ROUND(W365*(1+N('My Debts'!$D$7)/12),2)</f>
        <v>0</v>
      </c>
      <c r="D366" s="39" t="n">
        <f aca="false">ROUND(X365*(1+N('My Debts'!$D$8)/12),2)</f>
        <v>0</v>
      </c>
      <c r="E366" s="39" t="n">
        <f aca="false">ROUND(Y365*(1+N('My Debts'!$D$9)/12),2)</f>
        <v>0</v>
      </c>
      <c r="F366" s="39" t="n">
        <f aca="false">ROUND(Z365*(1+N('My Debts'!$D$10)/12),2)</f>
        <v>0</v>
      </c>
      <c r="G366" s="39" t="n">
        <f aca="false">ROUND(AA365*(1+N('My Debts'!$D$11)/12),2)</f>
        <v>0</v>
      </c>
      <c r="H366" s="39" t="n">
        <f aca="false">ROUND(AB365*(1+N('My Debts'!$D$12)/12),2)</f>
        <v>0</v>
      </c>
      <c r="I366" s="39" t="n">
        <f aca="false">ROUND(AC365*(1+N('My Debts'!$D$13)/12),2)</f>
        <v>0</v>
      </c>
      <c r="J366" s="39" t="n">
        <f aca="false">ROUND(AD365*(1+N('My Debts'!$D$14)/12),2)</f>
        <v>0</v>
      </c>
      <c r="K366" s="39" t="n">
        <f aca="false">ROUND(AE365*(1+N('My Debts'!$D$15)/12),2)</f>
        <v>0</v>
      </c>
      <c r="L366" s="39" t="n">
        <f aca="false">MIN(N('My Debts'!$E$6),B366)</f>
        <v>0</v>
      </c>
      <c r="M366" s="39" t="n">
        <f aca="false">MIN(N('My Debts'!$E$7),C366)</f>
        <v>0</v>
      </c>
      <c r="N366" s="39" t="n">
        <f aca="false">MIN(N('My Debts'!$E$8),D366)</f>
        <v>0</v>
      </c>
      <c r="O366" s="39" t="n">
        <f aca="false">MIN(N('My Debts'!$E$9),E366)</f>
        <v>0</v>
      </c>
      <c r="P366" s="39" t="n">
        <f aca="false">MIN(N('My Debts'!$E$10),F366)</f>
        <v>0</v>
      </c>
      <c r="Q366" s="39" t="n">
        <f aca="false">MIN(N('My Debts'!$E$11),G366)</f>
        <v>0</v>
      </c>
      <c r="R366" s="39" t="n">
        <f aca="false">MIN(N('My Debts'!$E$12),H366)</f>
        <v>0</v>
      </c>
      <c r="S366" s="39" t="n">
        <f aca="false">MIN(N('My Debts'!$E$13),I366)</f>
        <v>0</v>
      </c>
      <c r="T366" s="39" t="n">
        <f aca="false">MIN(N('My Debts'!$E$14),J366)</f>
        <v>0</v>
      </c>
      <c r="U366" s="39" t="n">
        <f aca="false">MIN(N('My Debts'!$E$15),K366)</f>
        <v>0</v>
      </c>
      <c r="V366" s="39" t="n">
        <f aca="false">ROUND(B366-L366-MIN(B366-L366,MAX(0,$AF366-SUMPRODUCT(--($B$4:$K$4&lt;B$4),$B366:$K366-$L366:$U366))),2)</f>
        <v>0</v>
      </c>
      <c r="W366" s="39" t="n">
        <f aca="false">ROUND(C366-M366-MIN(C366-M366,MAX(0,$AF366-SUMPRODUCT(--($B$4:$K$4&lt;C$4),$B366:$K366-$L366:$U366))),2)</f>
        <v>0</v>
      </c>
      <c r="X366" s="39" t="n">
        <f aca="false">ROUND(D366-N366-MIN(D366-N366,MAX(0,$AF366-SUMPRODUCT(--($B$4:$K$4&lt;D$4),$B366:$K366-$L366:$U366))),2)</f>
        <v>0</v>
      </c>
      <c r="Y366" s="39" t="n">
        <f aca="false">ROUND(E366-O366-MIN(E366-O366,MAX(0,$AF366-SUMPRODUCT(--($B$4:$K$4&lt;E$4),$B366:$K366-$L366:$U366))),2)</f>
        <v>0</v>
      </c>
      <c r="Z366" s="39" t="n">
        <f aca="false">ROUND(F366-P366-MIN(F366-P366,MAX(0,$AF366-SUMPRODUCT(--($B$4:$K$4&lt;F$4),$B366:$K366-$L366:$U366))),2)</f>
        <v>0</v>
      </c>
      <c r="AA366" s="39" t="n">
        <f aca="false">ROUND(G366-Q366-MIN(G366-Q366,MAX(0,$AF366-SUMPRODUCT(--($B$4:$K$4&lt;G$4),$B366:$K366-$L366:$U366))),2)</f>
        <v>0</v>
      </c>
      <c r="AB366" s="39" t="n">
        <f aca="false">ROUND(H366-R366-MIN(H366-R366,MAX(0,$AF366-SUMPRODUCT(--($B$4:$K$4&lt;H$4),$B366:$K366-$L366:$U366))),2)</f>
        <v>0</v>
      </c>
      <c r="AC366" s="39" t="n">
        <f aca="false">ROUND(I366-S366-MIN(I366-S366,MAX(0,$AF366-SUMPRODUCT(--($B$4:$K$4&lt;I$4),$B366:$K366-$L366:$U366))),2)</f>
        <v>0</v>
      </c>
      <c r="AD366" s="39" t="n">
        <f aca="false">ROUND(J366-T366-MIN(J366-T366,MAX(0,$AF366-SUMPRODUCT(--($B$4:$K$4&lt;J$4),$B366:$K366-$L366:$U366))),2)</f>
        <v>0</v>
      </c>
      <c r="AE366" s="39" t="n">
        <f aca="false">ROUND(K366-U366-MIN(K366-U366,MAX(0,$AF366-SUMPRODUCT(--($B$4:$K$4&lt;K$4),$B366:$K366-$L366:$U366))),2)</f>
        <v>0</v>
      </c>
      <c r="AF366" s="39" t="n">
        <f aca="false">MAX(0,'Start Here'!$C$5-SUM($L366:$U366))</f>
        <v>1200</v>
      </c>
      <c r="AG366" s="39" t="n">
        <f aca="false">SUM(V366:AE366)</f>
        <v>0</v>
      </c>
      <c r="AH366" s="39" t="n">
        <f aca="false">SUM(B366:K366)-AG365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B8C4"/>
    <pageSetUpPr fitToPage="true"/>
  </sheetPr>
  <dimension ref="A1:AL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1" min="2" style="0" width="12"/>
    <col collapsed="false" customWidth="true" hidden="false" outlineLevel="0" max="34" min="32" style="0" width="13"/>
    <col collapsed="false" customWidth="true" hidden="false" outlineLevel="0" max="38" min="36" style="0" width="12"/>
  </cols>
  <sheetData>
    <row r="1" customFormat="false" ht="24.4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6" t="s">
        <v>59</v>
      </c>
      <c r="B4" s="37" t="n">
        <f aca="false">'My Debts'!$G$6</f>
        <v>1</v>
      </c>
      <c r="C4" s="37" t="n">
        <f aca="false">'My Debts'!$G$7</f>
        <v>2</v>
      </c>
      <c r="D4" s="37" t="n">
        <f aca="false">'My Debts'!$G$8</f>
        <v>3</v>
      </c>
      <c r="E4" s="37" t="n">
        <f aca="false">'My Debts'!$G$9</f>
        <v>99</v>
      </c>
      <c r="F4" s="37" t="n">
        <f aca="false">'My Debts'!$G$10</f>
        <v>99</v>
      </c>
      <c r="G4" s="37" t="n">
        <f aca="false">'My Debts'!$G$11</f>
        <v>99</v>
      </c>
      <c r="H4" s="37" t="n">
        <f aca="false">'My Debts'!$G$12</f>
        <v>99</v>
      </c>
      <c r="I4" s="37" t="n">
        <f aca="false">'My Debts'!$G$13</f>
        <v>99</v>
      </c>
      <c r="J4" s="37" t="n">
        <f aca="false">'My Debts'!$G$14</f>
        <v>99</v>
      </c>
      <c r="K4" s="37" t="n">
        <f aca="false">'My Debts'!$G$15</f>
        <v>99</v>
      </c>
      <c r="AJ4" s="36" t="s">
        <v>66</v>
      </c>
      <c r="AK4" s="41" t="n">
        <f aca="false">MIN(9,MAX(1,CEILING(MAX(COUNTIF('Snowball Schedule'!$AG$7:$AG$366,"&gt;0.005")+1,COUNTIF('Avalanche Schedule'!$AG$7:$AG$366,"&gt;0.005")+1)/40,1)))</f>
        <v>1</v>
      </c>
    </row>
    <row r="5" customFormat="false" ht="42" hidden="false" customHeight="true" outlineLevel="0" collapsed="false">
      <c r="A5" s="38" t="s">
        <v>60</v>
      </c>
      <c r="B5" s="38" t="str">
        <f aca="false">IF('My Debts'!$B$6="","Debt 1",'My Debts'!$B$6)&amp;" · Owed"</f>
        <v>Store card (example) · Owed</v>
      </c>
      <c r="C5" s="38" t="str">
        <f aca="false">IF('My Debts'!$B$7="","Debt 2",'My Debts'!$B$7)&amp;" · Owed"</f>
        <v>Visa (example) · Owed</v>
      </c>
      <c r="D5" s="38" t="str">
        <f aca="false">IF('My Debts'!$B$8="","Debt 3",'My Debts'!$B$8)&amp;" · Owed"</f>
        <v>Car loan (example) · Owed</v>
      </c>
      <c r="E5" s="38" t="str">
        <f aca="false">IF('My Debts'!$B$9="","Debt 4",'My Debts'!$B$9)&amp;" · Owed"</f>
        <v>Debt 4 · Owed</v>
      </c>
      <c r="F5" s="38" t="str">
        <f aca="false">IF('My Debts'!$B$10="","Debt 5",'My Debts'!$B$10)&amp;" · Owed"</f>
        <v>Debt 5 · Owed</v>
      </c>
      <c r="G5" s="38" t="str">
        <f aca="false">IF('My Debts'!$B$11="","Debt 6",'My Debts'!$B$11)&amp;" · Owed"</f>
        <v>Debt 6 · Owed</v>
      </c>
      <c r="H5" s="38" t="str">
        <f aca="false">IF('My Debts'!$B$12="","Debt 7",'My Debts'!$B$12)&amp;" · Owed"</f>
        <v>Debt 7 · Owed</v>
      </c>
      <c r="I5" s="38" t="str">
        <f aca="false">IF('My Debts'!$B$13="","Debt 8",'My Debts'!$B$13)&amp;" · Owed"</f>
        <v>Debt 8 · Owed</v>
      </c>
      <c r="J5" s="38" t="str">
        <f aca="false">IF('My Debts'!$B$14="","Debt 9",'My Debts'!$B$14)&amp;" · Owed"</f>
        <v>Debt 9 · Owed</v>
      </c>
      <c r="K5" s="38" t="str">
        <f aca="false">IF('My Debts'!$B$15="","Debt 10",'My Debts'!$B$15)&amp;" · Owed"</f>
        <v>Debt 10 · Owed</v>
      </c>
      <c r="L5" s="38" t="str">
        <f aca="false">IF('My Debts'!$B$6="","Debt 1",'My Debts'!$B$6)&amp;" · Minimum"</f>
        <v>Store card (example) · Minimum</v>
      </c>
      <c r="M5" s="38" t="str">
        <f aca="false">IF('My Debts'!$B$7="","Debt 2",'My Debts'!$B$7)&amp;" · Minimum"</f>
        <v>Visa (example) · Minimum</v>
      </c>
      <c r="N5" s="38" t="str">
        <f aca="false">IF('My Debts'!$B$8="","Debt 3",'My Debts'!$B$8)&amp;" · Minimum"</f>
        <v>Car loan (example) · Minimum</v>
      </c>
      <c r="O5" s="38" t="str">
        <f aca="false">IF('My Debts'!$B$9="","Debt 4",'My Debts'!$B$9)&amp;" · Minimum"</f>
        <v>Debt 4 · Minimum</v>
      </c>
      <c r="P5" s="38" t="str">
        <f aca="false">IF('My Debts'!$B$10="","Debt 5",'My Debts'!$B$10)&amp;" · Minimum"</f>
        <v>Debt 5 · Minimum</v>
      </c>
      <c r="Q5" s="38" t="str">
        <f aca="false">IF('My Debts'!$B$11="","Debt 6",'My Debts'!$B$11)&amp;" · Minimum"</f>
        <v>Debt 6 · Minimum</v>
      </c>
      <c r="R5" s="38" t="str">
        <f aca="false">IF('My Debts'!$B$12="","Debt 7",'My Debts'!$B$12)&amp;" · Minimum"</f>
        <v>Debt 7 · Minimum</v>
      </c>
      <c r="S5" s="38" t="str">
        <f aca="false">IF('My Debts'!$B$13="","Debt 8",'My Debts'!$B$13)&amp;" · Minimum"</f>
        <v>Debt 8 · Minimum</v>
      </c>
      <c r="T5" s="38" t="str">
        <f aca="false">IF('My Debts'!$B$14="","Debt 9",'My Debts'!$B$14)&amp;" · Minimum"</f>
        <v>Debt 9 · Minimum</v>
      </c>
      <c r="U5" s="38" t="str">
        <f aca="false">IF('My Debts'!$B$15="","Debt 10",'My Debts'!$B$15)&amp;" · Minimum"</f>
        <v>Debt 10 · Minimum</v>
      </c>
      <c r="V5" s="38" t="str">
        <f aca="false">IF('My Debts'!$B$6="","Debt 1",'My Debts'!$B$6)&amp;" · End balance"</f>
        <v>Store card (example) · End balance</v>
      </c>
      <c r="W5" s="38" t="str">
        <f aca="false">IF('My Debts'!$B$7="","Debt 2",'My Debts'!$B$7)&amp;" · End balance"</f>
        <v>Visa (example) · End balance</v>
      </c>
      <c r="X5" s="38" t="str">
        <f aca="false">IF('My Debts'!$B$8="","Debt 3",'My Debts'!$B$8)&amp;" · End balance"</f>
        <v>Car loan (example) · End balance</v>
      </c>
      <c r="Y5" s="38" t="str">
        <f aca="false">IF('My Debts'!$B$9="","Debt 4",'My Debts'!$B$9)&amp;" · End balance"</f>
        <v>Debt 4 · End balance</v>
      </c>
      <c r="Z5" s="38" t="str">
        <f aca="false">IF('My Debts'!$B$10="","Debt 5",'My Debts'!$B$10)&amp;" · End balance"</f>
        <v>Debt 5 · End balance</v>
      </c>
      <c r="AA5" s="38" t="str">
        <f aca="false">IF('My Debts'!$B$11="","Debt 6",'My Debts'!$B$11)&amp;" · End balance"</f>
        <v>Debt 6 · End balance</v>
      </c>
      <c r="AB5" s="38" t="str">
        <f aca="false">IF('My Debts'!$B$12="","Debt 7",'My Debts'!$B$12)&amp;" · End balance"</f>
        <v>Debt 7 · End balance</v>
      </c>
      <c r="AC5" s="38" t="str">
        <f aca="false">IF('My Debts'!$B$13="","Debt 8",'My Debts'!$B$13)&amp;" · End balance"</f>
        <v>Debt 8 · End balance</v>
      </c>
      <c r="AD5" s="38" t="str">
        <f aca="false">IF('My Debts'!$B$14="","Debt 9",'My Debts'!$B$14)&amp;" · End balance"</f>
        <v>Debt 9 · End balance</v>
      </c>
      <c r="AE5" s="38" t="str">
        <f aca="false">IF('My Debts'!$B$15="","Debt 10",'My Debts'!$B$15)&amp;" · End balance"</f>
        <v>Debt 10 · End balance</v>
      </c>
      <c r="AF5" s="38" t="s">
        <v>61</v>
      </c>
      <c r="AG5" s="38" t="s">
        <v>62</v>
      </c>
      <c r="AH5" s="38" t="s">
        <v>63</v>
      </c>
      <c r="AJ5" s="42" t="s">
        <v>67</v>
      </c>
      <c r="AK5" s="42" t="s">
        <v>31</v>
      </c>
      <c r="AL5" s="42" t="s">
        <v>8</v>
      </c>
    </row>
    <row r="6" customFormat="false" ht="15" hidden="false" customHeight="false" outlineLevel="0" collapsed="false">
      <c r="A6" s="36" t="s">
        <v>64</v>
      </c>
      <c r="V6" s="39" t="n">
        <f aca="false">N('My Debts'!$C$6)</f>
        <v>850</v>
      </c>
      <c r="W6" s="39" t="n">
        <f aca="false">N('My Debts'!$C$7)</f>
        <v>4200</v>
      </c>
      <c r="X6" s="39" t="n">
        <f aca="false">N('My Debts'!$C$8)</f>
        <v>9800</v>
      </c>
      <c r="Y6" s="39" t="n">
        <f aca="false">N('My Debts'!$C$9)</f>
        <v>0</v>
      </c>
      <c r="Z6" s="39" t="n">
        <f aca="false">N('My Debts'!$C$10)</f>
        <v>0</v>
      </c>
      <c r="AA6" s="39" t="n">
        <f aca="false">N('My Debts'!$C$11)</f>
        <v>0</v>
      </c>
      <c r="AB6" s="39" t="n">
        <f aca="false">N('My Debts'!$C$12)</f>
        <v>0</v>
      </c>
      <c r="AC6" s="39" t="n">
        <f aca="false">N('My Debts'!$C$13)</f>
        <v>0</v>
      </c>
      <c r="AD6" s="39" t="n">
        <f aca="false">N('My Debts'!$C$14)</f>
        <v>0</v>
      </c>
      <c r="AE6" s="39" t="n">
        <f aca="false">N('My Debts'!$C$15)</f>
        <v>0</v>
      </c>
      <c r="AG6" s="39" t="n">
        <f aca="false">SUM(V6:AE6)</f>
        <v>14850</v>
      </c>
      <c r="AJ6" s="41" t="n">
        <f aca="false">0*$AK$4</f>
        <v>0</v>
      </c>
      <c r="AK6" s="43" t="n">
        <f aca="false">INDEX('Snowball Schedule'!$AG$6:$AG$366,AJ6+1)</f>
        <v>14850</v>
      </c>
      <c r="AL6" s="43" t="n">
        <f aca="false">INDEX('Avalanche Schedule'!$AG$6:$AG$366,AJ6+1)</f>
        <v>14850</v>
      </c>
    </row>
    <row r="7" customFormat="false" ht="15" hidden="false" customHeight="false" outlineLevel="0" collapsed="false">
      <c r="A7" s="40" t="n">
        <f aca="false">DATE(YEAR('Start Here'!$C$6),MONTH('Start Here'!$C$6)+0,1)</f>
        <v>46296</v>
      </c>
      <c r="B7" s="39" t="n">
        <f aca="false">ROUND(V6*(1+N('My Debts'!$D$6)/12),2)</f>
        <v>869.12</v>
      </c>
      <c r="C7" s="39" t="n">
        <f aca="false">ROUND(W6*(1+N('My Debts'!$D$7)/12),2)</f>
        <v>4278.72</v>
      </c>
      <c r="D7" s="39" t="n">
        <f aca="false">ROUND(X6*(1+N('My Debts'!$D$8)/12),2)</f>
        <v>9856.35</v>
      </c>
      <c r="E7" s="39" t="n">
        <f aca="false">ROUND(Y6*(1+N('My Debts'!$D$9)/12),2)</f>
        <v>0</v>
      </c>
      <c r="F7" s="39" t="n">
        <f aca="false">ROUND(Z6*(1+N('My Debts'!$D$10)/12),2)</f>
        <v>0</v>
      </c>
      <c r="G7" s="39" t="n">
        <f aca="false">ROUND(AA6*(1+N('My Debts'!$D$11)/12),2)</f>
        <v>0</v>
      </c>
      <c r="H7" s="39" t="n">
        <f aca="false">ROUND(AB6*(1+N('My Debts'!$D$12)/12),2)</f>
        <v>0</v>
      </c>
      <c r="I7" s="39" t="n">
        <f aca="false">ROUND(AC6*(1+N('My Debts'!$D$13)/12),2)</f>
        <v>0</v>
      </c>
      <c r="J7" s="39" t="n">
        <f aca="false">ROUND(AD6*(1+N('My Debts'!$D$14)/12),2)</f>
        <v>0</v>
      </c>
      <c r="K7" s="39" t="n">
        <f aca="false">ROUND(AE6*(1+N('My Debts'!$D$15)/12),2)</f>
        <v>0</v>
      </c>
      <c r="L7" s="39" t="n">
        <f aca="false">MIN(N('My Debts'!$E$6),B7)</f>
        <v>35</v>
      </c>
      <c r="M7" s="39" t="n">
        <f aca="false">MIN(N('My Debts'!$E$7),C7)</f>
        <v>110</v>
      </c>
      <c r="N7" s="39" t="n">
        <f aca="false">MIN(N('My Debts'!$E$8),D7)</f>
        <v>285</v>
      </c>
      <c r="O7" s="39" t="n">
        <f aca="false">MIN(N('My Debts'!$E$9),E7)</f>
        <v>0</v>
      </c>
      <c r="P7" s="39" t="n">
        <f aca="false">MIN(N('My Debts'!$E$10),F7)</f>
        <v>0</v>
      </c>
      <c r="Q7" s="39" t="n">
        <f aca="false">MIN(N('My Debts'!$E$11),G7)</f>
        <v>0</v>
      </c>
      <c r="R7" s="39" t="n">
        <f aca="false">MIN(N('My Debts'!$E$12),H7)</f>
        <v>0</v>
      </c>
      <c r="S7" s="39" t="n">
        <f aca="false">MIN(N('My Debts'!$E$13),I7)</f>
        <v>0</v>
      </c>
      <c r="T7" s="39" t="n">
        <f aca="false">MIN(N('My Debts'!$E$14),J7)</f>
        <v>0</v>
      </c>
      <c r="U7" s="39" t="n">
        <f aca="false">MIN(N('My Debts'!$E$15),K7)</f>
        <v>0</v>
      </c>
      <c r="V7" s="39" t="n">
        <f aca="false">ROUND(B7-L7-MIN(B7-L7,MAX(0,$AF7-SUMPRODUCT(--($B$4:$K$4&lt;B$4),$B7:$K7-$L7:$U7))),2)</f>
        <v>64.12</v>
      </c>
      <c r="W7" s="39" t="n">
        <f aca="false">ROUND(C7-M7-MIN(C7-M7,MAX(0,$AF7-SUMPRODUCT(--($B$4:$K$4&lt;C$4),$B7:$K7-$L7:$U7))),2)</f>
        <v>4168.72</v>
      </c>
      <c r="X7" s="39" t="n">
        <f aca="false">ROUND(D7-N7-MIN(D7-N7,MAX(0,$AF7-SUMPRODUCT(--($B$4:$K$4&lt;D$4),$B7:$K7-$L7:$U7))),2)</f>
        <v>9571.35</v>
      </c>
      <c r="Y7" s="39" t="n">
        <f aca="false">ROUND(E7-O7-MIN(E7-O7,MAX(0,$AF7-SUMPRODUCT(--($B$4:$K$4&lt;E$4),$B7:$K7-$L7:$U7))),2)</f>
        <v>0</v>
      </c>
      <c r="Z7" s="39" t="n">
        <f aca="false">ROUND(F7-P7-MIN(F7-P7,MAX(0,$AF7-SUMPRODUCT(--($B$4:$K$4&lt;F$4),$B7:$K7-$L7:$U7))),2)</f>
        <v>0</v>
      </c>
      <c r="AA7" s="39" t="n">
        <f aca="false">ROUND(G7-Q7-MIN(G7-Q7,MAX(0,$AF7-SUMPRODUCT(--($B$4:$K$4&lt;G$4),$B7:$K7-$L7:$U7))),2)</f>
        <v>0</v>
      </c>
      <c r="AB7" s="39" t="n">
        <f aca="false">ROUND(H7-R7-MIN(H7-R7,MAX(0,$AF7-SUMPRODUCT(--($B$4:$K$4&lt;H$4),$B7:$K7-$L7:$U7))),2)</f>
        <v>0</v>
      </c>
      <c r="AC7" s="39" t="n">
        <f aca="false">ROUND(I7-S7-MIN(I7-S7,MAX(0,$AF7-SUMPRODUCT(--($B$4:$K$4&lt;I$4),$B7:$K7-$L7:$U7))),2)</f>
        <v>0</v>
      </c>
      <c r="AD7" s="39" t="n">
        <f aca="false">ROUND(J7-T7-MIN(J7-T7,MAX(0,$AF7-SUMPRODUCT(--($B$4:$K$4&lt;J$4),$B7:$K7-$L7:$U7))),2)</f>
        <v>0</v>
      </c>
      <c r="AE7" s="39" t="n">
        <f aca="false">ROUND(K7-U7-MIN(K7-U7,MAX(0,$AF7-SUMPRODUCT(--($B$4:$K$4&lt;K$4),$B7:$K7-$L7:$U7))),2)</f>
        <v>0</v>
      </c>
      <c r="AF7" s="39" t="n">
        <f aca="false">MAX(0,'Start Here'!$C$5-SUM($L7:$U7))</f>
        <v>770</v>
      </c>
      <c r="AG7" s="39" t="n">
        <f aca="false">SUM(V7:AE7)</f>
        <v>13804.19</v>
      </c>
      <c r="AH7" s="39" t="n">
        <f aca="false">SUM(B7:K7)-AG6</f>
        <v>154.190000000001</v>
      </c>
      <c r="AJ7" s="41" t="n">
        <f aca="false">1*$AK$4</f>
        <v>1</v>
      </c>
      <c r="AK7" s="43" t="n">
        <f aca="false">INDEX('Snowball Schedule'!$AG$6:$AG$366,AJ7+1)</f>
        <v>13804.19</v>
      </c>
      <c r="AL7" s="43" t="n">
        <f aca="false">INDEX('Avalanche Schedule'!$AG$6:$AG$366,AJ7+1)</f>
        <v>13804.19</v>
      </c>
    </row>
    <row r="8" customFormat="false" ht="15" hidden="false" customHeight="false" outlineLevel="0" collapsed="false">
      <c r="A8" s="40" t="n">
        <f aca="false">DATE(YEAR('Start Here'!$C$6),MONTH('Start Here'!$C$6)+1,1)</f>
        <v>46327</v>
      </c>
      <c r="B8" s="39" t="n">
        <f aca="false">ROUND(V7*(1+N('My Debts'!$D$6)/12),2)</f>
        <v>65.56</v>
      </c>
      <c r="C8" s="39" t="n">
        <f aca="false">ROUND(W7*(1+N('My Debts'!$D$7)/12),2)</f>
        <v>4246.85</v>
      </c>
      <c r="D8" s="39" t="n">
        <f aca="false">ROUND(X7*(1+N('My Debts'!$D$8)/12),2)</f>
        <v>9626.39</v>
      </c>
      <c r="E8" s="39" t="n">
        <f aca="false">ROUND(Y7*(1+N('My Debts'!$D$9)/12),2)</f>
        <v>0</v>
      </c>
      <c r="F8" s="39" t="n">
        <f aca="false">ROUND(Z7*(1+N('My Debts'!$D$10)/12),2)</f>
        <v>0</v>
      </c>
      <c r="G8" s="39" t="n">
        <f aca="false">ROUND(AA7*(1+N('My Debts'!$D$11)/12),2)</f>
        <v>0</v>
      </c>
      <c r="H8" s="39" t="n">
        <f aca="false">ROUND(AB7*(1+N('My Debts'!$D$12)/12),2)</f>
        <v>0</v>
      </c>
      <c r="I8" s="39" t="n">
        <f aca="false">ROUND(AC7*(1+N('My Debts'!$D$13)/12),2)</f>
        <v>0</v>
      </c>
      <c r="J8" s="39" t="n">
        <f aca="false">ROUND(AD7*(1+N('My Debts'!$D$14)/12),2)</f>
        <v>0</v>
      </c>
      <c r="K8" s="39" t="n">
        <f aca="false">ROUND(AE7*(1+N('My Debts'!$D$15)/12),2)</f>
        <v>0</v>
      </c>
      <c r="L8" s="39" t="n">
        <f aca="false">MIN(N('My Debts'!$E$6),B8)</f>
        <v>35</v>
      </c>
      <c r="M8" s="39" t="n">
        <f aca="false">MIN(N('My Debts'!$E$7),C8)</f>
        <v>110</v>
      </c>
      <c r="N8" s="39" t="n">
        <f aca="false">MIN(N('My Debts'!$E$8),D8)</f>
        <v>285</v>
      </c>
      <c r="O8" s="39" t="n">
        <f aca="false">MIN(N('My Debts'!$E$9),E8)</f>
        <v>0</v>
      </c>
      <c r="P8" s="39" t="n">
        <f aca="false">MIN(N('My Debts'!$E$10),F8)</f>
        <v>0</v>
      </c>
      <c r="Q8" s="39" t="n">
        <f aca="false">MIN(N('My Debts'!$E$11),G8)</f>
        <v>0</v>
      </c>
      <c r="R8" s="39" t="n">
        <f aca="false">MIN(N('My Debts'!$E$12),H8)</f>
        <v>0</v>
      </c>
      <c r="S8" s="39" t="n">
        <f aca="false">MIN(N('My Debts'!$E$13),I8)</f>
        <v>0</v>
      </c>
      <c r="T8" s="39" t="n">
        <f aca="false">MIN(N('My Debts'!$E$14),J8)</f>
        <v>0</v>
      </c>
      <c r="U8" s="39" t="n">
        <f aca="false">MIN(N('My Debts'!$E$15),K8)</f>
        <v>0</v>
      </c>
      <c r="V8" s="39" t="n">
        <f aca="false">ROUND(B8-L8-MIN(B8-L8,MAX(0,$AF8-SUMPRODUCT(--($B$4:$K$4&lt;B$4),$B8:$K8-$L8:$U8))),2)</f>
        <v>0</v>
      </c>
      <c r="W8" s="39" t="n">
        <f aca="false">ROUND(C8-M8-MIN(C8-M8,MAX(0,$AF8-SUMPRODUCT(--($B$4:$K$4&lt;C$4),$B8:$K8-$L8:$U8))),2)</f>
        <v>3397.41</v>
      </c>
      <c r="X8" s="39" t="n">
        <f aca="false">ROUND(D8-N8-MIN(D8-N8,MAX(0,$AF8-SUMPRODUCT(--($B$4:$K$4&lt;D$4),$B8:$K8-$L8:$U8))),2)</f>
        <v>9341.39</v>
      </c>
      <c r="Y8" s="39" t="n">
        <f aca="false">ROUND(E8-O8-MIN(E8-O8,MAX(0,$AF8-SUMPRODUCT(--($B$4:$K$4&lt;E$4),$B8:$K8-$L8:$U8))),2)</f>
        <v>0</v>
      </c>
      <c r="Z8" s="39" t="n">
        <f aca="false">ROUND(F8-P8-MIN(F8-P8,MAX(0,$AF8-SUMPRODUCT(--($B$4:$K$4&lt;F$4),$B8:$K8-$L8:$U8))),2)</f>
        <v>0</v>
      </c>
      <c r="AA8" s="39" t="n">
        <f aca="false">ROUND(G8-Q8-MIN(G8-Q8,MAX(0,$AF8-SUMPRODUCT(--($B$4:$K$4&lt;G$4),$B8:$K8-$L8:$U8))),2)</f>
        <v>0</v>
      </c>
      <c r="AB8" s="39" t="n">
        <f aca="false">ROUND(H8-R8-MIN(H8-R8,MAX(0,$AF8-SUMPRODUCT(--($B$4:$K$4&lt;H$4),$B8:$K8-$L8:$U8))),2)</f>
        <v>0</v>
      </c>
      <c r="AC8" s="39" t="n">
        <f aca="false">ROUND(I8-S8-MIN(I8-S8,MAX(0,$AF8-SUMPRODUCT(--($B$4:$K$4&lt;I$4),$B8:$K8-$L8:$U8))),2)</f>
        <v>0</v>
      </c>
      <c r="AD8" s="39" t="n">
        <f aca="false">ROUND(J8-T8-MIN(J8-T8,MAX(0,$AF8-SUMPRODUCT(--($B$4:$K$4&lt;J$4),$B8:$K8-$L8:$U8))),2)</f>
        <v>0</v>
      </c>
      <c r="AE8" s="39" t="n">
        <f aca="false">ROUND(K8-U8-MIN(K8-U8,MAX(0,$AF8-SUMPRODUCT(--($B$4:$K$4&lt;K$4),$B8:$K8-$L8:$U8))),2)</f>
        <v>0</v>
      </c>
      <c r="AF8" s="39" t="n">
        <f aca="false">MAX(0,'Start Here'!$C$5-SUM($L8:$U8))</f>
        <v>770</v>
      </c>
      <c r="AG8" s="39" t="n">
        <f aca="false">SUM(V8:AE8)</f>
        <v>12738.8</v>
      </c>
      <c r="AH8" s="39" t="n">
        <f aca="false">SUM(B8:K8)-AG7</f>
        <v>134.609999999999</v>
      </c>
      <c r="AJ8" s="41" t="n">
        <f aca="false">2*$AK$4</f>
        <v>2</v>
      </c>
      <c r="AK8" s="43" t="n">
        <f aca="false">INDEX('Snowball Schedule'!$AG$6:$AG$366,AJ8+1)</f>
        <v>12738.8</v>
      </c>
      <c r="AL8" s="43" t="n">
        <f aca="false">INDEX('Avalanche Schedule'!$AG$6:$AG$366,AJ8+1)</f>
        <v>12738.8</v>
      </c>
    </row>
    <row r="9" customFormat="false" ht="15" hidden="false" customHeight="false" outlineLevel="0" collapsed="false">
      <c r="A9" s="40" t="n">
        <f aca="false">DATE(YEAR('Start Here'!$C$6),MONTH('Start Here'!$C$6)+2,1)</f>
        <v>46357</v>
      </c>
      <c r="B9" s="39" t="n">
        <f aca="false">ROUND(V8*(1+N('My Debts'!$D$6)/12),2)</f>
        <v>0</v>
      </c>
      <c r="C9" s="39" t="n">
        <f aca="false">ROUND(W8*(1+N('My Debts'!$D$7)/12),2)</f>
        <v>3461.08</v>
      </c>
      <c r="D9" s="39" t="n">
        <f aca="false">ROUND(X8*(1+N('My Debts'!$D$8)/12),2)</f>
        <v>9395.1</v>
      </c>
      <c r="E9" s="39" t="n">
        <f aca="false">ROUND(Y8*(1+N('My Debts'!$D$9)/12),2)</f>
        <v>0</v>
      </c>
      <c r="F9" s="39" t="n">
        <f aca="false">ROUND(Z8*(1+N('My Debts'!$D$10)/12),2)</f>
        <v>0</v>
      </c>
      <c r="G9" s="39" t="n">
        <f aca="false">ROUND(AA8*(1+N('My Debts'!$D$11)/12),2)</f>
        <v>0</v>
      </c>
      <c r="H9" s="39" t="n">
        <f aca="false">ROUND(AB8*(1+N('My Debts'!$D$12)/12),2)</f>
        <v>0</v>
      </c>
      <c r="I9" s="39" t="n">
        <f aca="false">ROUND(AC8*(1+N('My Debts'!$D$13)/12),2)</f>
        <v>0</v>
      </c>
      <c r="J9" s="39" t="n">
        <f aca="false">ROUND(AD8*(1+N('My Debts'!$D$14)/12),2)</f>
        <v>0</v>
      </c>
      <c r="K9" s="39" t="n">
        <f aca="false">ROUND(AE8*(1+N('My Debts'!$D$15)/12),2)</f>
        <v>0</v>
      </c>
      <c r="L9" s="39" t="n">
        <f aca="false">MIN(N('My Debts'!$E$6),B9)</f>
        <v>0</v>
      </c>
      <c r="M9" s="39" t="n">
        <f aca="false">MIN(N('My Debts'!$E$7),C9)</f>
        <v>110</v>
      </c>
      <c r="N9" s="39" t="n">
        <f aca="false">MIN(N('My Debts'!$E$8),D9)</f>
        <v>285</v>
      </c>
      <c r="O9" s="39" t="n">
        <f aca="false">MIN(N('My Debts'!$E$9),E9)</f>
        <v>0</v>
      </c>
      <c r="P9" s="39" t="n">
        <f aca="false">MIN(N('My Debts'!$E$10),F9)</f>
        <v>0</v>
      </c>
      <c r="Q9" s="39" t="n">
        <f aca="false">MIN(N('My Debts'!$E$11),G9)</f>
        <v>0</v>
      </c>
      <c r="R9" s="39" t="n">
        <f aca="false">MIN(N('My Debts'!$E$12),H9)</f>
        <v>0</v>
      </c>
      <c r="S9" s="39" t="n">
        <f aca="false">MIN(N('My Debts'!$E$13),I9)</f>
        <v>0</v>
      </c>
      <c r="T9" s="39" t="n">
        <f aca="false">MIN(N('My Debts'!$E$14),J9)</f>
        <v>0</v>
      </c>
      <c r="U9" s="39" t="n">
        <f aca="false">MIN(N('My Debts'!$E$15),K9)</f>
        <v>0</v>
      </c>
      <c r="V9" s="39" t="n">
        <f aca="false">ROUND(B9-L9-MIN(B9-L9,MAX(0,$AF9-SUMPRODUCT(--($B$4:$K$4&lt;B$4),$B9:$K9-$L9:$U9))),2)</f>
        <v>0</v>
      </c>
      <c r="W9" s="39" t="n">
        <f aca="false">ROUND(C9-M9-MIN(C9-M9,MAX(0,$AF9-SUMPRODUCT(--($B$4:$K$4&lt;C$4),$B9:$K9-$L9:$U9))),2)</f>
        <v>2546.08</v>
      </c>
      <c r="X9" s="39" t="n">
        <f aca="false">ROUND(D9-N9-MIN(D9-N9,MAX(0,$AF9-SUMPRODUCT(--($B$4:$K$4&lt;D$4),$B9:$K9-$L9:$U9))),2)</f>
        <v>9110.1</v>
      </c>
      <c r="Y9" s="39" t="n">
        <f aca="false">ROUND(E9-O9-MIN(E9-O9,MAX(0,$AF9-SUMPRODUCT(--($B$4:$K$4&lt;E$4),$B9:$K9-$L9:$U9))),2)</f>
        <v>0</v>
      </c>
      <c r="Z9" s="39" t="n">
        <f aca="false">ROUND(F9-P9-MIN(F9-P9,MAX(0,$AF9-SUMPRODUCT(--($B$4:$K$4&lt;F$4),$B9:$K9-$L9:$U9))),2)</f>
        <v>0</v>
      </c>
      <c r="AA9" s="39" t="n">
        <f aca="false">ROUND(G9-Q9-MIN(G9-Q9,MAX(0,$AF9-SUMPRODUCT(--($B$4:$K$4&lt;G$4),$B9:$K9-$L9:$U9))),2)</f>
        <v>0</v>
      </c>
      <c r="AB9" s="39" t="n">
        <f aca="false">ROUND(H9-R9-MIN(H9-R9,MAX(0,$AF9-SUMPRODUCT(--($B$4:$K$4&lt;H$4),$B9:$K9-$L9:$U9))),2)</f>
        <v>0</v>
      </c>
      <c r="AC9" s="39" t="n">
        <f aca="false">ROUND(I9-S9-MIN(I9-S9,MAX(0,$AF9-SUMPRODUCT(--($B$4:$K$4&lt;I$4),$B9:$K9-$L9:$U9))),2)</f>
        <v>0</v>
      </c>
      <c r="AD9" s="39" t="n">
        <f aca="false">ROUND(J9-T9-MIN(J9-T9,MAX(0,$AF9-SUMPRODUCT(--($B$4:$K$4&lt;J$4),$B9:$K9-$L9:$U9))),2)</f>
        <v>0</v>
      </c>
      <c r="AE9" s="39" t="n">
        <f aca="false">ROUND(K9-U9-MIN(K9-U9,MAX(0,$AF9-SUMPRODUCT(--($B$4:$K$4&lt;K$4),$B9:$K9-$L9:$U9))),2)</f>
        <v>0</v>
      </c>
      <c r="AF9" s="39" t="n">
        <f aca="false">MAX(0,'Start Here'!$C$5-SUM($L9:$U9))</f>
        <v>805</v>
      </c>
      <c r="AG9" s="39" t="n">
        <f aca="false">SUM(V9:AE9)</f>
        <v>11656.18</v>
      </c>
      <c r="AH9" s="39" t="n">
        <f aca="false">SUM(B9:K9)-AG8</f>
        <v>117.380000000001</v>
      </c>
      <c r="AJ9" s="41" t="n">
        <f aca="false">3*$AK$4</f>
        <v>3</v>
      </c>
      <c r="AK9" s="43" t="n">
        <f aca="false">INDEX('Snowball Schedule'!$AG$6:$AG$366,AJ9+1)</f>
        <v>11656.18</v>
      </c>
      <c r="AL9" s="43" t="n">
        <f aca="false">INDEX('Avalanche Schedule'!$AG$6:$AG$366,AJ9+1)</f>
        <v>11656.18</v>
      </c>
    </row>
    <row r="10" customFormat="false" ht="15" hidden="false" customHeight="false" outlineLevel="0" collapsed="false">
      <c r="A10" s="40" t="n">
        <f aca="false">DATE(YEAR('Start Here'!$C$6),MONTH('Start Here'!$C$6)+3,1)</f>
        <v>46388</v>
      </c>
      <c r="B10" s="39" t="n">
        <f aca="false">ROUND(V9*(1+N('My Debts'!$D$6)/12),2)</f>
        <v>0</v>
      </c>
      <c r="C10" s="39" t="n">
        <f aca="false">ROUND(W9*(1+N('My Debts'!$D$7)/12),2)</f>
        <v>2593.8</v>
      </c>
      <c r="D10" s="39" t="n">
        <f aca="false">ROUND(X9*(1+N('My Debts'!$D$8)/12),2)</f>
        <v>9162.48</v>
      </c>
      <c r="E10" s="39" t="n">
        <f aca="false">ROUND(Y9*(1+N('My Debts'!$D$9)/12),2)</f>
        <v>0</v>
      </c>
      <c r="F10" s="39" t="n">
        <f aca="false">ROUND(Z9*(1+N('My Debts'!$D$10)/12),2)</f>
        <v>0</v>
      </c>
      <c r="G10" s="39" t="n">
        <f aca="false">ROUND(AA9*(1+N('My Debts'!$D$11)/12),2)</f>
        <v>0</v>
      </c>
      <c r="H10" s="39" t="n">
        <f aca="false">ROUND(AB9*(1+N('My Debts'!$D$12)/12),2)</f>
        <v>0</v>
      </c>
      <c r="I10" s="39" t="n">
        <f aca="false">ROUND(AC9*(1+N('My Debts'!$D$13)/12),2)</f>
        <v>0</v>
      </c>
      <c r="J10" s="39" t="n">
        <f aca="false">ROUND(AD9*(1+N('My Debts'!$D$14)/12),2)</f>
        <v>0</v>
      </c>
      <c r="K10" s="39" t="n">
        <f aca="false">ROUND(AE9*(1+N('My Debts'!$D$15)/12),2)</f>
        <v>0</v>
      </c>
      <c r="L10" s="39" t="n">
        <f aca="false">MIN(N('My Debts'!$E$6),B10)</f>
        <v>0</v>
      </c>
      <c r="M10" s="39" t="n">
        <f aca="false">MIN(N('My Debts'!$E$7),C10)</f>
        <v>110</v>
      </c>
      <c r="N10" s="39" t="n">
        <f aca="false">MIN(N('My Debts'!$E$8),D10)</f>
        <v>285</v>
      </c>
      <c r="O10" s="39" t="n">
        <f aca="false">MIN(N('My Debts'!$E$9),E10)</f>
        <v>0</v>
      </c>
      <c r="P10" s="39" t="n">
        <f aca="false">MIN(N('My Debts'!$E$10),F10)</f>
        <v>0</v>
      </c>
      <c r="Q10" s="39" t="n">
        <f aca="false">MIN(N('My Debts'!$E$11),G10)</f>
        <v>0</v>
      </c>
      <c r="R10" s="39" t="n">
        <f aca="false">MIN(N('My Debts'!$E$12),H10)</f>
        <v>0</v>
      </c>
      <c r="S10" s="39" t="n">
        <f aca="false">MIN(N('My Debts'!$E$13),I10)</f>
        <v>0</v>
      </c>
      <c r="T10" s="39" t="n">
        <f aca="false">MIN(N('My Debts'!$E$14),J10)</f>
        <v>0</v>
      </c>
      <c r="U10" s="39" t="n">
        <f aca="false">MIN(N('My Debts'!$E$15),K10)</f>
        <v>0</v>
      </c>
      <c r="V10" s="39" t="n">
        <f aca="false">ROUND(B10-L10-MIN(B10-L10,MAX(0,$AF10-SUMPRODUCT(--($B$4:$K$4&lt;B$4),$B10:$K10-$L10:$U10))),2)</f>
        <v>0</v>
      </c>
      <c r="W10" s="39" t="n">
        <f aca="false">ROUND(C10-M10-MIN(C10-M10,MAX(0,$AF10-SUMPRODUCT(--($B$4:$K$4&lt;C$4),$B10:$K10-$L10:$U10))),2)</f>
        <v>1678.8</v>
      </c>
      <c r="X10" s="39" t="n">
        <f aca="false">ROUND(D10-N10-MIN(D10-N10,MAX(0,$AF10-SUMPRODUCT(--($B$4:$K$4&lt;D$4),$B10:$K10-$L10:$U10))),2)</f>
        <v>8877.48</v>
      </c>
      <c r="Y10" s="39" t="n">
        <f aca="false">ROUND(E10-O10-MIN(E10-O10,MAX(0,$AF10-SUMPRODUCT(--($B$4:$K$4&lt;E$4),$B10:$K10-$L10:$U10))),2)</f>
        <v>0</v>
      </c>
      <c r="Z10" s="39" t="n">
        <f aca="false">ROUND(F10-P10-MIN(F10-P10,MAX(0,$AF10-SUMPRODUCT(--($B$4:$K$4&lt;F$4),$B10:$K10-$L10:$U10))),2)</f>
        <v>0</v>
      </c>
      <c r="AA10" s="39" t="n">
        <f aca="false">ROUND(G10-Q10-MIN(G10-Q10,MAX(0,$AF10-SUMPRODUCT(--($B$4:$K$4&lt;G$4),$B10:$K10-$L10:$U10))),2)</f>
        <v>0</v>
      </c>
      <c r="AB10" s="39" t="n">
        <f aca="false">ROUND(H10-R10-MIN(H10-R10,MAX(0,$AF10-SUMPRODUCT(--($B$4:$K$4&lt;H$4),$B10:$K10-$L10:$U10))),2)</f>
        <v>0</v>
      </c>
      <c r="AC10" s="39" t="n">
        <f aca="false">ROUND(I10-S10-MIN(I10-S10,MAX(0,$AF10-SUMPRODUCT(--($B$4:$K$4&lt;I$4),$B10:$K10-$L10:$U10))),2)</f>
        <v>0</v>
      </c>
      <c r="AD10" s="39" t="n">
        <f aca="false">ROUND(J10-T10-MIN(J10-T10,MAX(0,$AF10-SUMPRODUCT(--($B$4:$K$4&lt;J$4),$B10:$K10-$L10:$U10))),2)</f>
        <v>0</v>
      </c>
      <c r="AE10" s="39" t="n">
        <f aca="false">ROUND(K10-U10-MIN(K10-U10,MAX(0,$AF10-SUMPRODUCT(--($B$4:$K$4&lt;K$4),$B10:$K10-$L10:$U10))),2)</f>
        <v>0</v>
      </c>
      <c r="AF10" s="39" t="n">
        <f aca="false">MAX(0,'Start Here'!$C$5-SUM($L10:$U10))</f>
        <v>805</v>
      </c>
      <c r="AG10" s="39" t="n">
        <f aca="false">SUM(V10:AE10)</f>
        <v>10556.28</v>
      </c>
      <c r="AH10" s="39" t="n">
        <f aca="false">SUM(B10:K10)-AG9</f>
        <v>100.099999999999</v>
      </c>
      <c r="AJ10" s="41" t="n">
        <f aca="false">4*$AK$4</f>
        <v>4</v>
      </c>
      <c r="AK10" s="43" t="n">
        <f aca="false">INDEX('Snowball Schedule'!$AG$6:$AG$366,AJ10+1)</f>
        <v>10556.28</v>
      </c>
      <c r="AL10" s="43" t="n">
        <f aca="false">INDEX('Avalanche Schedule'!$AG$6:$AG$366,AJ10+1)</f>
        <v>10556.28</v>
      </c>
    </row>
    <row r="11" customFormat="false" ht="15" hidden="false" customHeight="false" outlineLevel="0" collapsed="false">
      <c r="A11" s="40" t="n">
        <f aca="false">DATE(YEAR('Start Here'!$C$6),MONTH('Start Here'!$C$6)+4,1)</f>
        <v>46419</v>
      </c>
      <c r="B11" s="39" t="n">
        <f aca="false">ROUND(V10*(1+N('My Debts'!$D$6)/12),2)</f>
        <v>0</v>
      </c>
      <c r="C11" s="39" t="n">
        <f aca="false">ROUND(W10*(1+N('My Debts'!$D$7)/12),2)</f>
        <v>1710.26</v>
      </c>
      <c r="D11" s="39" t="n">
        <f aca="false">ROUND(X10*(1+N('My Debts'!$D$8)/12),2)</f>
        <v>8928.53</v>
      </c>
      <c r="E11" s="39" t="n">
        <f aca="false">ROUND(Y10*(1+N('My Debts'!$D$9)/12),2)</f>
        <v>0</v>
      </c>
      <c r="F11" s="39" t="n">
        <f aca="false">ROUND(Z10*(1+N('My Debts'!$D$10)/12),2)</f>
        <v>0</v>
      </c>
      <c r="G11" s="39" t="n">
        <f aca="false">ROUND(AA10*(1+N('My Debts'!$D$11)/12),2)</f>
        <v>0</v>
      </c>
      <c r="H11" s="39" t="n">
        <f aca="false">ROUND(AB10*(1+N('My Debts'!$D$12)/12),2)</f>
        <v>0</v>
      </c>
      <c r="I11" s="39" t="n">
        <f aca="false">ROUND(AC10*(1+N('My Debts'!$D$13)/12),2)</f>
        <v>0</v>
      </c>
      <c r="J11" s="39" t="n">
        <f aca="false">ROUND(AD10*(1+N('My Debts'!$D$14)/12),2)</f>
        <v>0</v>
      </c>
      <c r="K11" s="39" t="n">
        <f aca="false">ROUND(AE10*(1+N('My Debts'!$D$15)/12),2)</f>
        <v>0</v>
      </c>
      <c r="L11" s="39" t="n">
        <f aca="false">MIN(N('My Debts'!$E$6),B11)</f>
        <v>0</v>
      </c>
      <c r="M11" s="39" t="n">
        <f aca="false">MIN(N('My Debts'!$E$7),C11)</f>
        <v>110</v>
      </c>
      <c r="N11" s="39" t="n">
        <f aca="false">MIN(N('My Debts'!$E$8),D11)</f>
        <v>285</v>
      </c>
      <c r="O11" s="39" t="n">
        <f aca="false">MIN(N('My Debts'!$E$9),E11)</f>
        <v>0</v>
      </c>
      <c r="P11" s="39" t="n">
        <f aca="false">MIN(N('My Debts'!$E$10),F11)</f>
        <v>0</v>
      </c>
      <c r="Q11" s="39" t="n">
        <f aca="false">MIN(N('My Debts'!$E$11),G11)</f>
        <v>0</v>
      </c>
      <c r="R11" s="39" t="n">
        <f aca="false">MIN(N('My Debts'!$E$12),H11)</f>
        <v>0</v>
      </c>
      <c r="S11" s="39" t="n">
        <f aca="false">MIN(N('My Debts'!$E$13),I11)</f>
        <v>0</v>
      </c>
      <c r="T11" s="39" t="n">
        <f aca="false">MIN(N('My Debts'!$E$14),J11)</f>
        <v>0</v>
      </c>
      <c r="U11" s="39" t="n">
        <f aca="false">MIN(N('My Debts'!$E$15),K11)</f>
        <v>0</v>
      </c>
      <c r="V11" s="39" t="n">
        <f aca="false">ROUND(B11-L11-MIN(B11-L11,MAX(0,$AF11-SUMPRODUCT(--($B$4:$K$4&lt;B$4),$B11:$K11-$L11:$U11))),2)</f>
        <v>0</v>
      </c>
      <c r="W11" s="39" t="n">
        <f aca="false">ROUND(C11-M11-MIN(C11-M11,MAX(0,$AF11-SUMPRODUCT(--($B$4:$K$4&lt;C$4),$B11:$K11-$L11:$U11))),2)</f>
        <v>795.26</v>
      </c>
      <c r="X11" s="39" t="n">
        <f aca="false">ROUND(D11-N11-MIN(D11-N11,MAX(0,$AF11-SUMPRODUCT(--($B$4:$K$4&lt;D$4),$B11:$K11-$L11:$U11))),2)</f>
        <v>8643.53</v>
      </c>
      <c r="Y11" s="39" t="n">
        <f aca="false">ROUND(E11-O11-MIN(E11-O11,MAX(0,$AF11-SUMPRODUCT(--($B$4:$K$4&lt;E$4),$B11:$K11-$L11:$U11))),2)</f>
        <v>0</v>
      </c>
      <c r="Z11" s="39" t="n">
        <f aca="false">ROUND(F11-P11-MIN(F11-P11,MAX(0,$AF11-SUMPRODUCT(--($B$4:$K$4&lt;F$4),$B11:$K11-$L11:$U11))),2)</f>
        <v>0</v>
      </c>
      <c r="AA11" s="39" t="n">
        <f aca="false">ROUND(G11-Q11-MIN(G11-Q11,MAX(0,$AF11-SUMPRODUCT(--($B$4:$K$4&lt;G$4),$B11:$K11-$L11:$U11))),2)</f>
        <v>0</v>
      </c>
      <c r="AB11" s="39" t="n">
        <f aca="false">ROUND(H11-R11-MIN(H11-R11,MAX(0,$AF11-SUMPRODUCT(--($B$4:$K$4&lt;H$4),$B11:$K11-$L11:$U11))),2)</f>
        <v>0</v>
      </c>
      <c r="AC11" s="39" t="n">
        <f aca="false">ROUND(I11-S11-MIN(I11-S11,MAX(0,$AF11-SUMPRODUCT(--($B$4:$K$4&lt;I$4),$B11:$K11-$L11:$U11))),2)</f>
        <v>0</v>
      </c>
      <c r="AD11" s="39" t="n">
        <f aca="false">ROUND(J11-T11-MIN(J11-T11,MAX(0,$AF11-SUMPRODUCT(--($B$4:$K$4&lt;J$4),$B11:$K11-$L11:$U11))),2)</f>
        <v>0</v>
      </c>
      <c r="AE11" s="39" t="n">
        <f aca="false">ROUND(K11-U11-MIN(K11-U11,MAX(0,$AF11-SUMPRODUCT(--($B$4:$K$4&lt;K$4),$B11:$K11-$L11:$U11))),2)</f>
        <v>0</v>
      </c>
      <c r="AF11" s="39" t="n">
        <f aca="false">MAX(0,'Start Here'!$C$5-SUM($L11:$U11))</f>
        <v>805</v>
      </c>
      <c r="AG11" s="39" t="n">
        <f aca="false">SUM(V11:AE11)</f>
        <v>9438.79</v>
      </c>
      <c r="AH11" s="39" t="n">
        <f aca="false">SUM(B11:K11)-AG10</f>
        <v>82.510000000002</v>
      </c>
      <c r="AJ11" s="41" t="n">
        <f aca="false">5*$AK$4</f>
        <v>5</v>
      </c>
      <c r="AK11" s="43" t="n">
        <f aca="false">INDEX('Snowball Schedule'!$AG$6:$AG$366,AJ11+1)</f>
        <v>9438.79</v>
      </c>
      <c r="AL11" s="43" t="n">
        <f aca="false">INDEX('Avalanche Schedule'!$AG$6:$AG$366,AJ11+1)</f>
        <v>9438.79</v>
      </c>
    </row>
    <row r="12" customFormat="false" ht="15" hidden="false" customHeight="false" outlineLevel="0" collapsed="false">
      <c r="A12" s="40" t="n">
        <f aca="false">DATE(YEAR('Start Here'!$C$6),MONTH('Start Here'!$C$6)+5,1)</f>
        <v>46447</v>
      </c>
      <c r="B12" s="39" t="n">
        <f aca="false">ROUND(V11*(1+N('My Debts'!$D$6)/12),2)</f>
        <v>0</v>
      </c>
      <c r="C12" s="39" t="n">
        <f aca="false">ROUND(W11*(1+N('My Debts'!$D$7)/12),2)</f>
        <v>810.16</v>
      </c>
      <c r="D12" s="39" t="n">
        <f aca="false">ROUND(X11*(1+N('My Debts'!$D$8)/12),2)</f>
        <v>8693.23</v>
      </c>
      <c r="E12" s="39" t="n">
        <f aca="false">ROUND(Y11*(1+N('My Debts'!$D$9)/12),2)</f>
        <v>0</v>
      </c>
      <c r="F12" s="39" t="n">
        <f aca="false">ROUND(Z11*(1+N('My Debts'!$D$10)/12),2)</f>
        <v>0</v>
      </c>
      <c r="G12" s="39" t="n">
        <f aca="false">ROUND(AA11*(1+N('My Debts'!$D$11)/12),2)</f>
        <v>0</v>
      </c>
      <c r="H12" s="39" t="n">
        <f aca="false">ROUND(AB11*(1+N('My Debts'!$D$12)/12),2)</f>
        <v>0</v>
      </c>
      <c r="I12" s="39" t="n">
        <f aca="false">ROUND(AC11*(1+N('My Debts'!$D$13)/12),2)</f>
        <v>0</v>
      </c>
      <c r="J12" s="39" t="n">
        <f aca="false">ROUND(AD11*(1+N('My Debts'!$D$14)/12),2)</f>
        <v>0</v>
      </c>
      <c r="K12" s="39" t="n">
        <f aca="false">ROUND(AE11*(1+N('My Debts'!$D$15)/12),2)</f>
        <v>0</v>
      </c>
      <c r="L12" s="39" t="n">
        <f aca="false">MIN(N('My Debts'!$E$6),B12)</f>
        <v>0</v>
      </c>
      <c r="M12" s="39" t="n">
        <f aca="false">MIN(N('My Debts'!$E$7),C12)</f>
        <v>110</v>
      </c>
      <c r="N12" s="39" t="n">
        <f aca="false">MIN(N('My Debts'!$E$8),D12)</f>
        <v>285</v>
      </c>
      <c r="O12" s="39" t="n">
        <f aca="false">MIN(N('My Debts'!$E$9),E12)</f>
        <v>0</v>
      </c>
      <c r="P12" s="39" t="n">
        <f aca="false">MIN(N('My Debts'!$E$10),F12)</f>
        <v>0</v>
      </c>
      <c r="Q12" s="39" t="n">
        <f aca="false">MIN(N('My Debts'!$E$11),G12)</f>
        <v>0</v>
      </c>
      <c r="R12" s="39" t="n">
        <f aca="false">MIN(N('My Debts'!$E$12),H12)</f>
        <v>0</v>
      </c>
      <c r="S12" s="39" t="n">
        <f aca="false">MIN(N('My Debts'!$E$13),I12)</f>
        <v>0</v>
      </c>
      <c r="T12" s="39" t="n">
        <f aca="false">MIN(N('My Debts'!$E$14),J12)</f>
        <v>0</v>
      </c>
      <c r="U12" s="39" t="n">
        <f aca="false">MIN(N('My Debts'!$E$15),K12)</f>
        <v>0</v>
      </c>
      <c r="V12" s="39" t="n">
        <f aca="false">ROUND(B12-L12-MIN(B12-L12,MAX(0,$AF12-SUMPRODUCT(--($B$4:$K$4&lt;B$4),$B12:$K12-$L12:$U12))),2)</f>
        <v>0</v>
      </c>
      <c r="W12" s="39" t="n">
        <f aca="false">ROUND(C12-M12-MIN(C12-M12,MAX(0,$AF12-SUMPRODUCT(--($B$4:$K$4&lt;C$4),$B12:$K12-$L12:$U12))),2)</f>
        <v>0</v>
      </c>
      <c r="X12" s="39" t="n">
        <f aca="false">ROUND(D12-N12-MIN(D12-N12,MAX(0,$AF12-SUMPRODUCT(--($B$4:$K$4&lt;D$4),$B12:$K12-$L12:$U12))),2)</f>
        <v>8303.39</v>
      </c>
      <c r="Y12" s="39" t="n">
        <f aca="false">ROUND(E12-O12-MIN(E12-O12,MAX(0,$AF12-SUMPRODUCT(--($B$4:$K$4&lt;E$4),$B12:$K12-$L12:$U12))),2)</f>
        <v>0</v>
      </c>
      <c r="Z12" s="39" t="n">
        <f aca="false">ROUND(F12-P12-MIN(F12-P12,MAX(0,$AF12-SUMPRODUCT(--($B$4:$K$4&lt;F$4),$B12:$K12-$L12:$U12))),2)</f>
        <v>0</v>
      </c>
      <c r="AA12" s="39" t="n">
        <f aca="false">ROUND(G12-Q12-MIN(G12-Q12,MAX(0,$AF12-SUMPRODUCT(--($B$4:$K$4&lt;G$4),$B12:$K12-$L12:$U12))),2)</f>
        <v>0</v>
      </c>
      <c r="AB12" s="39" t="n">
        <f aca="false">ROUND(H12-R12-MIN(H12-R12,MAX(0,$AF12-SUMPRODUCT(--($B$4:$K$4&lt;H$4),$B12:$K12-$L12:$U12))),2)</f>
        <v>0</v>
      </c>
      <c r="AC12" s="39" t="n">
        <f aca="false">ROUND(I12-S12-MIN(I12-S12,MAX(0,$AF12-SUMPRODUCT(--($B$4:$K$4&lt;I$4),$B12:$K12-$L12:$U12))),2)</f>
        <v>0</v>
      </c>
      <c r="AD12" s="39" t="n">
        <f aca="false">ROUND(J12-T12-MIN(J12-T12,MAX(0,$AF12-SUMPRODUCT(--($B$4:$K$4&lt;J$4),$B12:$K12-$L12:$U12))),2)</f>
        <v>0</v>
      </c>
      <c r="AE12" s="39" t="n">
        <f aca="false">ROUND(K12-U12-MIN(K12-U12,MAX(0,$AF12-SUMPRODUCT(--($B$4:$K$4&lt;K$4),$B12:$K12-$L12:$U12))),2)</f>
        <v>0</v>
      </c>
      <c r="AF12" s="39" t="n">
        <f aca="false">MAX(0,'Start Here'!$C$5-SUM($L12:$U12))</f>
        <v>805</v>
      </c>
      <c r="AG12" s="39" t="n">
        <f aca="false">SUM(V12:AE12)</f>
        <v>8303.39</v>
      </c>
      <c r="AH12" s="39" t="n">
        <f aca="false">SUM(B12:K12)-AG11</f>
        <v>64.5999999999985</v>
      </c>
      <c r="AJ12" s="41" t="n">
        <f aca="false">6*$AK$4</f>
        <v>6</v>
      </c>
      <c r="AK12" s="43" t="n">
        <f aca="false">INDEX('Snowball Schedule'!$AG$6:$AG$366,AJ12+1)</f>
        <v>8303.39</v>
      </c>
      <c r="AL12" s="43" t="n">
        <f aca="false">INDEX('Avalanche Schedule'!$AG$6:$AG$366,AJ12+1)</f>
        <v>8303.39</v>
      </c>
    </row>
    <row r="13" customFormat="false" ht="15" hidden="false" customHeight="false" outlineLevel="0" collapsed="false">
      <c r="A13" s="40" t="n">
        <f aca="false">DATE(YEAR('Start Here'!$C$6),MONTH('Start Here'!$C$6)+6,1)</f>
        <v>46478</v>
      </c>
      <c r="B13" s="39" t="n">
        <f aca="false">ROUND(V12*(1+N('My Debts'!$D$6)/12),2)</f>
        <v>0</v>
      </c>
      <c r="C13" s="39" t="n">
        <f aca="false">ROUND(W12*(1+N('My Debts'!$D$7)/12),2)</f>
        <v>0</v>
      </c>
      <c r="D13" s="39" t="n">
        <f aca="false">ROUND(X12*(1+N('My Debts'!$D$8)/12),2)</f>
        <v>8351.13</v>
      </c>
      <c r="E13" s="39" t="n">
        <f aca="false">ROUND(Y12*(1+N('My Debts'!$D$9)/12),2)</f>
        <v>0</v>
      </c>
      <c r="F13" s="39" t="n">
        <f aca="false">ROUND(Z12*(1+N('My Debts'!$D$10)/12),2)</f>
        <v>0</v>
      </c>
      <c r="G13" s="39" t="n">
        <f aca="false">ROUND(AA12*(1+N('My Debts'!$D$11)/12),2)</f>
        <v>0</v>
      </c>
      <c r="H13" s="39" t="n">
        <f aca="false">ROUND(AB12*(1+N('My Debts'!$D$12)/12),2)</f>
        <v>0</v>
      </c>
      <c r="I13" s="39" t="n">
        <f aca="false">ROUND(AC12*(1+N('My Debts'!$D$13)/12),2)</f>
        <v>0</v>
      </c>
      <c r="J13" s="39" t="n">
        <f aca="false">ROUND(AD12*(1+N('My Debts'!$D$14)/12),2)</f>
        <v>0</v>
      </c>
      <c r="K13" s="39" t="n">
        <f aca="false">ROUND(AE12*(1+N('My Debts'!$D$15)/12),2)</f>
        <v>0</v>
      </c>
      <c r="L13" s="39" t="n">
        <f aca="false">MIN(N('My Debts'!$E$6),B13)</f>
        <v>0</v>
      </c>
      <c r="M13" s="39" t="n">
        <f aca="false">MIN(N('My Debts'!$E$7),C13)</f>
        <v>0</v>
      </c>
      <c r="N13" s="39" t="n">
        <f aca="false">MIN(N('My Debts'!$E$8),D13)</f>
        <v>285</v>
      </c>
      <c r="O13" s="39" t="n">
        <f aca="false">MIN(N('My Debts'!$E$9),E13)</f>
        <v>0</v>
      </c>
      <c r="P13" s="39" t="n">
        <f aca="false">MIN(N('My Debts'!$E$10),F13)</f>
        <v>0</v>
      </c>
      <c r="Q13" s="39" t="n">
        <f aca="false">MIN(N('My Debts'!$E$11),G13)</f>
        <v>0</v>
      </c>
      <c r="R13" s="39" t="n">
        <f aca="false">MIN(N('My Debts'!$E$12),H13)</f>
        <v>0</v>
      </c>
      <c r="S13" s="39" t="n">
        <f aca="false">MIN(N('My Debts'!$E$13),I13)</f>
        <v>0</v>
      </c>
      <c r="T13" s="39" t="n">
        <f aca="false">MIN(N('My Debts'!$E$14),J13)</f>
        <v>0</v>
      </c>
      <c r="U13" s="39" t="n">
        <f aca="false">MIN(N('My Debts'!$E$15),K13)</f>
        <v>0</v>
      </c>
      <c r="V13" s="39" t="n">
        <f aca="false">ROUND(B13-L13-MIN(B13-L13,MAX(0,$AF13-SUMPRODUCT(--($B$4:$K$4&lt;B$4),$B13:$K13-$L13:$U13))),2)</f>
        <v>0</v>
      </c>
      <c r="W13" s="39" t="n">
        <f aca="false">ROUND(C13-M13-MIN(C13-M13,MAX(0,$AF13-SUMPRODUCT(--($B$4:$K$4&lt;C$4),$B13:$K13-$L13:$U13))),2)</f>
        <v>0</v>
      </c>
      <c r="X13" s="39" t="n">
        <f aca="false">ROUND(D13-N13-MIN(D13-N13,MAX(0,$AF13-SUMPRODUCT(--($B$4:$K$4&lt;D$4),$B13:$K13-$L13:$U13))),2)</f>
        <v>7151.13</v>
      </c>
      <c r="Y13" s="39" t="n">
        <f aca="false">ROUND(E13-O13-MIN(E13-O13,MAX(0,$AF13-SUMPRODUCT(--($B$4:$K$4&lt;E$4),$B13:$K13-$L13:$U13))),2)</f>
        <v>0</v>
      </c>
      <c r="Z13" s="39" t="n">
        <f aca="false">ROUND(F13-P13-MIN(F13-P13,MAX(0,$AF13-SUMPRODUCT(--($B$4:$K$4&lt;F$4),$B13:$K13-$L13:$U13))),2)</f>
        <v>0</v>
      </c>
      <c r="AA13" s="39" t="n">
        <f aca="false">ROUND(G13-Q13-MIN(G13-Q13,MAX(0,$AF13-SUMPRODUCT(--($B$4:$K$4&lt;G$4),$B13:$K13-$L13:$U13))),2)</f>
        <v>0</v>
      </c>
      <c r="AB13" s="39" t="n">
        <f aca="false">ROUND(H13-R13-MIN(H13-R13,MAX(0,$AF13-SUMPRODUCT(--($B$4:$K$4&lt;H$4),$B13:$K13-$L13:$U13))),2)</f>
        <v>0</v>
      </c>
      <c r="AC13" s="39" t="n">
        <f aca="false">ROUND(I13-S13-MIN(I13-S13,MAX(0,$AF13-SUMPRODUCT(--($B$4:$K$4&lt;I$4),$B13:$K13-$L13:$U13))),2)</f>
        <v>0</v>
      </c>
      <c r="AD13" s="39" t="n">
        <f aca="false">ROUND(J13-T13-MIN(J13-T13,MAX(0,$AF13-SUMPRODUCT(--($B$4:$K$4&lt;J$4),$B13:$K13-$L13:$U13))),2)</f>
        <v>0</v>
      </c>
      <c r="AE13" s="39" t="n">
        <f aca="false">ROUND(K13-U13-MIN(K13-U13,MAX(0,$AF13-SUMPRODUCT(--($B$4:$K$4&lt;K$4),$B13:$K13-$L13:$U13))),2)</f>
        <v>0</v>
      </c>
      <c r="AF13" s="39" t="n">
        <f aca="false">MAX(0,'Start Here'!$C$5-SUM($L13:$U13))</f>
        <v>915</v>
      </c>
      <c r="AG13" s="39" t="n">
        <f aca="false">SUM(V13:AE13)</f>
        <v>7151.13</v>
      </c>
      <c r="AH13" s="39" t="n">
        <f aca="false">SUM(B13:K13)-AG12</f>
        <v>47.7399999999998</v>
      </c>
      <c r="AJ13" s="41" t="n">
        <f aca="false">7*$AK$4</f>
        <v>7</v>
      </c>
      <c r="AK13" s="43" t="n">
        <f aca="false">INDEX('Snowball Schedule'!$AG$6:$AG$366,AJ13+1)</f>
        <v>7151.13</v>
      </c>
      <c r="AL13" s="43" t="n">
        <f aca="false">INDEX('Avalanche Schedule'!$AG$6:$AG$366,AJ13+1)</f>
        <v>7151.13</v>
      </c>
    </row>
    <row r="14" customFormat="false" ht="15" hidden="false" customHeight="false" outlineLevel="0" collapsed="false">
      <c r="A14" s="40" t="n">
        <f aca="false">DATE(YEAR('Start Here'!$C$6),MONTH('Start Here'!$C$6)+7,1)</f>
        <v>46508</v>
      </c>
      <c r="B14" s="39" t="n">
        <f aca="false">ROUND(V13*(1+N('My Debts'!$D$6)/12),2)</f>
        <v>0</v>
      </c>
      <c r="C14" s="39" t="n">
        <f aca="false">ROUND(W13*(1+N('My Debts'!$D$7)/12),2)</f>
        <v>0</v>
      </c>
      <c r="D14" s="39" t="n">
        <f aca="false">ROUND(X13*(1+N('My Debts'!$D$8)/12),2)</f>
        <v>7192.25</v>
      </c>
      <c r="E14" s="39" t="n">
        <f aca="false">ROUND(Y13*(1+N('My Debts'!$D$9)/12),2)</f>
        <v>0</v>
      </c>
      <c r="F14" s="39" t="n">
        <f aca="false">ROUND(Z13*(1+N('My Debts'!$D$10)/12),2)</f>
        <v>0</v>
      </c>
      <c r="G14" s="39" t="n">
        <f aca="false">ROUND(AA13*(1+N('My Debts'!$D$11)/12),2)</f>
        <v>0</v>
      </c>
      <c r="H14" s="39" t="n">
        <f aca="false">ROUND(AB13*(1+N('My Debts'!$D$12)/12),2)</f>
        <v>0</v>
      </c>
      <c r="I14" s="39" t="n">
        <f aca="false">ROUND(AC13*(1+N('My Debts'!$D$13)/12),2)</f>
        <v>0</v>
      </c>
      <c r="J14" s="39" t="n">
        <f aca="false">ROUND(AD13*(1+N('My Debts'!$D$14)/12),2)</f>
        <v>0</v>
      </c>
      <c r="K14" s="39" t="n">
        <f aca="false">ROUND(AE13*(1+N('My Debts'!$D$15)/12),2)</f>
        <v>0</v>
      </c>
      <c r="L14" s="39" t="n">
        <f aca="false">MIN(N('My Debts'!$E$6),B14)</f>
        <v>0</v>
      </c>
      <c r="M14" s="39" t="n">
        <f aca="false">MIN(N('My Debts'!$E$7),C14)</f>
        <v>0</v>
      </c>
      <c r="N14" s="39" t="n">
        <f aca="false">MIN(N('My Debts'!$E$8),D14)</f>
        <v>285</v>
      </c>
      <c r="O14" s="39" t="n">
        <f aca="false">MIN(N('My Debts'!$E$9),E14)</f>
        <v>0</v>
      </c>
      <c r="P14" s="39" t="n">
        <f aca="false">MIN(N('My Debts'!$E$10),F14)</f>
        <v>0</v>
      </c>
      <c r="Q14" s="39" t="n">
        <f aca="false">MIN(N('My Debts'!$E$11),G14)</f>
        <v>0</v>
      </c>
      <c r="R14" s="39" t="n">
        <f aca="false">MIN(N('My Debts'!$E$12),H14)</f>
        <v>0</v>
      </c>
      <c r="S14" s="39" t="n">
        <f aca="false">MIN(N('My Debts'!$E$13),I14)</f>
        <v>0</v>
      </c>
      <c r="T14" s="39" t="n">
        <f aca="false">MIN(N('My Debts'!$E$14),J14)</f>
        <v>0</v>
      </c>
      <c r="U14" s="39" t="n">
        <f aca="false">MIN(N('My Debts'!$E$15),K14)</f>
        <v>0</v>
      </c>
      <c r="V14" s="39" t="n">
        <f aca="false">ROUND(B14-L14-MIN(B14-L14,MAX(0,$AF14-SUMPRODUCT(--($B$4:$K$4&lt;B$4),$B14:$K14-$L14:$U14))),2)</f>
        <v>0</v>
      </c>
      <c r="W14" s="39" t="n">
        <f aca="false">ROUND(C14-M14-MIN(C14-M14,MAX(0,$AF14-SUMPRODUCT(--($B$4:$K$4&lt;C$4),$B14:$K14-$L14:$U14))),2)</f>
        <v>0</v>
      </c>
      <c r="X14" s="39" t="n">
        <f aca="false">ROUND(D14-N14-MIN(D14-N14,MAX(0,$AF14-SUMPRODUCT(--($B$4:$K$4&lt;D$4),$B14:$K14-$L14:$U14))),2)</f>
        <v>5992.25</v>
      </c>
      <c r="Y14" s="39" t="n">
        <f aca="false">ROUND(E14-O14-MIN(E14-O14,MAX(0,$AF14-SUMPRODUCT(--($B$4:$K$4&lt;E$4),$B14:$K14-$L14:$U14))),2)</f>
        <v>0</v>
      </c>
      <c r="Z14" s="39" t="n">
        <f aca="false">ROUND(F14-P14-MIN(F14-P14,MAX(0,$AF14-SUMPRODUCT(--($B$4:$K$4&lt;F$4),$B14:$K14-$L14:$U14))),2)</f>
        <v>0</v>
      </c>
      <c r="AA14" s="39" t="n">
        <f aca="false">ROUND(G14-Q14-MIN(G14-Q14,MAX(0,$AF14-SUMPRODUCT(--($B$4:$K$4&lt;G$4),$B14:$K14-$L14:$U14))),2)</f>
        <v>0</v>
      </c>
      <c r="AB14" s="39" t="n">
        <f aca="false">ROUND(H14-R14-MIN(H14-R14,MAX(0,$AF14-SUMPRODUCT(--($B$4:$K$4&lt;H$4),$B14:$K14-$L14:$U14))),2)</f>
        <v>0</v>
      </c>
      <c r="AC14" s="39" t="n">
        <f aca="false">ROUND(I14-S14-MIN(I14-S14,MAX(0,$AF14-SUMPRODUCT(--($B$4:$K$4&lt;I$4),$B14:$K14-$L14:$U14))),2)</f>
        <v>0</v>
      </c>
      <c r="AD14" s="39" t="n">
        <f aca="false">ROUND(J14-T14-MIN(J14-T14,MAX(0,$AF14-SUMPRODUCT(--($B$4:$K$4&lt;J$4),$B14:$K14-$L14:$U14))),2)</f>
        <v>0</v>
      </c>
      <c r="AE14" s="39" t="n">
        <f aca="false">ROUND(K14-U14-MIN(K14-U14,MAX(0,$AF14-SUMPRODUCT(--($B$4:$K$4&lt;K$4),$B14:$K14-$L14:$U14))),2)</f>
        <v>0</v>
      </c>
      <c r="AF14" s="39" t="n">
        <f aca="false">MAX(0,'Start Here'!$C$5-SUM($L14:$U14))</f>
        <v>915</v>
      </c>
      <c r="AG14" s="39" t="n">
        <f aca="false">SUM(V14:AE14)</f>
        <v>5992.25</v>
      </c>
      <c r="AH14" s="39" t="n">
        <f aca="false">SUM(B14:K14)-AG13</f>
        <v>41.1199999999999</v>
      </c>
      <c r="AJ14" s="41" t="n">
        <f aca="false">8*$AK$4</f>
        <v>8</v>
      </c>
      <c r="AK14" s="43" t="n">
        <f aca="false">INDEX('Snowball Schedule'!$AG$6:$AG$366,AJ14+1)</f>
        <v>5992.25</v>
      </c>
      <c r="AL14" s="43" t="n">
        <f aca="false">INDEX('Avalanche Schedule'!$AG$6:$AG$366,AJ14+1)</f>
        <v>5992.25</v>
      </c>
    </row>
    <row r="15" customFormat="false" ht="15" hidden="false" customHeight="false" outlineLevel="0" collapsed="false">
      <c r="A15" s="40" t="n">
        <f aca="false">DATE(YEAR('Start Here'!$C$6),MONTH('Start Here'!$C$6)+8,1)</f>
        <v>46539</v>
      </c>
      <c r="B15" s="39" t="n">
        <f aca="false">ROUND(V14*(1+N('My Debts'!$D$6)/12),2)</f>
        <v>0</v>
      </c>
      <c r="C15" s="39" t="n">
        <f aca="false">ROUND(W14*(1+N('My Debts'!$D$7)/12),2)</f>
        <v>0</v>
      </c>
      <c r="D15" s="39" t="n">
        <f aca="false">ROUND(X14*(1+N('My Debts'!$D$8)/12),2)</f>
        <v>6026.71</v>
      </c>
      <c r="E15" s="39" t="n">
        <f aca="false">ROUND(Y14*(1+N('My Debts'!$D$9)/12),2)</f>
        <v>0</v>
      </c>
      <c r="F15" s="39" t="n">
        <f aca="false">ROUND(Z14*(1+N('My Debts'!$D$10)/12),2)</f>
        <v>0</v>
      </c>
      <c r="G15" s="39" t="n">
        <f aca="false">ROUND(AA14*(1+N('My Debts'!$D$11)/12),2)</f>
        <v>0</v>
      </c>
      <c r="H15" s="39" t="n">
        <f aca="false">ROUND(AB14*(1+N('My Debts'!$D$12)/12),2)</f>
        <v>0</v>
      </c>
      <c r="I15" s="39" t="n">
        <f aca="false">ROUND(AC14*(1+N('My Debts'!$D$13)/12),2)</f>
        <v>0</v>
      </c>
      <c r="J15" s="39" t="n">
        <f aca="false">ROUND(AD14*(1+N('My Debts'!$D$14)/12),2)</f>
        <v>0</v>
      </c>
      <c r="K15" s="39" t="n">
        <f aca="false">ROUND(AE14*(1+N('My Debts'!$D$15)/12),2)</f>
        <v>0</v>
      </c>
      <c r="L15" s="39" t="n">
        <f aca="false">MIN(N('My Debts'!$E$6),B15)</f>
        <v>0</v>
      </c>
      <c r="M15" s="39" t="n">
        <f aca="false">MIN(N('My Debts'!$E$7),C15)</f>
        <v>0</v>
      </c>
      <c r="N15" s="39" t="n">
        <f aca="false">MIN(N('My Debts'!$E$8),D15)</f>
        <v>285</v>
      </c>
      <c r="O15" s="39" t="n">
        <f aca="false">MIN(N('My Debts'!$E$9),E15)</f>
        <v>0</v>
      </c>
      <c r="P15" s="39" t="n">
        <f aca="false">MIN(N('My Debts'!$E$10),F15)</f>
        <v>0</v>
      </c>
      <c r="Q15" s="39" t="n">
        <f aca="false">MIN(N('My Debts'!$E$11),G15)</f>
        <v>0</v>
      </c>
      <c r="R15" s="39" t="n">
        <f aca="false">MIN(N('My Debts'!$E$12),H15)</f>
        <v>0</v>
      </c>
      <c r="S15" s="39" t="n">
        <f aca="false">MIN(N('My Debts'!$E$13),I15)</f>
        <v>0</v>
      </c>
      <c r="T15" s="39" t="n">
        <f aca="false">MIN(N('My Debts'!$E$14),J15)</f>
        <v>0</v>
      </c>
      <c r="U15" s="39" t="n">
        <f aca="false">MIN(N('My Debts'!$E$15),K15)</f>
        <v>0</v>
      </c>
      <c r="V15" s="39" t="n">
        <f aca="false">ROUND(B15-L15-MIN(B15-L15,MAX(0,$AF15-SUMPRODUCT(--($B$4:$K$4&lt;B$4),$B15:$K15-$L15:$U15))),2)</f>
        <v>0</v>
      </c>
      <c r="W15" s="39" t="n">
        <f aca="false">ROUND(C15-M15-MIN(C15-M15,MAX(0,$AF15-SUMPRODUCT(--($B$4:$K$4&lt;C$4),$B15:$K15-$L15:$U15))),2)</f>
        <v>0</v>
      </c>
      <c r="X15" s="39" t="n">
        <f aca="false">ROUND(D15-N15-MIN(D15-N15,MAX(0,$AF15-SUMPRODUCT(--($B$4:$K$4&lt;D$4),$B15:$K15-$L15:$U15))),2)</f>
        <v>4826.71</v>
      </c>
      <c r="Y15" s="39" t="n">
        <f aca="false">ROUND(E15-O15-MIN(E15-O15,MAX(0,$AF15-SUMPRODUCT(--($B$4:$K$4&lt;E$4),$B15:$K15-$L15:$U15))),2)</f>
        <v>0</v>
      </c>
      <c r="Z15" s="39" t="n">
        <f aca="false">ROUND(F15-P15-MIN(F15-P15,MAX(0,$AF15-SUMPRODUCT(--($B$4:$K$4&lt;F$4),$B15:$K15-$L15:$U15))),2)</f>
        <v>0</v>
      </c>
      <c r="AA15" s="39" t="n">
        <f aca="false">ROUND(G15-Q15-MIN(G15-Q15,MAX(0,$AF15-SUMPRODUCT(--($B$4:$K$4&lt;G$4),$B15:$K15-$L15:$U15))),2)</f>
        <v>0</v>
      </c>
      <c r="AB15" s="39" t="n">
        <f aca="false">ROUND(H15-R15-MIN(H15-R15,MAX(0,$AF15-SUMPRODUCT(--($B$4:$K$4&lt;H$4),$B15:$K15-$L15:$U15))),2)</f>
        <v>0</v>
      </c>
      <c r="AC15" s="39" t="n">
        <f aca="false">ROUND(I15-S15-MIN(I15-S15,MAX(0,$AF15-SUMPRODUCT(--($B$4:$K$4&lt;I$4),$B15:$K15-$L15:$U15))),2)</f>
        <v>0</v>
      </c>
      <c r="AD15" s="39" t="n">
        <f aca="false">ROUND(J15-T15-MIN(J15-T15,MAX(0,$AF15-SUMPRODUCT(--($B$4:$K$4&lt;J$4),$B15:$K15-$L15:$U15))),2)</f>
        <v>0</v>
      </c>
      <c r="AE15" s="39" t="n">
        <f aca="false">ROUND(K15-U15-MIN(K15-U15,MAX(0,$AF15-SUMPRODUCT(--($B$4:$K$4&lt;K$4),$B15:$K15-$L15:$U15))),2)</f>
        <v>0</v>
      </c>
      <c r="AF15" s="39" t="n">
        <f aca="false">MAX(0,'Start Here'!$C$5-SUM($L15:$U15))</f>
        <v>915</v>
      </c>
      <c r="AG15" s="39" t="n">
        <f aca="false">SUM(V15:AE15)</f>
        <v>4826.71</v>
      </c>
      <c r="AH15" s="39" t="n">
        <f aca="false">SUM(B15:K15)-AG14</f>
        <v>34.46</v>
      </c>
      <c r="AJ15" s="41" t="n">
        <f aca="false">9*$AK$4</f>
        <v>9</v>
      </c>
      <c r="AK15" s="43" t="n">
        <f aca="false">INDEX('Snowball Schedule'!$AG$6:$AG$366,AJ15+1)</f>
        <v>4826.71</v>
      </c>
      <c r="AL15" s="43" t="n">
        <f aca="false">INDEX('Avalanche Schedule'!$AG$6:$AG$366,AJ15+1)</f>
        <v>4826.71</v>
      </c>
    </row>
    <row r="16" customFormat="false" ht="15" hidden="false" customHeight="false" outlineLevel="0" collapsed="false">
      <c r="A16" s="40" t="n">
        <f aca="false">DATE(YEAR('Start Here'!$C$6),MONTH('Start Here'!$C$6)+9,1)</f>
        <v>46569</v>
      </c>
      <c r="B16" s="39" t="n">
        <f aca="false">ROUND(V15*(1+N('My Debts'!$D$6)/12),2)</f>
        <v>0</v>
      </c>
      <c r="C16" s="39" t="n">
        <f aca="false">ROUND(W15*(1+N('My Debts'!$D$7)/12),2)</f>
        <v>0</v>
      </c>
      <c r="D16" s="39" t="n">
        <f aca="false">ROUND(X15*(1+N('My Debts'!$D$8)/12),2)</f>
        <v>4854.46</v>
      </c>
      <c r="E16" s="39" t="n">
        <f aca="false">ROUND(Y15*(1+N('My Debts'!$D$9)/12),2)</f>
        <v>0</v>
      </c>
      <c r="F16" s="39" t="n">
        <f aca="false">ROUND(Z15*(1+N('My Debts'!$D$10)/12),2)</f>
        <v>0</v>
      </c>
      <c r="G16" s="39" t="n">
        <f aca="false">ROUND(AA15*(1+N('My Debts'!$D$11)/12),2)</f>
        <v>0</v>
      </c>
      <c r="H16" s="39" t="n">
        <f aca="false">ROUND(AB15*(1+N('My Debts'!$D$12)/12),2)</f>
        <v>0</v>
      </c>
      <c r="I16" s="39" t="n">
        <f aca="false">ROUND(AC15*(1+N('My Debts'!$D$13)/12),2)</f>
        <v>0</v>
      </c>
      <c r="J16" s="39" t="n">
        <f aca="false">ROUND(AD15*(1+N('My Debts'!$D$14)/12),2)</f>
        <v>0</v>
      </c>
      <c r="K16" s="39" t="n">
        <f aca="false">ROUND(AE15*(1+N('My Debts'!$D$15)/12),2)</f>
        <v>0</v>
      </c>
      <c r="L16" s="39" t="n">
        <f aca="false">MIN(N('My Debts'!$E$6),B16)</f>
        <v>0</v>
      </c>
      <c r="M16" s="39" t="n">
        <f aca="false">MIN(N('My Debts'!$E$7),C16)</f>
        <v>0</v>
      </c>
      <c r="N16" s="39" t="n">
        <f aca="false">MIN(N('My Debts'!$E$8),D16)</f>
        <v>285</v>
      </c>
      <c r="O16" s="39" t="n">
        <f aca="false">MIN(N('My Debts'!$E$9),E16)</f>
        <v>0</v>
      </c>
      <c r="P16" s="39" t="n">
        <f aca="false">MIN(N('My Debts'!$E$10),F16)</f>
        <v>0</v>
      </c>
      <c r="Q16" s="39" t="n">
        <f aca="false">MIN(N('My Debts'!$E$11),G16)</f>
        <v>0</v>
      </c>
      <c r="R16" s="39" t="n">
        <f aca="false">MIN(N('My Debts'!$E$12),H16)</f>
        <v>0</v>
      </c>
      <c r="S16" s="39" t="n">
        <f aca="false">MIN(N('My Debts'!$E$13),I16)</f>
        <v>0</v>
      </c>
      <c r="T16" s="39" t="n">
        <f aca="false">MIN(N('My Debts'!$E$14),J16)</f>
        <v>0</v>
      </c>
      <c r="U16" s="39" t="n">
        <f aca="false">MIN(N('My Debts'!$E$15),K16)</f>
        <v>0</v>
      </c>
      <c r="V16" s="39" t="n">
        <f aca="false">ROUND(B16-L16-MIN(B16-L16,MAX(0,$AF16-SUMPRODUCT(--($B$4:$K$4&lt;B$4),$B16:$K16-$L16:$U16))),2)</f>
        <v>0</v>
      </c>
      <c r="W16" s="39" t="n">
        <f aca="false">ROUND(C16-M16-MIN(C16-M16,MAX(0,$AF16-SUMPRODUCT(--($B$4:$K$4&lt;C$4),$B16:$K16-$L16:$U16))),2)</f>
        <v>0</v>
      </c>
      <c r="X16" s="39" t="n">
        <f aca="false">ROUND(D16-N16-MIN(D16-N16,MAX(0,$AF16-SUMPRODUCT(--($B$4:$K$4&lt;D$4),$B16:$K16-$L16:$U16))),2)</f>
        <v>3654.46</v>
      </c>
      <c r="Y16" s="39" t="n">
        <f aca="false">ROUND(E16-O16-MIN(E16-O16,MAX(0,$AF16-SUMPRODUCT(--($B$4:$K$4&lt;E$4),$B16:$K16-$L16:$U16))),2)</f>
        <v>0</v>
      </c>
      <c r="Z16" s="39" t="n">
        <f aca="false">ROUND(F16-P16-MIN(F16-P16,MAX(0,$AF16-SUMPRODUCT(--($B$4:$K$4&lt;F$4),$B16:$K16-$L16:$U16))),2)</f>
        <v>0</v>
      </c>
      <c r="AA16" s="39" t="n">
        <f aca="false">ROUND(G16-Q16-MIN(G16-Q16,MAX(0,$AF16-SUMPRODUCT(--($B$4:$K$4&lt;G$4),$B16:$K16-$L16:$U16))),2)</f>
        <v>0</v>
      </c>
      <c r="AB16" s="39" t="n">
        <f aca="false">ROUND(H16-R16-MIN(H16-R16,MAX(0,$AF16-SUMPRODUCT(--($B$4:$K$4&lt;H$4),$B16:$K16-$L16:$U16))),2)</f>
        <v>0</v>
      </c>
      <c r="AC16" s="39" t="n">
        <f aca="false">ROUND(I16-S16-MIN(I16-S16,MAX(0,$AF16-SUMPRODUCT(--($B$4:$K$4&lt;I$4),$B16:$K16-$L16:$U16))),2)</f>
        <v>0</v>
      </c>
      <c r="AD16" s="39" t="n">
        <f aca="false">ROUND(J16-T16-MIN(J16-T16,MAX(0,$AF16-SUMPRODUCT(--($B$4:$K$4&lt;J$4),$B16:$K16-$L16:$U16))),2)</f>
        <v>0</v>
      </c>
      <c r="AE16" s="39" t="n">
        <f aca="false">ROUND(K16-U16-MIN(K16-U16,MAX(0,$AF16-SUMPRODUCT(--($B$4:$K$4&lt;K$4),$B16:$K16-$L16:$U16))),2)</f>
        <v>0</v>
      </c>
      <c r="AF16" s="39" t="n">
        <f aca="false">MAX(0,'Start Here'!$C$5-SUM($L16:$U16))</f>
        <v>915</v>
      </c>
      <c r="AG16" s="39" t="n">
        <f aca="false">SUM(V16:AE16)</f>
        <v>3654.46</v>
      </c>
      <c r="AH16" s="39" t="n">
        <f aca="false">SUM(B16:K16)-AG15</f>
        <v>27.75</v>
      </c>
      <c r="AJ16" s="41" t="n">
        <f aca="false">10*$AK$4</f>
        <v>10</v>
      </c>
      <c r="AK16" s="43" t="n">
        <f aca="false">INDEX('Snowball Schedule'!$AG$6:$AG$366,AJ16+1)</f>
        <v>3654.46</v>
      </c>
      <c r="AL16" s="43" t="n">
        <f aca="false">INDEX('Avalanche Schedule'!$AG$6:$AG$366,AJ16+1)</f>
        <v>3654.46</v>
      </c>
    </row>
    <row r="17" customFormat="false" ht="15" hidden="false" customHeight="false" outlineLevel="0" collapsed="false">
      <c r="A17" s="40" t="n">
        <f aca="false">DATE(YEAR('Start Here'!$C$6),MONTH('Start Here'!$C$6)+10,1)</f>
        <v>46600</v>
      </c>
      <c r="B17" s="39" t="n">
        <f aca="false">ROUND(V16*(1+N('My Debts'!$D$6)/12),2)</f>
        <v>0</v>
      </c>
      <c r="C17" s="39" t="n">
        <f aca="false">ROUND(W16*(1+N('My Debts'!$D$7)/12),2)</f>
        <v>0</v>
      </c>
      <c r="D17" s="39" t="n">
        <f aca="false">ROUND(X16*(1+N('My Debts'!$D$8)/12),2)</f>
        <v>3675.47</v>
      </c>
      <c r="E17" s="39" t="n">
        <f aca="false">ROUND(Y16*(1+N('My Debts'!$D$9)/12),2)</f>
        <v>0</v>
      </c>
      <c r="F17" s="39" t="n">
        <f aca="false">ROUND(Z16*(1+N('My Debts'!$D$10)/12),2)</f>
        <v>0</v>
      </c>
      <c r="G17" s="39" t="n">
        <f aca="false">ROUND(AA16*(1+N('My Debts'!$D$11)/12),2)</f>
        <v>0</v>
      </c>
      <c r="H17" s="39" t="n">
        <f aca="false">ROUND(AB16*(1+N('My Debts'!$D$12)/12),2)</f>
        <v>0</v>
      </c>
      <c r="I17" s="39" t="n">
        <f aca="false">ROUND(AC16*(1+N('My Debts'!$D$13)/12),2)</f>
        <v>0</v>
      </c>
      <c r="J17" s="39" t="n">
        <f aca="false">ROUND(AD16*(1+N('My Debts'!$D$14)/12),2)</f>
        <v>0</v>
      </c>
      <c r="K17" s="39" t="n">
        <f aca="false">ROUND(AE16*(1+N('My Debts'!$D$15)/12),2)</f>
        <v>0</v>
      </c>
      <c r="L17" s="39" t="n">
        <f aca="false">MIN(N('My Debts'!$E$6),B17)</f>
        <v>0</v>
      </c>
      <c r="M17" s="39" t="n">
        <f aca="false">MIN(N('My Debts'!$E$7),C17)</f>
        <v>0</v>
      </c>
      <c r="N17" s="39" t="n">
        <f aca="false">MIN(N('My Debts'!$E$8),D17)</f>
        <v>285</v>
      </c>
      <c r="O17" s="39" t="n">
        <f aca="false">MIN(N('My Debts'!$E$9),E17)</f>
        <v>0</v>
      </c>
      <c r="P17" s="39" t="n">
        <f aca="false">MIN(N('My Debts'!$E$10),F17)</f>
        <v>0</v>
      </c>
      <c r="Q17" s="39" t="n">
        <f aca="false">MIN(N('My Debts'!$E$11),G17)</f>
        <v>0</v>
      </c>
      <c r="R17" s="39" t="n">
        <f aca="false">MIN(N('My Debts'!$E$12),H17)</f>
        <v>0</v>
      </c>
      <c r="S17" s="39" t="n">
        <f aca="false">MIN(N('My Debts'!$E$13),I17)</f>
        <v>0</v>
      </c>
      <c r="T17" s="39" t="n">
        <f aca="false">MIN(N('My Debts'!$E$14),J17)</f>
        <v>0</v>
      </c>
      <c r="U17" s="39" t="n">
        <f aca="false">MIN(N('My Debts'!$E$15),K17)</f>
        <v>0</v>
      </c>
      <c r="V17" s="39" t="n">
        <f aca="false">ROUND(B17-L17-MIN(B17-L17,MAX(0,$AF17-SUMPRODUCT(--($B$4:$K$4&lt;B$4),$B17:$K17-$L17:$U17))),2)</f>
        <v>0</v>
      </c>
      <c r="W17" s="39" t="n">
        <f aca="false">ROUND(C17-M17-MIN(C17-M17,MAX(0,$AF17-SUMPRODUCT(--($B$4:$K$4&lt;C$4),$B17:$K17-$L17:$U17))),2)</f>
        <v>0</v>
      </c>
      <c r="X17" s="39" t="n">
        <f aca="false">ROUND(D17-N17-MIN(D17-N17,MAX(0,$AF17-SUMPRODUCT(--($B$4:$K$4&lt;D$4),$B17:$K17-$L17:$U17))),2)</f>
        <v>2475.47</v>
      </c>
      <c r="Y17" s="39" t="n">
        <f aca="false">ROUND(E17-O17-MIN(E17-O17,MAX(0,$AF17-SUMPRODUCT(--($B$4:$K$4&lt;E$4),$B17:$K17-$L17:$U17))),2)</f>
        <v>0</v>
      </c>
      <c r="Z17" s="39" t="n">
        <f aca="false">ROUND(F17-P17-MIN(F17-P17,MAX(0,$AF17-SUMPRODUCT(--($B$4:$K$4&lt;F$4),$B17:$K17-$L17:$U17))),2)</f>
        <v>0</v>
      </c>
      <c r="AA17" s="39" t="n">
        <f aca="false">ROUND(G17-Q17-MIN(G17-Q17,MAX(0,$AF17-SUMPRODUCT(--($B$4:$K$4&lt;G$4),$B17:$K17-$L17:$U17))),2)</f>
        <v>0</v>
      </c>
      <c r="AB17" s="39" t="n">
        <f aca="false">ROUND(H17-R17-MIN(H17-R17,MAX(0,$AF17-SUMPRODUCT(--($B$4:$K$4&lt;H$4),$B17:$K17-$L17:$U17))),2)</f>
        <v>0</v>
      </c>
      <c r="AC17" s="39" t="n">
        <f aca="false">ROUND(I17-S17-MIN(I17-S17,MAX(0,$AF17-SUMPRODUCT(--($B$4:$K$4&lt;I$4),$B17:$K17-$L17:$U17))),2)</f>
        <v>0</v>
      </c>
      <c r="AD17" s="39" t="n">
        <f aca="false">ROUND(J17-T17-MIN(J17-T17,MAX(0,$AF17-SUMPRODUCT(--($B$4:$K$4&lt;J$4),$B17:$K17-$L17:$U17))),2)</f>
        <v>0</v>
      </c>
      <c r="AE17" s="39" t="n">
        <f aca="false">ROUND(K17-U17-MIN(K17-U17,MAX(0,$AF17-SUMPRODUCT(--($B$4:$K$4&lt;K$4),$B17:$K17-$L17:$U17))),2)</f>
        <v>0</v>
      </c>
      <c r="AF17" s="39" t="n">
        <f aca="false">MAX(0,'Start Here'!$C$5-SUM($L17:$U17))</f>
        <v>915</v>
      </c>
      <c r="AG17" s="39" t="n">
        <f aca="false">SUM(V17:AE17)</f>
        <v>2475.47</v>
      </c>
      <c r="AH17" s="39" t="n">
        <f aca="false">SUM(B17:K17)-AG16</f>
        <v>21.0099999999998</v>
      </c>
      <c r="AJ17" s="41" t="n">
        <f aca="false">11*$AK$4</f>
        <v>11</v>
      </c>
      <c r="AK17" s="43" t="n">
        <f aca="false">INDEX('Snowball Schedule'!$AG$6:$AG$366,AJ17+1)</f>
        <v>2475.47</v>
      </c>
      <c r="AL17" s="43" t="n">
        <f aca="false">INDEX('Avalanche Schedule'!$AG$6:$AG$366,AJ17+1)</f>
        <v>2475.47</v>
      </c>
    </row>
    <row r="18" customFormat="false" ht="15" hidden="false" customHeight="false" outlineLevel="0" collapsed="false">
      <c r="A18" s="40" t="n">
        <f aca="false">DATE(YEAR('Start Here'!$C$6),MONTH('Start Here'!$C$6)+11,1)</f>
        <v>46631</v>
      </c>
      <c r="B18" s="39" t="n">
        <f aca="false">ROUND(V17*(1+N('My Debts'!$D$6)/12),2)</f>
        <v>0</v>
      </c>
      <c r="C18" s="39" t="n">
        <f aca="false">ROUND(W17*(1+N('My Debts'!$D$7)/12),2)</f>
        <v>0</v>
      </c>
      <c r="D18" s="39" t="n">
        <f aca="false">ROUND(X17*(1+N('My Debts'!$D$8)/12),2)</f>
        <v>2489.7</v>
      </c>
      <c r="E18" s="39" t="n">
        <f aca="false">ROUND(Y17*(1+N('My Debts'!$D$9)/12),2)</f>
        <v>0</v>
      </c>
      <c r="F18" s="39" t="n">
        <f aca="false">ROUND(Z17*(1+N('My Debts'!$D$10)/12),2)</f>
        <v>0</v>
      </c>
      <c r="G18" s="39" t="n">
        <f aca="false">ROUND(AA17*(1+N('My Debts'!$D$11)/12),2)</f>
        <v>0</v>
      </c>
      <c r="H18" s="39" t="n">
        <f aca="false">ROUND(AB17*(1+N('My Debts'!$D$12)/12),2)</f>
        <v>0</v>
      </c>
      <c r="I18" s="39" t="n">
        <f aca="false">ROUND(AC17*(1+N('My Debts'!$D$13)/12),2)</f>
        <v>0</v>
      </c>
      <c r="J18" s="39" t="n">
        <f aca="false">ROUND(AD17*(1+N('My Debts'!$D$14)/12),2)</f>
        <v>0</v>
      </c>
      <c r="K18" s="39" t="n">
        <f aca="false">ROUND(AE17*(1+N('My Debts'!$D$15)/12),2)</f>
        <v>0</v>
      </c>
      <c r="L18" s="39" t="n">
        <f aca="false">MIN(N('My Debts'!$E$6),B18)</f>
        <v>0</v>
      </c>
      <c r="M18" s="39" t="n">
        <f aca="false">MIN(N('My Debts'!$E$7),C18)</f>
        <v>0</v>
      </c>
      <c r="N18" s="39" t="n">
        <f aca="false">MIN(N('My Debts'!$E$8),D18)</f>
        <v>285</v>
      </c>
      <c r="O18" s="39" t="n">
        <f aca="false">MIN(N('My Debts'!$E$9),E18)</f>
        <v>0</v>
      </c>
      <c r="P18" s="39" t="n">
        <f aca="false">MIN(N('My Debts'!$E$10),F18)</f>
        <v>0</v>
      </c>
      <c r="Q18" s="39" t="n">
        <f aca="false">MIN(N('My Debts'!$E$11),G18)</f>
        <v>0</v>
      </c>
      <c r="R18" s="39" t="n">
        <f aca="false">MIN(N('My Debts'!$E$12),H18)</f>
        <v>0</v>
      </c>
      <c r="S18" s="39" t="n">
        <f aca="false">MIN(N('My Debts'!$E$13),I18)</f>
        <v>0</v>
      </c>
      <c r="T18" s="39" t="n">
        <f aca="false">MIN(N('My Debts'!$E$14),J18)</f>
        <v>0</v>
      </c>
      <c r="U18" s="39" t="n">
        <f aca="false">MIN(N('My Debts'!$E$15),K18)</f>
        <v>0</v>
      </c>
      <c r="V18" s="39" t="n">
        <f aca="false">ROUND(B18-L18-MIN(B18-L18,MAX(0,$AF18-SUMPRODUCT(--($B$4:$K$4&lt;B$4),$B18:$K18-$L18:$U18))),2)</f>
        <v>0</v>
      </c>
      <c r="W18" s="39" t="n">
        <f aca="false">ROUND(C18-M18-MIN(C18-M18,MAX(0,$AF18-SUMPRODUCT(--($B$4:$K$4&lt;C$4),$B18:$K18-$L18:$U18))),2)</f>
        <v>0</v>
      </c>
      <c r="X18" s="39" t="n">
        <f aca="false">ROUND(D18-N18-MIN(D18-N18,MAX(0,$AF18-SUMPRODUCT(--($B$4:$K$4&lt;D$4),$B18:$K18-$L18:$U18))),2)</f>
        <v>1289.7</v>
      </c>
      <c r="Y18" s="39" t="n">
        <f aca="false">ROUND(E18-O18-MIN(E18-O18,MAX(0,$AF18-SUMPRODUCT(--($B$4:$K$4&lt;E$4),$B18:$K18-$L18:$U18))),2)</f>
        <v>0</v>
      </c>
      <c r="Z18" s="39" t="n">
        <f aca="false">ROUND(F18-P18-MIN(F18-P18,MAX(0,$AF18-SUMPRODUCT(--($B$4:$K$4&lt;F$4),$B18:$K18-$L18:$U18))),2)</f>
        <v>0</v>
      </c>
      <c r="AA18" s="39" t="n">
        <f aca="false">ROUND(G18-Q18-MIN(G18-Q18,MAX(0,$AF18-SUMPRODUCT(--($B$4:$K$4&lt;G$4),$B18:$K18-$L18:$U18))),2)</f>
        <v>0</v>
      </c>
      <c r="AB18" s="39" t="n">
        <f aca="false">ROUND(H18-R18-MIN(H18-R18,MAX(0,$AF18-SUMPRODUCT(--($B$4:$K$4&lt;H$4),$B18:$K18-$L18:$U18))),2)</f>
        <v>0</v>
      </c>
      <c r="AC18" s="39" t="n">
        <f aca="false">ROUND(I18-S18-MIN(I18-S18,MAX(0,$AF18-SUMPRODUCT(--($B$4:$K$4&lt;I$4),$B18:$K18-$L18:$U18))),2)</f>
        <v>0</v>
      </c>
      <c r="AD18" s="39" t="n">
        <f aca="false">ROUND(J18-T18-MIN(J18-T18,MAX(0,$AF18-SUMPRODUCT(--($B$4:$K$4&lt;J$4),$B18:$K18-$L18:$U18))),2)</f>
        <v>0</v>
      </c>
      <c r="AE18" s="39" t="n">
        <f aca="false">ROUND(K18-U18-MIN(K18-U18,MAX(0,$AF18-SUMPRODUCT(--($B$4:$K$4&lt;K$4),$B18:$K18-$L18:$U18))),2)</f>
        <v>0</v>
      </c>
      <c r="AF18" s="39" t="n">
        <f aca="false">MAX(0,'Start Here'!$C$5-SUM($L18:$U18))</f>
        <v>915</v>
      </c>
      <c r="AG18" s="39" t="n">
        <f aca="false">SUM(V18:AE18)</f>
        <v>1289.7</v>
      </c>
      <c r="AH18" s="39" t="n">
        <f aca="false">SUM(B18:K18)-AG17</f>
        <v>14.23</v>
      </c>
      <c r="AJ18" s="41" t="n">
        <f aca="false">12*$AK$4</f>
        <v>12</v>
      </c>
      <c r="AK18" s="43" t="n">
        <f aca="false">INDEX('Snowball Schedule'!$AG$6:$AG$366,AJ18+1)</f>
        <v>1289.7</v>
      </c>
      <c r="AL18" s="43" t="n">
        <f aca="false">INDEX('Avalanche Schedule'!$AG$6:$AG$366,AJ18+1)</f>
        <v>1289.7</v>
      </c>
    </row>
    <row r="19" customFormat="false" ht="15" hidden="false" customHeight="false" outlineLevel="0" collapsed="false">
      <c r="A19" s="40" t="n">
        <f aca="false">DATE(YEAR('Start Here'!$C$6),MONTH('Start Here'!$C$6)+12,1)</f>
        <v>46661</v>
      </c>
      <c r="B19" s="39" t="n">
        <f aca="false">ROUND(V18*(1+N('My Debts'!$D$6)/12),2)</f>
        <v>0</v>
      </c>
      <c r="C19" s="39" t="n">
        <f aca="false">ROUND(W18*(1+N('My Debts'!$D$7)/12),2)</f>
        <v>0</v>
      </c>
      <c r="D19" s="39" t="n">
        <f aca="false">ROUND(X18*(1+N('My Debts'!$D$8)/12),2)</f>
        <v>1297.12</v>
      </c>
      <c r="E19" s="39" t="n">
        <f aca="false">ROUND(Y18*(1+N('My Debts'!$D$9)/12),2)</f>
        <v>0</v>
      </c>
      <c r="F19" s="39" t="n">
        <f aca="false">ROUND(Z18*(1+N('My Debts'!$D$10)/12),2)</f>
        <v>0</v>
      </c>
      <c r="G19" s="39" t="n">
        <f aca="false">ROUND(AA18*(1+N('My Debts'!$D$11)/12),2)</f>
        <v>0</v>
      </c>
      <c r="H19" s="39" t="n">
        <f aca="false">ROUND(AB18*(1+N('My Debts'!$D$12)/12),2)</f>
        <v>0</v>
      </c>
      <c r="I19" s="39" t="n">
        <f aca="false">ROUND(AC18*(1+N('My Debts'!$D$13)/12),2)</f>
        <v>0</v>
      </c>
      <c r="J19" s="39" t="n">
        <f aca="false">ROUND(AD18*(1+N('My Debts'!$D$14)/12),2)</f>
        <v>0</v>
      </c>
      <c r="K19" s="39" t="n">
        <f aca="false">ROUND(AE18*(1+N('My Debts'!$D$15)/12),2)</f>
        <v>0</v>
      </c>
      <c r="L19" s="39" t="n">
        <f aca="false">MIN(N('My Debts'!$E$6),B19)</f>
        <v>0</v>
      </c>
      <c r="M19" s="39" t="n">
        <f aca="false">MIN(N('My Debts'!$E$7),C19)</f>
        <v>0</v>
      </c>
      <c r="N19" s="39" t="n">
        <f aca="false">MIN(N('My Debts'!$E$8),D19)</f>
        <v>285</v>
      </c>
      <c r="O19" s="39" t="n">
        <f aca="false">MIN(N('My Debts'!$E$9),E19)</f>
        <v>0</v>
      </c>
      <c r="P19" s="39" t="n">
        <f aca="false">MIN(N('My Debts'!$E$10),F19)</f>
        <v>0</v>
      </c>
      <c r="Q19" s="39" t="n">
        <f aca="false">MIN(N('My Debts'!$E$11),G19)</f>
        <v>0</v>
      </c>
      <c r="R19" s="39" t="n">
        <f aca="false">MIN(N('My Debts'!$E$12),H19)</f>
        <v>0</v>
      </c>
      <c r="S19" s="39" t="n">
        <f aca="false">MIN(N('My Debts'!$E$13),I19)</f>
        <v>0</v>
      </c>
      <c r="T19" s="39" t="n">
        <f aca="false">MIN(N('My Debts'!$E$14),J19)</f>
        <v>0</v>
      </c>
      <c r="U19" s="39" t="n">
        <f aca="false">MIN(N('My Debts'!$E$15),K19)</f>
        <v>0</v>
      </c>
      <c r="V19" s="39" t="n">
        <f aca="false">ROUND(B19-L19-MIN(B19-L19,MAX(0,$AF19-SUMPRODUCT(--($B$4:$K$4&lt;B$4),$B19:$K19-$L19:$U19))),2)</f>
        <v>0</v>
      </c>
      <c r="W19" s="39" t="n">
        <f aca="false">ROUND(C19-M19-MIN(C19-M19,MAX(0,$AF19-SUMPRODUCT(--($B$4:$K$4&lt;C$4),$B19:$K19-$L19:$U19))),2)</f>
        <v>0</v>
      </c>
      <c r="X19" s="39" t="n">
        <f aca="false">ROUND(D19-N19-MIN(D19-N19,MAX(0,$AF19-SUMPRODUCT(--($B$4:$K$4&lt;D$4),$B19:$K19-$L19:$U19))),2)</f>
        <v>97.12</v>
      </c>
      <c r="Y19" s="39" t="n">
        <f aca="false">ROUND(E19-O19-MIN(E19-O19,MAX(0,$AF19-SUMPRODUCT(--($B$4:$K$4&lt;E$4),$B19:$K19-$L19:$U19))),2)</f>
        <v>0</v>
      </c>
      <c r="Z19" s="39" t="n">
        <f aca="false">ROUND(F19-P19-MIN(F19-P19,MAX(0,$AF19-SUMPRODUCT(--($B$4:$K$4&lt;F$4),$B19:$K19-$L19:$U19))),2)</f>
        <v>0</v>
      </c>
      <c r="AA19" s="39" t="n">
        <f aca="false">ROUND(G19-Q19-MIN(G19-Q19,MAX(0,$AF19-SUMPRODUCT(--($B$4:$K$4&lt;G$4),$B19:$K19-$L19:$U19))),2)</f>
        <v>0</v>
      </c>
      <c r="AB19" s="39" t="n">
        <f aca="false">ROUND(H19-R19-MIN(H19-R19,MAX(0,$AF19-SUMPRODUCT(--($B$4:$K$4&lt;H$4),$B19:$K19-$L19:$U19))),2)</f>
        <v>0</v>
      </c>
      <c r="AC19" s="39" t="n">
        <f aca="false">ROUND(I19-S19-MIN(I19-S19,MAX(0,$AF19-SUMPRODUCT(--($B$4:$K$4&lt;I$4),$B19:$K19-$L19:$U19))),2)</f>
        <v>0</v>
      </c>
      <c r="AD19" s="39" t="n">
        <f aca="false">ROUND(J19-T19-MIN(J19-T19,MAX(0,$AF19-SUMPRODUCT(--($B$4:$K$4&lt;J$4),$B19:$K19-$L19:$U19))),2)</f>
        <v>0</v>
      </c>
      <c r="AE19" s="39" t="n">
        <f aca="false">ROUND(K19-U19-MIN(K19-U19,MAX(0,$AF19-SUMPRODUCT(--($B$4:$K$4&lt;K$4),$B19:$K19-$L19:$U19))),2)</f>
        <v>0</v>
      </c>
      <c r="AF19" s="39" t="n">
        <f aca="false">MAX(0,'Start Here'!$C$5-SUM($L19:$U19))</f>
        <v>915</v>
      </c>
      <c r="AG19" s="39" t="n">
        <f aca="false">SUM(V19:AE19)</f>
        <v>97.12</v>
      </c>
      <c r="AH19" s="39" t="n">
        <f aca="false">SUM(B19:K19)-AG18</f>
        <v>7.41999999999985</v>
      </c>
      <c r="AJ19" s="41" t="n">
        <f aca="false">13*$AK$4</f>
        <v>13</v>
      </c>
      <c r="AK19" s="43" t="n">
        <f aca="false">INDEX('Snowball Schedule'!$AG$6:$AG$366,AJ19+1)</f>
        <v>97.12</v>
      </c>
      <c r="AL19" s="43" t="n">
        <f aca="false">INDEX('Avalanche Schedule'!$AG$6:$AG$366,AJ19+1)</f>
        <v>97.12</v>
      </c>
    </row>
    <row r="20" customFormat="false" ht="15" hidden="false" customHeight="false" outlineLevel="0" collapsed="false">
      <c r="A20" s="40" t="n">
        <f aca="false">DATE(YEAR('Start Here'!$C$6),MONTH('Start Here'!$C$6)+13,1)</f>
        <v>46692</v>
      </c>
      <c r="B20" s="39" t="n">
        <f aca="false">ROUND(V19*(1+N('My Debts'!$D$6)/12),2)</f>
        <v>0</v>
      </c>
      <c r="C20" s="39" t="n">
        <f aca="false">ROUND(W19*(1+N('My Debts'!$D$7)/12),2)</f>
        <v>0</v>
      </c>
      <c r="D20" s="39" t="n">
        <f aca="false">ROUND(X19*(1+N('My Debts'!$D$8)/12),2)</f>
        <v>97.68</v>
      </c>
      <c r="E20" s="39" t="n">
        <f aca="false">ROUND(Y19*(1+N('My Debts'!$D$9)/12),2)</f>
        <v>0</v>
      </c>
      <c r="F20" s="39" t="n">
        <f aca="false">ROUND(Z19*(1+N('My Debts'!$D$10)/12),2)</f>
        <v>0</v>
      </c>
      <c r="G20" s="39" t="n">
        <f aca="false">ROUND(AA19*(1+N('My Debts'!$D$11)/12),2)</f>
        <v>0</v>
      </c>
      <c r="H20" s="39" t="n">
        <f aca="false">ROUND(AB19*(1+N('My Debts'!$D$12)/12),2)</f>
        <v>0</v>
      </c>
      <c r="I20" s="39" t="n">
        <f aca="false">ROUND(AC19*(1+N('My Debts'!$D$13)/12),2)</f>
        <v>0</v>
      </c>
      <c r="J20" s="39" t="n">
        <f aca="false">ROUND(AD19*(1+N('My Debts'!$D$14)/12),2)</f>
        <v>0</v>
      </c>
      <c r="K20" s="39" t="n">
        <f aca="false">ROUND(AE19*(1+N('My Debts'!$D$15)/12),2)</f>
        <v>0</v>
      </c>
      <c r="L20" s="39" t="n">
        <f aca="false">MIN(N('My Debts'!$E$6),B20)</f>
        <v>0</v>
      </c>
      <c r="M20" s="39" t="n">
        <f aca="false">MIN(N('My Debts'!$E$7),C20)</f>
        <v>0</v>
      </c>
      <c r="N20" s="39" t="n">
        <f aca="false">MIN(N('My Debts'!$E$8),D20)</f>
        <v>97.68</v>
      </c>
      <c r="O20" s="39" t="n">
        <f aca="false">MIN(N('My Debts'!$E$9),E20)</f>
        <v>0</v>
      </c>
      <c r="P20" s="39" t="n">
        <f aca="false">MIN(N('My Debts'!$E$10),F20)</f>
        <v>0</v>
      </c>
      <c r="Q20" s="39" t="n">
        <f aca="false">MIN(N('My Debts'!$E$11),G20)</f>
        <v>0</v>
      </c>
      <c r="R20" s="39" t="n">
        <f aca="false">MIN(N('My Debts'!$E$12),H20)</f>
        <v>0</v>
      </c>
      <c r="S20" s="39" t="n">
        <f aca="false">MIN(N('My Debts'!$E$13),I20)</f>
        <v>0</v>
      </c>
      <c r="T20" s="39" t="n">
        <f aca="false">MIN(N('My Debts'!$E$14),J20)</f>
        <v>0</v>
      </c>
      <c r="U20" s="39" t="n">
        <f aca="false">MIN(N('My Debts'!$E$15),K20)</f>
        <v>0</v>
      </c>
      <c r="V20" s="39" t="n">
        <f aca="false">ROUND(B20-L20-MIN(B20-L20,MAX(0,$AF20-SUMPRODUCT(--($B$4:$K$4&lt;B$4),$B20:$K20-$L20:$U20))),2)</f>
        <v>0</v>
      </c>
      <c r="W20" s="39" t="n">
        <f aca="false">ROUND(C20-M20-MIN(C20-M20,MAX(0,$AF20-SUMPRODUCT(--($B$4:$K$4&lt;C$4),$B20:$K20-$L20:$U20))),2)</f>
        <v>0</v>
      </c>
      <c r="X20" s="39" t="n">
        <f aca="false">ROUND(D20-N20-MIN(D20-N20,MAX(0,$AF20-SUMPRODUCT(--($B$4:$K$4&lt;D$4),$B20:$K20-$L20:$U20))),2)</f>
        <v>0</v>
      </c>
      <c r="Y20" s="39" t="n">
        <f aca="false">ROUND(E20-O20-MIN(E20-O20,MAX(0,$AF20-SUMPRODUCT(--($B$4:$K$4&lt;E$4),$B20:$K20-$L20:$U20))),2)</f>
        <v>0</v>
      </c>
      <c r="Z20" s="39" t="n">
        <f aca="false">ROUND(F20-P20-MIN(F20-P20,MAX(0,$AF20-SUMPRODUCT(--($B$4:$K$4&lt;F$4),$B20:$K20-$L20:$U20))),2)</f>
        <v>0</v>
      </c>
      <c r="AA20" s="39" t="n">
        <f aca="false">ROUND(G20-Q20-MIN(G20-Q20,MAX(0,$AF20-SUMPRODUCT(--($B$4:$K$4&lt;G$4),$B20:$K20-$L20:$U20))),2)</f>
        <v>0</v>
      </c>
      <c r="AB20" s="39" t="n">
        <f aca="false">ROUND(H20-R20-MIN(H20-R20,MAX(0,$AF20-SUMPRODUCT(--($B$4:$K$4&lt;H$4),$B20:$K20-$L20:$U20))),2)</f>
        <v>0</v>
      </c>
      <c r="AC20" s="39" t="n">
        <f aca="false">ROUND(I20-S20-MIN(I20-S20,MAX(0,$AF20-SUMPRODUCT(--($B$4:$K$4&lt;I$4),$B20:$K20-$L20:$U20))),2)</f>
        <v>0</v>
      </c>
      <c r="AD20" s="39" t="n">
        <f aca="false">ROUND(J20-T20-MIN(J20-T20,MAX(0,$AF20-SUMPRODUCT(--($B$4:$K$4&lt;J$4),$B20:$K20-$L20:$U20))),2)</f>
        <v>0</v>
      </c>
      <c r="AE20" s="39" t="n">
        <f aca="false">ROUND(K20-U20-MIN(K20-U20,MAX(0,$AF20-SUMPRODUCT(--($B$4:$K$4&lt;K$4),$B20:$K20-$L20:$U20))),2)</f>
        <v>0</v>
      </c>
      <c r="AF20" s="39" t="n">
        <f aca="false">MAX(0,'Start Here'!$C$5-SUM($L20:$U20))</f>
        <v>1102.32</v>
      </c>
      <c r="AG20" s="39" t="n">
        <f aca="false">SUM(V20:AE20)</f>
        <v>0</v>
      </c>
      <c r="AH20" s="39" t="n">
        <f aca="false">SUM(B20:K20)-AG19</f>
        <v>0.560000000000002</v>
      </c>
      <c r="AJ20" s="41" t="n">
        <f aca="false">14*$AK$4</f>
        <v>14</v>
      </c>
      <c r="AK20" s="43" t="n">
        <f aca="false">INDEX('Snowball Schedule'!$AG$6:$AG$366,AJ20+1)</f>
        <v>0</v>
      </c>
      <c r="AL20" s="43" t="n">
        <f aca="false">INDEX('Avalanche Schedule'!$AG$6:$AG$366,AJ20+1)</f>
        <v>0</v>
      </c>
    </row>
    <row r="21" customFormat="false" ht="15" hidden="false" customHeight="false" outlineLevel="0" collapsed="false">
      <c r="A21" s="40" t="n">
        <f aca="false">DATE(YEAR('Start Here'!$C$6),MONTH('Start Here'!$C$6)+14,1)</f>
        <v>46722</v>
      </c>
      <c r="B21" s="39" t="n">
        <f aca="false">ROUND(V20*(1+N('My Debts'!$D$6)/12),2)</f>
        <v>0</v>
      </c>
      <c r="C21" s="39" t="n">
        <f aca="false">ROUND(W20*(1+N('My Debts'!$D$7)/12),2)</f>
        <v>0</v>
      </c>
      <c r="D21" s="39" t="n">
        <f aca="false">ROUND(X20*(1+N('My Debts'!$D$8)/12),2)</f>
        <v>0</v>
      </c>
      <c r="E21" s="39" t="n">
        <f aca="false">ROUND(Y20*(1+N('My Debts'!$D$9)/12),2)</f>
        <v>0</v>
      </c>
      <c r="F21" s="39" t="n">
        <f aca="false">ROUND(Z20*(1+N('My Debts'!$D$10)/12),2)</f>
        <v>0</v>
      </c>
      <c r="G21" s="39" t="n">
        <f aca="false">ROUND(AA20*(1+N('My Debts'!$D$11)/12),2)</f>
        <v>0</v>
      </c>
      <c r="H21" s="39" t="n">
        <f aca="false">ROUND(AB20*(1+N('My Debts'!$D$12)/12),2)</f>
        <v>0</v>
      </c>
      <c r="I21" s="39" t="n">
        <f aca="false">ROUND(AC20*(1+N('My Debts'!$D$13)/12),2)</f>
        <v>0</v>
      </c>
      <c r="J21" s="39" t="n">
        <f aca="false">ROUND(AD20*(1+N('My Debts'!$D$14)/12),2)</f>
        <v>0</v>
      </c>
      <c r="K21" s="39" t="n">
        <f aca="false">ROUND(AE20*(1+N('My Debts'!$D$15)/12),2)</f>
        <v>0</v>
      </c>
      <c r="L21" s="39" t="n">
        <f aca="false">MIN(N('My Debts'!$E$6),B21)</f>
        <v>0</v>
      </c>
      <c r="M21" s="39" t="n">
        <f aca="false">MIN(N('My Debts'!$E$7),C21)</f>
        <v>0</v>
      </c>
      <c r="N21" s="39" t="n">
        <f aca="false">MIN(N('My Debts'!$E$8),D21)</f>
        <v>0</v>
      </c>
      <c r="O21" s="39" t="n">
        <f aca="false">MIN(N('My Debts'!$E$9),E21)</f>
        <v>0</v>
      </c>
      <c r="P21" s="39" t="n">
        <f aca="false">MIN(N('My Debts'!$E$10),F21)</f>
        <v>0</v>
      </c>
      <c r="Q21" s="39" t="n">
        <f aca="false">MIN(N('My Debts'!$E$11),G21)</f>
        <v>0</v>
      </c>
      <c r="R21" s="39" t="n">
        <f aca="false">MIN(N('My Debts'!$E$12),H21)</f>
        <v>0</v>
      </c>
      <c r="S21" s="39" t="n">
        <f aca="false">MIN(N('My Debts'!$E$13),I21)</f>
        <v>0</v>
      </c>
      <c r="T21" s="39" t="n">
        <f aca="false">MIN(N('My Debts'!$E$14),J21)</f>
        <v>0</v>
      </c>
      <c r="U21" s="39" t="n">
        <f aca="false">MIN(N('My Debts'!$E$15),K21)</f>
        <v>0</v>
      </c>
      <c r="V21" s="39" t="n">
        <f aca="false">ROUND(B21-L21-MIN(B21-L21,MAX(0,$AF21-SUMPRODUCT(--($B$4:$K$4&lt;B$4),$B21:$K21-$L21:$U21))),2)</f>
        <v>0</v>
      </c>
      <c r="W21" s="39" t="n">
        <f aca="false">ROUND(C21-M21-MIN(C21-M21,MAX(0,$AF21-SUMPRODUCT(--($B$4:$K$4&lt;C$4),$B21:$K21-$L21:$U21))),2)</f>
        <v>0</v>
      </c>
      <c r="X21" s="39" t="n">
        <f aca="false">ROUND(D21-N21-MIN(D21-N21,MAX(0,$AF21-SUMPRODUCT(--($B$4:$K$4&lt;D$4),$B21:$K21-$L21:$U21))),2)</f>
        <v>0</v>
      </c>
      <c r="Y21" s="39" t="n">
        <f aca="false">ROUND(E21-O21-MIN(E21-O21,MAX(0,$AF21-SUMPRODUCT(--($B$4:$K$4&lt;E$4),$B21:$K21-$L21:$U21))),2)</f>
        <v>0</v>
      </c>
      <c r="Z21" s="39" t="n">
        <f aca="false">ROUND(F21-P21-MIN(F21-P21,MAX(0,$AF21-SUMPRODUCT(--($B$4:$K$4&lt;F$4),$B21:$K21-$L21:$U21))),2)</f>
        <v>0</v>
      </c>
      <c r="AA21" s="39" t="n">
        <f aca="false">ROUND(G21-Q21-MIN(G21-Q21,MAX(0,$AF21-SUMPRODUCT(--($B$4:$K$4&lt;G$4),$B21:$K21-$L21:$U21))),2)</f>
        <v>0</v>
      </c>
      <c r="AB21" s="39" t="n">
        <f aca="false">ROUND(H21-R21-MIN(H21-R21,MAX(0,$AF21-SUMPRODUCT(--($B$4:$K$4&lt;H$4),$B21:$K21-$L21:$U21))),2)</f>
        <v>0</v>
      </c>
      <c r="AC21" s="39" t="n">
        <f aca="false">ROUND(I21-S21-MIN(I21-S21,MAX(0,$AF21-SUMPRODUCT(--($B$4:$K$4&lt;I$4),$B21:$K21-$L21:$U21))),2)</f>
        <v>0</v>
      </c>
      <c r="AD21" s="39" t="n">
        <f aca="false">ROUND(J21-T21-MIN(J21-T21,MAX(0,$AF21-SUMPRODUCT(--($B$4:$K$4&lt;J$4),$B21:$K21-$L21:$U21))),2)</f>
        <v>0</v>
      </c>
      <c r="AE21" s="39" t="n">
        <f aca="false">ROUND(K21-U21-MIN(K21-U21,MAX(0,$AF21-SUMPRODUCT(--($B$4:$K$4&lt;K$4),$B21:$K21-$L21:$U21))),2)</f>
        <v>0</v>
      </c>
      <c r="AF21" s="39" t="n">
        <f aca="false">MAX(0,'Start Here'!$C$5-SUM($L21:$U21))</f>
        <v>1200</v>
      </c>
      <c r="AG21" s="39" t="n">
        <f aca="false">SUM(V21:AE21)</f>
        <v>0</v>
      </c>
      <c r="AH21" s="39" t="n">
        <f aca="false">SUM(B21:K21)-AG20</f>
        <v>0</v>
      </c>
      <c r="AJ21" s="41" t="n">
        <f aca="false">15*$AK$4</f>
        <v>15</v>
      </c>
      <c r="AK21" s="43" t="n">
        <f aca="false">INDEX('Snowball Schedule'!$AG$6:$AG$366,AJ21+1)</f>
        <v>0</v>
      </c>
      <c r="AL21" s="43" t="n">
        <f aca="false">INDEX('Avalanche Schedule'!$AG$6:$AG$366,AJ21+1)</f>
        <v>0</v>
      </c>
    </row>
    <row r="22" customFormat="false" ht="15" hidden="false" customHeight="false" outlineLevel="0" collapsed="false">
      <c r="A22" s="40" t="n">
        <f aca="false">DATE(YEAR('Start Here'!$C$6),MONTH('Start Here'!$C$6)+15,1)</f>
        <v>46753</v>
      </c>
      <c r="B22" s="39" t="n">
        <f aca="false">ROUND(V21*(1+N('My Debts'!$D$6)/12),2)</f>
        <v>0</v>
      </c>
      <c r="C22" s="39" t="n">
        <f aca="false">ROUND(W21*(1+N('My Debts'!$D$7)/12),2)</f>
        <v>0</v>
      </c>
      <c r="D22" s="39" t="n">
        <f aca="false">ROUND(X21*(1+N('My Debts'!$D$8)/12),2)</f>
        <v>0</v>
      </c>
      <c r="E22" s="39" t="n">
        <f aca="false">ROUND(Y21*(1+N('My Debts'!$D$9)/12),2)</f>
        <v>0</v>
      </c>
      <c r="F22" s="39" t="n">
        <f aca="false">ROUND(Z21*(1+N('My Debts'!$D$10)/12),2)</f>
        <v>0</v>
      </c>
      <c r="G22" s="39" t="n">
        <f aca="false">ROUND(AA21*(1+N('My Debts'!$D$11)/12),2)</f>
        <v>0</v>
      </c>
      <c r="H22" s="39" t="n">
        <f aca="false">ROUND(AB21*(1+N('My Debts'!$D$12)/12),2)</f>
        <v>0</v>
      </c>
      <c r="I22" s="39" t="n">
        <f aca="false">ROUND(AC21*(1+N('My Debts'!$D$13)/12),2)</f>
        <v>0</v>
      </c>
      <c r="J22" s="39" t="n">
        <f aca="false">ROUND(AD21*(1+N('My Debts'!$D$14)/12),2)</f>
        <v>0</v>
      </c>
      <c r="K22" s="39" t="n">
        <f aca="false">ROUND(AE21*(1+N('My Debts'!$D$15)/12),2)</f>
        <v>0</v>
      </c>
      <c r="L22" s="39" t="n">
        <f aca="false">MIN(N('My Debts'!$E$6),B22)</f>
        <v>0</v>
      </c>
      <c r="M22" s="39" t="n">
        <f aca="false">MIN(N('My Debts'!$E$7),C22)</f>
        <v>0</v>
      </c>
      <c r="N22" s="39" t="n">
        <f aca="false">MIN(N('My Debts'!$E$8),D22)</f>
        <v>0</v>
      </c>
      <c r="O22" s="39" t="n">
        <f aca="false">MIN(N('My Debts'!$E$9),E22)</f>
        <v>0</v>
      </c>
      <c r="P22" s="39" t="n">
        <f aca="false">MIN(N('My Debts'!$E$10),F22)</f>
        <v>0</v>
      </c>
      <c r="Q22" s="39" t="n">
        <f aca="false">MIN(N('My Debts'!$E$11),G22)</f>
        <v>0</v>
      </c>
      <c r="R22" s="39" t="n">
        <f aca="false">MIN(N('My Debts'!$E$12),H22)</f>
        <v>0</v>
      </c>
      <c r="S22" s="39" t="n">
        <f aca="false">MIN(N('My Debts'!$E$13),I22)</f>
        <v>0</v>
      </c>
      <c r="T22" s="39" t="n">
        <f aca="false">MIN(N('My Debts'!$E$14),J22)</f>
        <v>0</v>
      </c>
      <c r="U22" s="39" t="n">
        <f aca="false">MIN(N('My Debts'!$E$15),K22)</f>
        <v>0</v>
      </c>
      <c r="V22" s="39" t="n">
        <f aca="false">ROUND(B22-L22-MIN(B22-L22,MAX(0,$AF22-SUMPRODUCT(--($B$4:$K$4&lt;B$4),$B22:$K22-$L22:$U22))),2)</f>
        <v>0</v>
      </c>
      <c r="W22" s="39" t="n">
        <f aca="false">ROUND(C22-M22-MIN(C22-M22,MAX(0,$AF22-SUMPRODUCT(--($B$4:$K$4&lt;C$4),$B22:$K22-$L22:$U22))),2)</f>
        <v>0</v>
      </c>
      <c r="X22" s="39" t="n">
        <f aca="false">ROUND(D22-N22-MIN(D22-N22,MAX(0,$AF22-SUMPRODUCT(--($B$4:$K$4&lt;D$4),$B22:$K22-$L22:$U22))),2)</f>
        <v>0</v>
      </c>
      <c r="Y22" s="39" t="n">
        <f aca="false">ROUND(E22-O22-MIN(E22-O22,MAX(0,$AF22-SUMPRODUCT(--($B$4:$K$4&lt;E$4),$B22:$K22-$L22:$U22))),2)</f>
        <v>0</v>
      </c>
      <c r="Z22" s="39" t="n">
        <f aca="false">ROUND(F22-P22-MIN(F22-P22,MAX(0,$AF22-SUMPRODUCT(--($B$4:$K$4&lt;F$4),$B22:$K22-$L22:$U22))),2)</f>
        <v>0</v>
      </c>
      <c r="AA22" s="39" t="n">
        <f aca="false">ROUND(G22-Q22-MIN(G22-Q22,MAX(0,$AF22-SUMPRODUCT(--($B$4:$K$4&lt;G$4),$B22:$K22-$L22:$U22))),2)</f>
        <v>0</v>
      </c>
      <c r="AB22" s="39" t="n">
        <f aca="false">ROUND(H22-R22-MIN(H22-R22,MAX(0,$AF22-SUMPRODUCT(--($B$4:$K$4&lt;H$4),$B22:$K22-$L22:$U22))),2)</f>
        <v>0</v>
      </c>
      <c r="AC22" s="39" t="n">
        <f aca="false">ROUND(I22-S22-MIN(I22-S22,MAX(0,$AF22-SUMPRODUCT(--($B$4:$K$4&lt;I$4),$B22:$K22-$L22:$U22))),2)</f>
        <v>0</v>
      </c>
      <c r="AD22" s="39" t="n">
        <f aca="false">ROUND(J22-T22-MIN(J22-T22,MAX(0,$AF22-SUMPRODUCT(--($B$4:$K$4&lt;J$4),$B22:$K22-$L22:$U22))),2)</f>
        <v>0</v>
      </c>
      <c r="AE22" s="39" t="n">
        <f aca="false">ROUND(K22-U22-MIN(K22-U22,MAX(0,$AF22-SUMPRODUCT(--($B$4:$K$4&lt;K$4),$B22:$K22-$L22:$U22))),2)</f>
        <v>0</v>
      </c>
      <c r="AF22" s="39" t="n">
        <f aca="false">MAX(0,'Start Here'!$C$5-SUM($L22:$U22))</f>
        <v>1200</v>
      </c>
      <c r="AG22" s="39" t="n">
        <f aca="false">SUM(V22:AE22)</f>
        <v>0</v>
      </c>
      <c r="AH22" s="39" t="n">
        <f aca="false">SUM(B22:K22)-AG21</f>
        <v>0</v>
      </c>
      <c r="AJ22" s="41" t="n">
        <f aca="false">16*$AK$4</f>
        <v>16</v>
      </c>
      <c r="AK22" s="43" t="n">
        <f aca="false">INDEX('Snowball Schedule'!$AG$6:$AG$366,AJ22+1)</f>
        <v>0</v>
      </c>
      <c r="AL22" s="43" t="n">
        <f aca="false">INDEX('Avalanche Schedule'!$AG$6:$AG$366,AJ22+1)</f>
        <v>0</v>
      </c>
    </row>
    <row r="23" customFormat="false" ht="15" hidden="false" customHeight="false" outlineLevel="0" collapsed="false">
      <c r="A23" s="40" t="n">
        <f aca="false">DATE(YEAR('Start Here'!$C$6),MONTH('Start Here'!$C$6)+16,1)</f>
        <v>46784</v>
      </c>
      <c r="B23" s="39" t="n">
        <f aca="false">ROUND(V22*(1+N('My Debts'!$D$6)/12),2)</f>
        <v>0</v>
      </c>
      <c r="C23" s="39" t="n">
        <f aca="false">ROUND(W22*(1+N('My Debts'!$D$7)/12),2)</f>
        <v>0</v>
      </c>
      <c r="D23" s="39" t="n">
        <f aca="false">ROUND(X22*(1+N('My Debts'!$D$8)/12),2)</f>
        <v>0</v>
      </c>
      <c r="E23" s="39" t="n">
        <f aca="false">ROUND(Y22*(1+N('My Debts'!$D$9)/12),2)</f>
        <v>0</v>
      </c>
      <c r="F23" s="39" t="n">
        <f aca="false">ROUND(Z22*(1+N('My Debts'!$D$10)/12),2)</f>
        <v>0</v>
      </c>
      <c r="G23" s="39" t="n">
        <f aca="false">ROUND(AA22*(1+N('My Debts'!$D$11)/12),2)</f>
        <v>0</v>
      </c>
      <c r="H23" s="39" t="n">
        <f aca="false">ROUND(AB22*(1+N('My Debts'!$D$12)/12),2)</f>
        <v>0</v>
      </c>
      <c r="I23" s="39" t="n">
        <f aca="false">ROUND(AC22*(1+N('My Debts'!$D$13)/12),2)</f>
        <v>0</v>
      </c>
      <c r="J23" s="39" t="n">
        <f aca="false">ROUND(AD22*(1+N('My Debts'!$D$14)/12),2)</f>
        <v>0</v>
      </c>
      <c r="K23" s="39" t="n">
        <f aca="false">ROUND(AE22*(1+N('My Debts'!$D$15)/12),2)</f>
        <v>0</v>
      </c>
      <c r="L23" s="39" t="n">
        <f aca="false">MIN(N('My Debts'!$E$6),B23)</f>
        <v>0</v>
      </c>
      <c r="M23" s="39" t="n">
        <f aca="false">MIN(N('My Debts'!$E$7),C23)</f>
        <v>0</v>
      </c>
      <c r="N23" s="39" t="n">
        <f aca="false">MIN(N('My Debts'!$E$8),D23)</f>
        <v>0</v>
      </c>
      <c r="O23" s="39" t="n">
        <f aca="false">MIN(N('My Debts'!$E$9),E23)</f>
        <v>0</v>
      </c>
      <c r="P23" s="39" t="n">
        <f aca="false">MIN(N('My Debts'!$E$10),F23)</f>
        <v>0</v>
      </c>
      <c r="Q23" s="39" t="n">
        <f aca="false">MIN(N('My Debts'!$E$11),G23)</f>
        <v>0</v>
      </c>
      <c r="R23" s="39" t="n">
        <f aca="false">MIN(N('My Debts'!$E$12),H23)</f>
        <v>0</v>
      </c>
      <c r="S23" s="39" t="n">
        <f aca="false">MIN(N('My Debts'!$E$13),I23)</f>
        <v>0</v>
      </c>
      <c r="T23" s="39" t="n">
        <f aca="false">MIN(N('My Debts'!$E$14),J23)</f>
        <v>0</v>
      </c>
      <c r="U23" s="39" t="n">
        <f aca="false">MIN(N('My Debts'!$E$15),K23)</f>
        <v>0</v>
      </c>
      <c r="V23" s="39" t="n">
        <f aca="false">ROUND(B23-L23-MIN(B23-L23,MAX(0,$AF23-SUMPRODUCT(--($B$4:$K$4&lt;B$4),$B23:$K23-$L23:$U23))),2)</f>
        <v>0</v>
      </c>
      <c r="W23" s="39" t="n">
        <f aca="false">ROUND(C23-M23-MIN(C23-M23,MAX(0,$AF23-SUMPRODUCT(--($B$4:$K$4&lt;C$4),$B23:$K23-$L23:$U23))),2)</f>
        <v>0</v>
      </c>
      <c r="X23" s="39" t="n">
        <f aca="false">ROUND(D23-N23-MIN(D23-N23,MAX(0,$AF23-SUMPRODUCT(--($B$4:$K$4&lt;D$4),$B23:$K23-$L23:$U23))),2)</f>
        <v>0</v>
      </c>
      <c r="Y23" s="39" t="n">
        <f aca="false">ROUND(E23-O23-MIN(E23-O23,MAX(0,$AF23-SUMPRODUCT(--($B$4:$K$4&lt;E$4),$B23:$K23-$L23:$U23))),2)</f>
        <v>0</v>
      </c>
      <c r="Z23" s="39" t="n">
        <f aca="false">ROUND(F23-P23-MIN(F23-P23,MAX(0,$AF23-SUMPRODUCT(--($B$4:$K$4&lt;F$4),$B23:$K23-$L23:$U23))),2)</f>
        <v>0</v>
      </c>
      <c r="AA23" s="39" t="n">
        <f aca="false">ROUND(G23-Q23-MIN(G23-Q23,MAX(0,$AF23-SUMPRODUCT(--($B$4:$K$4&lt;G$4),$B23:$K23-$L23:$U23))),2)</f>
        <v>0</v>
      </c>
      <c r="AB23" s="39" t="n">
        <f aca="false">ROUND(H23-R23-MIN(H23-R23,MAX(0,$AF23-SUMPRODUCT(--($B$4:$K$4&lt;H$4),$B23:$K23-$L23:$U23))),2)</f>
        <v>0</v>
      </c>
      <c r="AC23" s="39" t="n">
        <f aca="false">ROUND(I23-S23-MIN(I23-S23,MAX(0,$AF23-SUMPRODUCT(--($B$4:$K$4&lt;I$4),$B23:$K23-$L23:$U23))),2)</f>
        <v>0</v>
      </c>
      <c r="AD23" s="39" t="n">
        <f aca="false">ROUND(J23-T23-MIN(J23-T23,MAX(0,$AF23-SUMPRODUCT(--($B$4:$K$4&lt;J$4),$B23:$K23-$L23:$U23))),2)</f>
        <v>0</v>
      </c>
      <c r="AE23" s="39" t="n">
        <f aca="false">ROUND(K23-U23-MIN(K23-U23,MAX(0,$AF23-SUMPRODUCT(--($B$4:$K$4&lt;K$4),$B23:$K23-$L23:$U23))),2)</f>
        <v>0</v>
      </c>
      <c r="AF23" s="39" t="n">
        <f aca="false">MAX(0,'Start Here'!$C$5-SUM($L23:$U23))</f>
        <v>1200</v>
      </c>
      <c r="AG23" s="39" t="n">
        <f aca="false">SUM(V23:AE23)</f>
        <v>0</v>
      </c>
      <c r="AH23" s="39" t="n">
        <f aca="false">SUM(B23:K23)-AG22</f>
        <v>0</v>
      </c>
      <c r="AJ23" s="41" t="n">
        <f aca="false">17*$AK$4</f>
        <v>17</v>
      </c>
      <c r="AK23" s="43" t="n">
        <f aca="false">INDEX('Snowball Schedule'!$AG$6:$AG$366,AJ23+1)</f>
        <v>0</v>
      </c>
      <c r="AL23" s="43" t="n">
        <f aca="false">INDEX('Avalanche Schedule'!$AG$6:$AG$366,AJ23+1)</f>
        <v>0</v>
      </c>
    </row>
    <row r="24" customFormat="false" ht="15" hidden="false" customHeight="false" outlineLevel="0" collapsed="false">
      <c r="A24" s="40" t="n">
        <f aca="false">DATE(YEAR('Start Here'!$C$6),MONTH('Start Here'!$C$6)+17,1)</f>
        <v>46813</v>
      </c>
      <c r="B24" s="39" t="n">
        <f aca="false">ROUND(V23*(1+N('My Debts'!$D$6)/12),2)</f>
        <v>0</v>
      </c>
      <c r="C24" s="39" t="n">
        <f aca="false">ROUND(W23*(1+N('My Debts'!$D$7)/12),2)</f>
        <v>0</v>
      </c>
      <c r="D24" s="39" t="n">
        <f aca="false">ROUND(X23*(1+N('My Debts'!$D$8)/12),2)</f>
        <v>0</v>
      </c>
      <c r="E24" s="39" t="n">
        <f aca="false">ROUND(Y23*(1+N('My Debts'!$D$9)/12),2)</f>
        <v>0</v>
      </c>
      <c r="F24" s="39" t="n">
        <f aca="false">ROUND(Z23*(1+N('My Debts'!$D$10)/12),2)</f>
        <v>0</v>
      </c>
      <c r="G24" s="39" t="n">
        <f aca="false">ROUND(AA23*(1+N('My Debts'!$D$11)/12),2)</f>
        <v>0</v>
      </c>
      <c r="H24" s="39" t="n">
        <f aca="false">ROUND(AB23*(1+N('My Debts'!$D$12)/12),2)</f>
        <v>0</v>
      </c>
      <c r="I24" s="39" t="n">
        <f aca="false">ROUND(AC23*(1+N('My Debts'!$D$13)/12),2)</f>
        <v>0</v>
      </c>
      <c r="J24" s="39" t="n">
        <f aca="false">ROUND(AD23*(1+N('My Debts'!$D$14)/12),2)</f>
        <v>0</v>
      </c>
      <c r="K24" s="39" t="n">
        <f aca="false">ROUND(AE23*(1+N('My Debts'!$D$15)/12),2)</f>
        <v>0</v>
      </c>
      <c r="L24" s="39" t="n">
        <f aca="false">MIN(N('My Debts'!$E$6),B24)</f>
        <v>0</v>
      </c>
      <c r="M24" s="39" t="n">
        <f aca="false">MIN(N('My Debts'!$E$7),C24)</f>
        <v>0</v>
      </c>
      <c r="N24" s="39" t="n">
        <f aca="false">MIN(N('My Debts'!$E$8),D24)</f>
        <v>0</v>
      </c>
      <c r="O24" s="39" t="n">
        <f aca="false">MIN(N('My Debts'!$E$9),E24)</f>
        <v>0</v>
      </c>
      <c r="P24" s="39" t="n">
        <f aca="false">MIN(N('My Debts'!$E$10),F24)</f>
        <v>0</v>
      </c>
      <c r="Q24" s="39" t="n">
        <f aca="false">MIN(N('My Debts'!$E$11),G24)</f>
        <v>0</v>
      </c>
      <c r="R24" s="39" t="n">
        <f aca="false">MIN(N('My Debts'!$E$12),H24)</f>
        <v>0</v>
      </c>
      <c r="S24" s="39" t="n">
        <f aca="false">MIN(N('My Debts'!$E$13),I24)</f>
        <v>0</v>
      </c>
      <c r="T24" s="39" t="n">
        <f aca="false">MIN(N('My Debts'!$E$14),J24)</f>
        <v>0</v>
      </c>
      <c r="U24" s="39" t="n">
        <f aca="false">MIN(N('My Debts'!$E$15),K24)</f>
        <v>0</v>
      </c>
      <c r="V24" s="39" t="n">
        <f aca="false">ROUND(B24-L24-MIN(B24-L24,MAX(0,$AF24-SUMPRODUCT(--($B$4:$K$4&lt;B$4),$B24:$K24-$L24:$U24))),2)</f>
        <v>0</v>
      </c>
      <c r="W24" s="39" t="n">
        <f aca="false">ROUND(C24-M24-MIN(C24-M24,MAX(0,$AF24-SUMPRODUCT(--($B$4:$K$4&lt;C$4),$B24:$K24-$L24:$U24))),2)</f>
        <v>0</v>
      </c>
      <c r="X24" s="39" t="n">
        <f aca="false">ROUND(D24-N24-MIN(D24-N24,MAX(0,$AF24-SUMPRODUCT(--($B$4:$K$4&lt;D$4),$B24:$K24-$L24:$U24))),2)</f>
        <v>0</v>
      </c>
      <c r="Y24" s="39" t="n">
        <f aca="false">ROUND(E24-O24-MIN(E24-O24,MAX(0,$AF24-SUMPRODUCT(--($B$4:$K$4&lt;E$4),$B24:$K24-$L24:$U24))),2)</f>
        <v>0</v>
      </c>
      <c r="Z24" s="39" t="n">
        <f aca="false">ROUND(F24-P24-MIN(F24-P24,MAX(0,$AF24-SUMPRODUCT(--($B$4:$K$4&lt;F$4),$B24:$K24-$L24:$U24))),2)</f>
        <v>0</v>
      </c>
      <c r="AA24" s="39" t="n">
        <f aca="false">ROUND(G24-Q24-MIN(G24-Q24,MAX(0,$AF24-SUMPRODUCT(--($B$4:$K$4&lt;G$4),$B24:$K24-$L24:$U24))),2)</f>
        <v>0</v>
      </c>
      <c r="AB24" s="39" t="n">
        <f aca="false">ROUND(H24-R24-MIN(H24-R24,MAX(0,$AF24-SUMPRODUCT(--($B$4:$K$4&lt;H$4),$B24:$K24-$L24:$U24))),2)</f>
        <v>0</v>
      </c>
      <c r="AC24" s="39" t="n">
        <f aca="false">ROUND(I24-S24-MIN(I24-S24,MAX(0,$AF24-SUMPRODUCT(--($B$4:$K$4&lt;I$4),$B24:$K24-$L24:$U24))),2)</f>
        <v>0</v>
      </c>
      <c r="AD24" s="39" t="n">
        <f aca="false">ROUND(J24-T24-MIN(J24-T24,MAX(0,$AF24-SUMPRODUCT(--($B$4:$K$4&lt;J$4),$B24:$K24-$L24:$U24))),2)</f>
        <v>0</v>
      </c>
      <c r="AE24" s="39" t="n">
        <f aca="false">ROUND(K24-U24-MIN(K24-U24,MAX(0,$AF24-SUMPRODUCT(--($B$4:$K$4&lt;K$4),$B24:$K24-$L24:$U24))),2)</f>
        <v>0</v>
      </c>
      <c r="AF24" s="39" t="n">
        <f aca="false">MAX(0,'Start Here'!$C$5-SUM($L24:$U24))</f>
        <v>1200</v>
      </c>
      <c r="AG24" s="39" t="n">
        <f aca="false">SUM(V24:AE24)</f>
        <v>0</v>
      </c>
      <c r="AH24" s="39" t="n">
        <f aca="false">SUM(B24:K24)-AG23</f>
        <v>0</v>
      </c>
      <c r="AJ24" s="41" t="n">
        <f aca="false">18*$AK$4</f>
        <v>18</v>
      </c>
      <c r="AK24" s="43" t="n">
        <f aca="false">INDEX('Snowball Schedule'!$AG$6:$AG$366,AJ24+1)</f>
        <v>0</v>
      </c>
      <c r="AL24" s="43" t="n">
        <f aca="false">INDEX('Avalanche Schedule'!$AG$6:$AG$366,AJ24+1)</f>
        <v>0</v>
      </c>
    </row>
    <row r="25" customFormat="false" ht="15" hidden="false" customHeight="false" outlineLevel="0" collapsed="false">
      <c r="A25" s="40" t="n">
        <f aca="false">DATE(YEAR('Start Here'!$C$6),MONTH('Start Here'!$C$6)+18,1)</f>
        <v>46844</v>
      </c>
      <c r="B25" s="39" t="n">
        <f aca="false">ROUND(V24*(1+N('My Debts'!$D$6)/12),2)</f>
        <v>0</v>
      </c>
      <c r="C25" s="39" t="n">
        <f aca="false">ROUND(W24*(1+N('My Debts'!$D$7)/12),2)</f>
        <v>0</v>
      </c>
      <c r="D25" s="39" t="n">
        <f aca="false">ROUND(X24*(1+N('My Debts'!$D$8)/12),2)</f>
        <v>0</v>
      </c>
      <c r="E25" s="39" t="n">
        <f aca="false">ROUND(Y24*(1+N('My Debts'!$D$9)/12),2)</f>
        <v>0</v>
      </c>
      <c r="F25" s="39" t="n">
        <f aca="false">ROUND(Z24*(1+N('My Debts'!$D$10)/12),2)</f>
        <v>0</v>
      </c>
      <c r="G25" s="39" t="n">
        <f aca="false">ROUND(AA24*(1+N('My Debts'!$D$11)/12),2)</f>
        <v>0</v>
      </c>
      <c r="H25" s="39" t="n">
        <f aca="false">ROUND(AB24*(1+N('My Debts'!$D$12)/12),2)</f>
        <v>0</v>
      </c>
      <c r="I25" s="39" t="n">
        <f aca="false">ROUND(AC24*(1+N('My Debts'!$D$13)/12),2)</f>
        <v>0</v>
      </c>
      <c r="J25" s="39" t="n">
        <f aca="false">ROUND(AD24*(1+N('My Debts'!$D$14)/12),2)</f>
        <v>0</v>
      </c>
      <c r="K25" s="39" t="n">
        <f aca="false">ROUND(AE24*(1+N('My Debts'!$D$15)/12),2)</f>
        <v>0</v>
      </c>
      <c r="L25" s="39" t="n">
        <f aca="false">MIN(N('My Debts'!$E$6),B25)</f>
        <v>0</v>
      </c>
      <c r="M25" s="39" t="n">
        <f aca="false">MIN(N('My Debts'!$E$7),C25)</f>
        <v>0</v>
      </c>
      <c r="N25" s="39" t="n">
        <f aca="false">MIN(N('My Debts'!$E$8),D25)</f>
        <v>0</v>
      </c>
      <c r="O25" s="39" t="n">
        <f aca="false">MIN(N('My Debts'!$E$9),E25)</f>
        <v>0</v>
      </c>
      <c r="P25" s="39" t="n">
        <f aca="false">MIN(N('My Debts'!$E$10),F25)</f>
        <v>0</v>
      </c>
      <c r="Q25" s="39" t="n">
        <f aca="false">MIN(N('My Debts'!$E$11),G25)</f>
        <v>0</v>
      </c>
      <c r="R25" s="39" t="n">
        <f aca="false">MIN(N('My Debts'!$E$12),H25)</f>
        <v>0</v>
      </c>
      <c r="S25" s="39" t="n">
        <f aca="false">MIN(N('My Debts'!$E$13),I25)</f>
        <v>0</v>
      </c>
      <c r="T25" s="39" t="n">
        <f aca="false">MIN(N('My Debts'!$E$14),J25)</f>
        <v>0</v>
      </c>
      <c r="U25" s="39" t="n">
        <f aca="false">MIN(N('My Debts'!$E$15),K25)</f>
        <v>0</v>
      </c>
      <c r="V25" s="39" t="n">
        <f aca="false">ROUND(B25-L25-MIN(B25-L25,MAX(0,$AF25-SUMPRODUCT(--($B$4:$K$4&lt;B$4),$B25:$K25-$L25:$U25))),2)</f>
        <v>0</v>
      </c>
      <c r="W25" s="39" t="n">
        <f aca="false">ROUND(C25-M25-MIN(C25-M25,MAX(0,$AF25-SUMPRODUCT(--($B$4:$K$4&lt;C$4),$B25:$K25-$L25:$U25))),2)</f>
        <v>0</v>
      </c>
      <c r="X25" s="39" t="n">
        <f aca="false">ROUND(D25-N25-MIN(D25-N25,MAX(0,$AF25-SUMPRODUCT(--($B$4:$K$4&lt;D$4),$B25:$K25-$L25:$U25))),2)</f>
        <v>0</v>
      </c>
      <c r="Y25" s="39" t="n">
        <f aca="false">ROUND(E25-O25-MIN(E25-O25,MAX(0,$AF25-SUMPRODUCT(--($B$4:$K$4&lt;E$4),$B25:$K25-$L25:$U25))),2)</f>
        <v>0</v>
      </c>
      <c r="Z25" s="39" t="n">
        <f aca="false">ROUND(F25-P25-MIN(F25-P25,MAX(0,$AF25-SUMPRODUCT(--($B$4:$K$4&lt;F$4),$B25:$K25-$L25:$U25))),2)</f>
        <v>0</v>
      </c>
      <c r="AA25" s="39" t="n">
        <f aca="false">ROUND(G25-Q25-MIN(G25-Q25,MAX(0,$AF25-SUMPRODUCT(--($B$4:$K$4&lt;G$4),$B25:$K25-$L25:$U25))),2)</f>
        <v>0</v>
      </c>
      <c r="AB25" s="39" t="n">
        <f aca="false">ROUND(H25-R25-MIN(H25-R25,MAX(0,$AF25-SUMPRODUCT(--($B$4:$K$4&lt;H$4),$B25:$K25-$L25:$U25))),2)</f>
        <v>0</v>
      </c>
      <c r="AC25" s="39" t="n">
        <f aca="false">ROUND(I25-S25-MIN(I25-S25,MAX(0,$AF25-SUMPRODUCT(--($B$4:$K$4&lt;I$4),$B25:$K25-$L25:$U25))),2)</f>
        <v>0</v>
      </c>
      <c r="AD25" s="39" t="n">
        <f aca="false">ROUND(J25-T25-MIN(J25-T25,MAX(0,$AF25-SUMPRODUCT(--($B$4:$K$4&lt;J$4),$B25:$K25-$L25:$U25))),2)</f>
        <v>0</v>
      </c>
      <c r="AE25" s="39" t="n">
        <f aca="false">ROUND(K25-U25-MIN(K25-U25,MAX(0,$AF25-SUMPRODUCT(--($B$4:$K$4&lt;K$4),$B25:$K25-$L25:$U25))),2)</f>
        <v>0</v>
      </c>
      <c r="AF25" s="39" t="n">
        <f aca="false">MAX(0,'Start Here'!$C$5-SUM($L25:$U25))</f>
        <v>1200</v>
      </c>
      <c r="AG25" s="39" t="n">
        <f aca="false">SUM(V25:AE25)</f>
        <v>0</v>
      </c>
      <c r="AH25" s="39" t="n">
        <f aca="false">SUM(B25:K25)-AG24</f>
        <v>0</v>
      </c>
      <c r="AJ25" s="41" t="n">
        <f aca="false">19*$AK$4</f>
        <v>19</v>
      </c>
      <c r="AK25" s="43" t="n">
        <f aca="false">INDEX('Snowball Schedule'!$AG$6:$AG$366,AJ25+1)</f>
        <v>0</v>
      </c>
      <c r="AL25" s="43" t="n">
        <f aca="false">INDEX('Avalanche Schedule'!$AG$6:$AG$366,AJ25+1)</f>
        <v>0</v>
      </c>
    </row>
    <row r="26" customFormat="false" ht="15" hidden="false" customHeight="false" outlineLevel="0" collapsed="false">
      <c r="A26" s="40" t="n">
        <f aca="false">DATE(YEAR('Start Here'!$C$6),MONTH('Start Here'!$C$6)+19,1)</f>
        <v>46874</v>
      </c>
      <c r="B26" s="39" t="n">
        <f aca="false">ROUND(V25*(1+N('My Debts'!$D$6)/12),2)</f>
        <v>0</v>
      </c>
      <c r="C26" s="39" t="n">
        <f aca="false">ROUND(W25*(1+N('My Debts'!$D$7)/12),2)</f>
        <v>0</v>
      </c>
      <c r="D26" s="39" t="n">
        <f aca="false">ROUND(X25*(1+N('My Debts'!$D$8)/12),2)</f>
        <v>0</v>
      </c>
      <c r="E26" s="39" t="n">
        <f aca="false">ROUND(Y25*(1+N('My Debts'!$D$9)/12),2)</f>
        <v>0</v>
      </c>
      <c r="F26" s="39" t="n">
        <f aca="false">ROUND(Z25*(1+N('My Debts'!$D$10)/12),2)</f>
        <v>0</v>
      </c>
      <c r="G26" s="39" t="n">
        <f aca="false">ROUND(AA25*(1+N('My Debts'!$D$11)/12),2)</f>
        <v>0</v>
      </c>
      <c r="H26" s="39" t="n">
        <f aca="false">ROUND(AB25*(1+N('My Debts'!$D$12)/12),2)</f>
        <v>0</v>
      </c>
      <c r="I26" s="39" t="n">
        <f aca="false">ROUND(AC25*(1+N('My Debts'!$D$13)/12),2)</f>
        <v>0</v>
      </c>
      <c r="J26" s="39" t="n">
        <f aca="false">ROUND(AD25*(1+N('My Debts'!$D$14)/12),2)</f>
        <v>0</v>
      </c>
      <c r="K26" s="39" t="n">
        <f aca="false">ROUND(AE25*(1+N('My Debts'!$D$15)/12),2)</f>
        <v>0</v>
      </c>
      <c r="L26" s="39" t="n">
        <f aca="false">MIN(N('My Debts'!$E$6),B26)</f>
        <v>0</v>
      </c>
      <c r="M26" s="39" t="n">
        <f aca="false">MIN(N('My Debts'!$E$7),C26)</f>
        <v>0</v>
      </c>
      <c r="N26" s="39" t="n">
        <f aca="false">MIN(N('My Debts'!$E$8),D26)</f>
        <v>0</v>
      </c>
      <c r="O26" s="39" t="n">
        <f aca="false">MIN(N('My Debts'!$E$9),E26)</f>
        <v>0</v>
      </c>
      <c r="P26" s="39" t="n">
        <f aca="false">MIN(N('My Debts'!$E$10),F26)</f>
        <v>0</v>
      </c>
      <c r="Q26" s="39" t="n">
        <f aca="false">MIN(N('My Debts'!$E$11),G26)</f>
        <v>0</v>
      </c>
      <c r="R26" s="39" t="n">
        <f aca="false">MIN(N('My Debts'!$E$12),H26)</f>
        <v>0</v>
      </c>
      <c r="S26" s="39" t="n">
        <f aca="false">MIN(N('My Debts'!$E$13),I26)</f>
        <v>0</v>
      </c>
      <c r="T26" s="39" t="n">
        <f aca="false">MIN(N('My Debts'!$E$14),J26)</f>
        <v>0</v>
      </c>
      <c r="U26" s="39" t="n">
        <f aca="false">MIN(N('My Debts'!$E$15),K26)</f>
        <v>0</v>
      </c>
      <c r="V26" s="39" t="n">
        <f aca="false">ROUND(B26-L26-MIN(B26-L26,MAX(0,$AF26-SUMPRODUCT(--($B$4:$K$4&lt;B$4),$B26:$K26-$L26:$U26))),2)</f>
        <v>0</v>
      </c>
      <c r="W26" s="39" t="n">
        <f aca="false">ROUND(C26-M26-MIN(C26-M26,MAX(0,$AF26-SUMPRODUCT(--($B$4:$K$4&lt;C$4),$B26:$K26-$L26:$U26))),2)</f>
        <v>0</v>
      </c>
      <c r="X26" s="39" t="n">
        <f aca="false">ROUND(D26-N26-MIN(D26-N26,MAX(0,$AF26-SUMPRODUCT(--($B$4:$K$4&lt;D$4),$B26:$K26-$L26:$U26))),2)</f>
        <v>0</v>
      </c>
      <c r="Y26" s="39" t="n">
        <f aca="false">ROUND(E26-O26-MIN(E26-O26,MAX(0,$AF26-SUMPRODUCT(--($B$4:$K$4&lt;E$4),$B26:$K26-$L26:$U26))),2)</f>
        <v>0</v>
      </c>
      <c r="Z26" s="39" t="n">
        <f aca="false">ROUND(F26-P26-MIN(F26-P26,MAX(0,$AF26-SUMPRODUCT(--($B$4:$K$4&lt;F$4),$B26:$K26-$L26:$U26))),2)</f>
        <v>0</v>
      </c>
      <c r="AA26" s="39" t="n">
        <f aca="false">ROUND(G26-Q26-MIN(G26-Q26,MAX(0,$AF26-SUMPRODUCT(--($B$4:$K$4&lt;G$4),$B26:$K26-$L26:$U26))),2)</f>
        <v>0</v>
      </c>
      <c r="AB26" s="39" t="n">
        <f aca="false">ROUND(H26-R26-MIN(H26-R26,MAX(0,$AF26-SUMPRODUCT(--($B$4:$K$4&lt;H$4),$B26:$K26-$L26:$U26))),2)</f>
        <v>0</v>
      </c>
      <c r="AC26" s="39" t="n">
        <f aca="false">ROUND(I26-S26-MIN(I26-S26,MAX(0,$AF26-SUMPRODUCT(--($B$4:$K$4&lt;I$4),$B26:$K26-$L26:$U26))),2)</f>
        <v>0</v>
      </c>
      <c r="AD26" s="39" t="n">
        <f aca="false">ROUND(J26-T26-MIN(J26-T26,MAX(0,$AF26-SUMPRODUCT(--($B$4:$K$4&lt;J$4),$B26:$K26-$L26:$U26))),2)</f>
        <v>0</v>
      </c>
      <c r="AE26" s="39" t="n">
        <f aca="false">ROUND(K26-U26-MIN(K26-U26,MAX(0,$AF26-SUMPRODUCT(--($B$4:$K$4&lt;K$4),$B26:$K26-$L26:$U26))),2)</f>
        <v>0</v>
      </c>
      <c r="AF26" s="39" t="n">
        <f aca="false">MAX(0,'Start Here'!$C$5-SUM($L26:$U26))</f>
        <v>1200</v>
      </c>
      <c r="AG26" s="39" t="n">
        <f aca="false">SUM(V26:AE26)</f>
        <v>0</v>
      </c>
      <c r="AH26" s="39" t="n">
        <f aca="false">SUM(B26:K26)-AG25</f>
        <v>0</v>
      </c>
      <c r="AJ26" s="41" t="n">
        <f aca="false">20*$AK$4</f>
        <v>20</v>
      </c>
      <c r="AK26" s="43" t="n">
        <f aca="false">INDEX('Snowball Schedule'!$AG$6:$AG$366,AJ26+1)</f>
        <v>0</v>
      </c>
      <c r="AL26" s="43" t="n">
        <f aca="false">INDEX('Avalanche Schedule'!$AG$6:$AG$366,AJ26+1)</f>
        <v>0</v>
      </c>
    </row>
    <row r="27" customFormat="false" ht="15" hidden="false" customHeight="false" outlineLevel="0" collapsed="false">
      <c r="A27" s="40" t="n">
        <f aca="false">DATE(YEAR('Start Here'!$C$6),MONTH('Start Here'!$C$6)+20,1)</f>
        <v>46905</v>
      </c>
      <c r="B27" s="39" t="n">
        <f aca="false">ROUND(V26*(1+N('My Debts'!$D$6)/12),2)</f>
        <v>0</v>
      </c>
      <c r="C27" s="39" t="n">
        <f aca="false">ROUND(W26*(1+N('My Debts'!$D$7)/12),2)</f>
        <v>0</v>
      </c>
      <c r="D27" s="39" t="n">
        <f aca="false">ROUND(X26*(1+N('My Debts'!$D$8)/12),2)</f>
        <v>0</v>
      </c>
      <c r="E27" s="39" t="n">
        <f aca="false">ROUND(Y26*(1+N('My Debts'!$D$9)/12),2)</f>
        <v>0</v>
      </c>
      <c r="F27" s="39" t="n">
        <f aca="false">ROUND(Z26*(1+N('My Debts'!$D$10)/12),2)</f>
        <v>0</v>
      </c>
      <c r="G27" s="39" t="n">
        <f aca="false">ROUND(AA26*(1+N('My Debts'!$D$11)/12),2)</f>
        <v>0</v>
      </c>
      <c r="H27" s="39" t="n">
        <f aca="false">ROUND(AB26*(1+N('My Debts'!$D$12)/12),2)</f>
        <v>0</v>
      </c>
      <c r="I27" s="39" t="n">
        <f aca="false">ROUND(AC26*(1+N('My Debts'!$D$13)/12),2)</f>
        <v>0</v>
      </c>
      <c r="J27" s="39" t="n">
        <f aca="false">ROUND(AD26*(1+N('My Debts'!$D$14)/12),2)</f>
        <v>0</v>
      </c>
      <c r="K27" s="39" t="n">
        <f aca="false">ROUND(AE26*(1+N('My Debts'!$D$15)/12),2)</f>
        <v>0</v>
      </c>
      <c r="L27" s="39" t="n">
        <f aca="false">MIN(N('My Debts'!$E$6),B27)</f>
        <v>0</v>
      </c>
      <c r="M27" s="39" t="n">
        <f aca="false">MIN(N('My Debts'!$E$7),C27)</f>
        <v>0</v>
      </c>
      <c r="N27" s="39" t="n">
        <f aca="false">MIN(N('My Debts'!$E$8),D27)</f>
        <v>0</v>
      </c>
      <c r="O27" s="39" t="n">
        <f aca="false">MIN(N('My Debts'!$E$9),E27)</f>
        <v>0</v>
      </c>
      <c r="P27" s="39" t="n">
        <f aca="false">MIN(N('My Debts'!$E$10),F27)</f>
        <v>0</v>
      </c>
      <c r="Q27" s="39" t="n">
        <f aca="false">MIN(N('My Debts'!$E$11),G27)</f>
        <v>0</v>
      </c>
      <c r="R27" s="39" t="n">
        <f aca="false">MIN(N('My Debts'!$E$12),H27)</f>
        <v>0</v>
      </c>
      <c r="S27" s="39" t="n">
        <f aca="false">MIN(N('My Debts'!$E$13),I27)</f>
        <v>0</v>
      </c>
      <c r="T27" s="39" t="n">
        <f aca="false">MIN(N('My Debts'!$E$14),J27)</f>
        <v>0</v>
      </c>
      <c r="U27" s="39" t="n">
        <f aca="false">MIN(N('My Debts'!$E$15),K27)</f>
        <v>0</v>
      </c>
      <c r="V27" s="39" t="n">
        <f aca="false">ROUND(B27-L27-MIN(B27-L27,MAX(0,$AF27-SUMPRODUCT(--($B$4:$K$4&lt;B$4),$B27:$K27-$L27:$U27))),2)</f>
        <v>0</v>
      </c>
      <c r="W27" s="39" t="n">
        <f aca="false">ROUND(C27-M27-MIN(C27-M27,MAX(0,$AF27-SUMPRODUCT(--($B$4:$K$4&lt;C$4),$B27:$K27-$L27:$U27))),2)</f>
        <v>0</v>
      </c>
      <c r="X27" s="39" t="n">
        <f aca="false">ROUND(D27-N27-MIN(D27-N27,MAX(0,$AF27-SUMPRODUCT(--($B$4:$K$4&lt;D$4),$B27:$K27-$L27:$U27))),2)</f>
        <v>0</v>
      </c>
      <c r="Y27" s="39" t="n">
        <f aca="false">ROUND(E27-O27-MIN(E27-O27,MAX(0,$AF27-SUMPRODUCT(--($B$4:$K$4&lt;E$4),$B27:$K27-$L27:$U27))),2)</f>
        <v>0</v>
      </c>
      <c r="Z27" s="39" t="n">
        <f aca="false">ROUND(F27-P27-MIN(F27-P27,MAX(0,$AF27-SUMPRODUCT(--($B$4:$K$4&lt;F$4),$B27:$K27-$L27:$U27))),2)</f>
        <v>0</v>
      </c>
      <c r="AA27" s="39" t="n">
        <f aca="false">ROUND(G27-Q27-MIN(G27-Q27,MAX(0,$AF27-SUMPRODUCT(--($B$4:$K$4&lt;G$4),$B27:$K27-$L27:$U27))),2)</f>
        <v>0</v>
      </c>
      <c r="AB27" s="39" t="n">
        <f aca="false">ROUND(H27-R27-MIN(H27-R27,MAX(0,$AF27-SUMPRODUCT(--($B$4:$K$4&lt;H$4),$B27:$K27-$L27:$U27))),2)</f>
        <v>0</v>
      </c>
      <c r="AC27" s="39" t="n">
        <f aca="false">ROUND(I27-S27-MIN(I27-S27,MAX(0,$AF27-SUMPRODUCT(--($B$4:$K$4&lt;I$4),$B27:$K27-$L27:$U27))),2)</f>
        <v>0</v>
      </c>
      <c r="AD27" s="39" t="n">
        <f aca="false">ROUND(J27-T27-MIN(J27-T27,MAX(0,$AF27-SUMPRODUCT(--($B$4:$K$4&lt;J$4),$B27:$K27-$L27:$U27))),2)</f>
        <v>0</v>
      </c>
      <c r="AE27" s="39" t="n">
        <f aca="false">ROUND(K27-U27-MIN(K27-U27,MAX(0,$AF27-SUMPRODUCT(--($B$4:$K$4&lt;K$4),$B27:$K27-$L27:$U27))),2)</f>
        <v>0</v>
      </c>
      <c r="AF27" s="39" t="n">
        <f aca="false">MAX(0,'Start Here'!$C$5-SUM($L27:$U27))</f>
        <v>1200</v>
      </c>
      <c r="AG27" s="39" t="n">
        <f aca="false">SUM(V27:AE27)</f>
        <v>0</v>
      </c>
      <c r="AH27" s="39" t="n">
        <f aca="false">SUM(B27:K27)-AG26</f>
        <v>0</v>
      </c>
      <c r="AJ27" s="41" t="n">
        <f aca="false">21*$AK$4</f>
        <v>21</v>
      </c>
      <c r="AK27" s="43" t="n">
        <f aca="false">INDEX('Snowball Schedule'!$AG$6:$AG$366,AJ27+1)</f>
        <v>0</v>
      </c>
      <c r="AL27" s="43" t="n">
        <f aca="false">INDEX('Avalanche Schedule'!$AG$6:$AG$366,AJ27+1)</f>
        <v>0</v>
      </c>
    </row>
    <row r="28" customFormat="false" ht="15" hidden="false" customHeight="false" outlineLevel="0" collapsed="false">
      <c r="A28" s="40" t="n">
        <f aca="false">DATE(YEAR('Start Here'!$C$6),MONTH('Start Here'!$C$6)+21,1)</f>
        <v>46935</v>
      </c>
      <c r="B28" s="39" t="n">
        <f aca="false">ROUND(V27*(1+N('My Debts'!$D$6)/12),2)</f>
        <v>0</v>
      </c>
      <c r="C28" s="39" t="n">
        <f aca="false">ROUND(W27*(1+N('My Debts'!$D$7)/12),2)</f>
        <v>0</v>
      </c>
      <c r="D28" s="39" t="n">
        <f aca="false">ROUND(X27*(1+N('My Debts'!$D$8)/12),2)</f>
        <v>0</v>
      </c>
      <c r="E28" s="39" t="n">
        <f aca="false">ROUND(Y27*(1+N('My Debts'!$D$9)/12),2)</f>
        <v>0</v>
      </c>
      <c r="F28" s="39" t="n">
        <f aca="false">ROUND(Z27*(1+N('My Debts'!$D$10)/12),2)</f>
        <v>0</v>
      </c>
      <c r="G28" s="39" t="n">
        <f aca="false">ROUND(AA27*(1+N('My Debts'!$D$11)/12),2)</f>
        <v>0</v>
      </c>
      <c r="H28" s="39" t="n">
        <f aca="false">ROUND(AB27*(1+N('My Debts'!$D$12)/12),2)</f>
        <v>0</v>
      </c>
      <c r="I28" s="39" t="n">
        <f aca="false">ROUND(AC27*(1+N('My Debts'!$D$13)/12),2)</f>
        <v>0</v>
      </c>
      <c r="J28" s="39" t="n">
        <f aca="false">ROUND(AD27*(1+N('My Debts'!$D$14)/12),2)</f>
        <v>0</v>
      </c>
      <c r="K28" s="39" t="n">
        <f aca="false">ROUND(AE27*(1+N('My Debts'!$D$15)/12),2)</f>
        <v>0</v>
      </c>
      <c r="L28" s="39" t="n">
        <f aca="false">MIN(N('My Debts'!$E$6),B28)</f>
        <v>0</v>
      </c>
      <c r="M28" s="39" t="n">
        <f aca="false">MIN(N('My Debts'!$E$7),C28)</f>
        <v>0</v>
      </c>
      <c r="N28" s="39" t="n">
        <f aca="false">MIN(N('My Debts'!$E$8),D28)</f>
        <v>0</v>
      </c>
      <c r="O28" s="39" t="n">
        <f aca="false">MIN(N('My Debts'!$E$9),E28)</f>
        <v>0</v>
      </c>
      <c r="P28" s="39" t="n">
        <f aca="false">MIN(N('My Debts'!$E$10),F28)</f>
        <v>0</v>
      </c>
      <c r="Q28" s="39" t="n">
        <f aca="false">MIN(N('My Debts'!$E$11),G28)</f>
        <v>0</v>
      </c>
      <c r="R28" s="39" t="n">
        <f aca="false">MIN(N('My Debts'!$E$12),H28)</f>
        <v>0</v>
      </c>
      <c r="S28" s="39" t="n">
        <f aca="false">MIN(N('My Debts'!$E$13),I28)</f>
        <v>0</v>
      </c>
      <c r="T28" s="39" t="n">
        <f aca="false">MIN(N('My Debts'!$E$14),J28)</f>
        <v>0</v>
      </c>
      <c r="U28" s="39" t="n">
        <f aca="false">MIN(N('My Debts'!$E$15),K28)</f>
        <v>0</v>
      </c>
      <c r="V28" s="39" t="n">
        <f aca="false">ROUND(B28-L28-MIN(B28-L28,MAX(0,$AF28-SUMPRODUCT(--($B$4:$K$4&lt;B$4),$B28:$K28-$L28:$U28))),2)</f>
        <v>0</v>
      </c>
      <c r="W28" s="39" t="n">
        <f aca="false">ROUND(C28-M28-MIN(C28-M28,MAX(0,$AF28-SUMPRODUCT(--($B$4:$K$4&lt;C$4),$B28:$K28-$L28:$U28))),2)</f>
        <v>0</v>
      </c>
      <c r="X28" s="39" t="n">
        <f aca="false">ROUND(D28-N28-MIN(D28-N28,MAX(0,$AF28-SUMPRODUCT(--($B$4:$K$4&lt;D$4),$B28:$K28-$L28:$U28))),2)</f>
        <v>0</v>
      </c>
      <c r="Y28" s="39" t="n">
        <f aca="false">ROUND(E28-O28-MIN(E28-O28,MAX(0,$AF28-SUMPRODUCT(--($B$4:$K$4&lt;E$4),$B28:$K28-$L28:$U28))),2)</f>
        <v>0</v>
      </c>
      <c r="Z28" s="39" t="n">
        <f aca="false">ROUND(F28-P28-MIN(F28-P28,MAX(0,$AF28-SUMPRODUCT(--($B$4:$K$4&lt;F$4),$B28:$K28-$L28:$U28))),2)</f>
        <v>0</v>
      </c>
      <c r="AA28" s="39" t="n">
        <f aca="false">ROUND(G28-Q28-MIN(G28-Q28,MAX(0,$AF28-SUMPRODUCT(--($B$4:$K$4&lt;G$4),$B28:$K28-$L28:$U28))),2)</f>
        <v>0</v>
      </c>
      <c r="AB28" s="39" t="n">
        <f aca="false">ROUND(H28-R28-MIN(H28-R28,MAX(0,$AF28-SUMPRODUCT(--($B$4:$K$4&lt;H$4),$B28:$K28-$L28:$U28))),2)</f>
        <v>0</v>
      </c>
      <c r="AC28" s="39" t="n">
        <f aca="false">ROUND(I28-S28-MIN(I28-S28,MAX(0,$AF28-SUMPRODUCT(--($B$4:$K$4&lt;I$4),$B28:$K28-$L28:$U28))),2)</f>
        <v>0</v>
      </c>
      <c r="AD28" s="39" t="n">
        <f aca="false">ROUND(J28-T28-MIN(J28-T28,MAX(0,$AF28-SUMPRODUCT(--($B$4:$K$4&lt;J$4),$B28:$K28-$L28:$U28))),2)</f>
        <v>0</v>
      </c>
      <c r="AE28" s="39" t="n">
        <f aca="false">ROUND(K28-U28-MIN(K28-U28,MAX(0,$AF28-SUMPRODUCT(--($B$4:$K$4&lt;K$4),$B28:$K28-$L28:$U28))),2)</f>
        <v>0</v>
      </c>
      <c r="AF28" s="39" t="n">
        <f aca="false">MAX(0,'Start Here'!$C$5-SUM($L28:$U28))</f>
        <v>1200</v>
      </c>
      <c r="AG28" s="39" t="n">
        <f aca="false">SUM(V28:AE28)</f>
        <v>0</v>
      </c>
      <c r="AH28" s="39" t="n">
        <f aca="false">SUM(B28:K28)-AG27</f>
        <v>0</v>
      </c>
      <c r="AJ28" s="41" t="n">
        <f aca="false">22*$AK$4</f>
        <v>22</v>
      </c>
      <c r="AK28" s="43" t="n">
        <f aca="false">INDEX('Snowball Schedule'!$AG$6:$AG$366,AJ28+1)</f>
        <v>0</v>
      </c>
      <c r="AL28" s="43" t="n">
        <f aca="false">INDEX('Avalanche Schedule'!$AG$6:$AG$366,AJ28+1)</f>
        <v>0</v>
      </c>
    </row>
    <row r="29" customFormat="false" ht="15" hidden="false" customHeight="false" outlineLevel="0" collapsed="false">
      <c r="A29" s="40" t="n">
        <f aca="false">DATE(YEAR('Start Here'!$C$6),MONTH('Start Here'!$C$6)+22,1)</f>
        <v>46966</v>
      </c>
      <c r="B29" s="39" t="n">
        <f aca="false">ROUND(V28*(1+N('My Debts'!$D$6)/12),2)</f>
        <v>0</v>
      </c>
      <c r="C29" s="39" t="n">
        <f aca="false">ROUND(W28*(1+N('My Debts'!$D$7)/12),2)</f>
        <v>0</v>
      </c>
      <c r="D29" s="39" t="n">
        <f aca="false">ROUND(X28*(1+N('My Debts'!$D$8)/12),2)</f>
        <v>0</v>
      </c>
      <c r="E29" s="39" t="n">
        <f aca="false">ROUND(Y28*(1+N('My Debts'!$D$9)/12),2)</f>
        <v>0</v>
      </c>
      <c r="F29" s="39" t="n">
        <f aca="false">ROUND(Z28*(1+N('My Debts'!$D$10)/12),2)</f>
        <v>0</v>
      </c>
      <c r="G29" s="39" t="n">
        <f aca="false">ROUND(AA28*(1+N('My Debts'!$D$11)/12),2)</f>
        <v>0</v>
      </c>
      <c r="H29" s="39" t="n">
        <f aca="false">ROUND(AB28*(1+N('My Debts'!$D$12)/12),2)</f>
        <v>0</v>
      </c>
      <c r="I29" s="39" t="n">
        <f aca="false">ROUND(AC28*(1+N('My Debts'!$D$13)/12),2)</f>
        <v>0</v>
      </c>
      <c r="J29" s="39" t="n">
        <f aca="false">ROUND(AD28*(1+N('My Debts'!$D$14)/12),2)</f>
        <v>0</v>
      </c>
      <c r="K29" s="39" t="n">
        <f aca="false">ROUND(AE28*(1+N('My Debts'!$D$15)/12),2)</f>
        <v>0</v>
      </c>
      <c r="L29" s="39" t="n">
        <f aca="false">MIN(N('My Debts'!$E$6),B29)</f>
        <v>0</v>
      </c>
      <c r="M29" s="39" t="n">
        <f aca="false">MIN(N('My Debts'!$E$7),C29)</f>
        <v>0</v>
      </c>
      <c r="N29" s="39" t="n">
        <f aca="false">MIN(N('My Debts'!$E$8),D29)</f>
        <v>0</v>
      </c>
      <c r="O29" s="39" t="n">
        <f aca="false">MIN(N('My Debts'!$E$9),E29)</f>
        <v>0</v>
      </c>
      <c r="P29" s="39" t="n">
        <f aca="false">MIN(N('My Debts'!$E$10),F29)</f>
        <v>0</v>
      </c>
      <c r="Q29" s="39" t="n">
        <f aca="false">MIN(N('My Debts'!$E$11),G29)</f>
        <v>0</v>
      </c>
      <c r="R29" s="39" t="n">
        <f aca="false">MIN(N('My Debts'!$E$12),H29)</f>
        <v>0</v>
      </c>
      <c r="S29" s="39" t="n">
        <f aca="false">MIN(N('My Debts'!$E$13),I29)</f>
        <v>0</v>
      </c>
      <c r="T29" s="39" t="n">
        <f aca="false">MIN(N('My Debts'!$E$14),J29)</f>
        <v>0</v>
      </c>
      <c r="U29" s="39" t="n">
        <f aca="false">MIN(N('My Debts'!$E$15),K29)</f>
        <v>0</v>
      </c>
      <c r="V29" s="39" t="n">
        <f aca="false">ROUND(B29-L29-MIN(B29-L29,MAX(0,$AF29-SUMPRODUCT(--($B$4:$K$4&lt;B$4),$B29:$K29-$L29:$U29))),2)</f>
        <v>0</v>
      </c>
      <c r="W29" s="39" t="n">
        <f aca="false">ROUND(C29-M29-MIN(C29-M29,MAX(0,$AF29-SUMPRODUCT(--($B$4:$K$4&lt;C$4),$B29:$K29-$L29:$U29))),2)</f>
        <v>0</v>
      </c>
      <c r="X29" s="39" t="n">
        <f aca="false">ROUND(D29-N29-MIN(D29-N29,MAX(0,$AF29-SUMPRODUCT(--($B$4:$K$4&lt;D$4),$B29:$K29-$L29:$U29))),2)</f>
        <v>0</v>
      </c>
      <c r="Y29" s="39" t="n">
        <f aca="false">ROUND(E29-O29-MIN(E29-O29,MAX(0,$AF29-SUMPRODUCT(--($B$4:$K$4&lt;E$4),$B29:$K29-$L29:$U29))),2)</f>
        <v>0</v>
      </c>
      <c r="Z29" s="39" t="n">
        <f aca="false">ROUND(F29-P29-MIN(F29-P29,MAX(0,$AF29-SUMPRODUCT(--($B$4:$K$4&lt;F$4),$B29:$K29-$L29:$U29))),2)</f>
        <v>0</v>
      </c>
      <c r="AA29" s="39" t="n">
        <f aca="false">ROUND(G29-Q29-MIN(G29-Q29,MAX(0,$AF29-SUMPRODUCT(--($B$4:$K$4&lt;G$4),$B29:$K29-$L29:$U29))),2)</f>
        <v>0</v>
      </c>
      <c r="AB29" s="39" t="n">
        <f aca="false">ROUND(H29-R29-MIN(H29-R29,MAX(0,$AF29-SUMPRODUCT(--($B$4:$K$4&lt;H$4),$B29:$K29-$L29:$U29))),2)</f>
        <v>0</v>
      </c>
      <c r="AC29" s="39" t="n">
        <f aca="false">ROUND(I29-S29-MIN(I29-S29,MAX(0,$AF29-SUMPRODUCT(--($B$4:$K$4&lt;I$4),$B29:$K29-$L29:$U29))),2)</f>
        <v>0</v>
      </c>
      <c r="AD29" s="39" t="n">
        <f aca="false">ROUND(J29-T29-MIN(J29-T29,MAX(0,$AF29-SUMPRODUCT(--($B$4:$K$4&lt;J$4),$B29:$K29-$L29:$U29))),2)</f>
        <v>0</v>
      </c>
      <c r="AE29" s="39" t="n">
        <f aca="false">ROUND(K29-U29-MIN(K29-U29,MAX(0,$AF29-SUMPRODUCT(--($B$4:$K$4&lt;K$4),$B29:$K29-$L29:$U29))),2)</f>
        <v>0</v>
      </c>
      <c r="AF29" s="39" t="n">
        <f aca="false">MAX(0,'Start Here'!$C$5-SUM($L29:$U29))</f>
        <v>1200</v>
      </c>
      <c r="AG29" s="39" t="n">
        <f aca="false">SUM(V29:AE29)</f>
        <v>0</v>
      </c>
      <c r="AH29" s="39" t="n">
        <f aca="false">SUM(B29:K29)-AG28</f>
        <v>0</v>
      </c>
      <c r="AJ29" s="41" t="n">
        <f aca="false">23*$AK$4</f>
        <v>23</v>
      </c>
      <c r="AK29" s="43" t="n">
        <f aca="false">INDEX('Snowball Schedule'!$AG$6:$AG$366,AJ29+1)</f>
        <v>0</v>
      </c>
      <c r="AL29" s="43" t="n">
        <f aca="false">INDEX('Avalanche Schedule'!$AG$6:$AG$366,AJ29+1)</f>
        <v>0</v>
      </c>
    </row>
    <row r="30" customFormat="false" ht="15" hidden="false" customHeight="false" outlineLevel="0" collapsed="false">
      <c r="A30" s="40" t="n">
        <f aca="false">DATE(YEAR('Start Here'!$C$6),MONTH('Start Here'!$C$6)+23,1)</f>
        <v>46997</v>
      </c>
      <c r="B30" s="39" t="n">
        <f aca="false">ROUND(V29*(1+N('My Debts'!$D$6)/12),2)</f>
        <v>0</v>
      </c>
      <c r="C30" s="39" t="n">
        <f aca="false">ROUND(W29*(1+N('My Debts'!$D$7)/12),2)</f>
        <v>0</v>
      </c>
      <c r="D30" s="39" t="n">
        <f aca="false">ROUND(X29*(1+N('My Debts'!$D$8)/12),2)</f>
        <v>0</v>
      </c>
      <c r="E30" s="39" t="n">
        <f aca="false">ROUND(Y29*(1+N('My Debts'!$D$9)/12),2)</f>
        <v>0</v>
      </c>
      <c r="F30" s="39" t="n">
        <f aca="false">ROUND(Z29*(1+N('My Debts'!$D$10)/12),2)</f>
        <v>0</v>
      </c>
      <c r="G30" s="39" t="n">
        <f aca="false">ROUND(AA29*(1+N('My Debts'!$D$11)/12),2)</f>
        <v>0</v>
      </c>
      <c r="H30" s="39" t="n">
        <f aca="false">ROUND(AB29*(1+N('My Debts'!$D$12)/12),2)</f>
        <v>0</v>
      </c>
      <c r="I30" s="39" t="n">
        <f aca="false">ROUND(AC29*(1+N('My Debts'!$D$13)/12),2)</f>
        <v>0</v>
      </c>
      <c r="J30" s="39" t="n">
        <f aca="false">ROUND(AD29*(1+N('My Debts'!$D$14)/12),2)</f>
        <v>0</v>
      </c>
      <c r="K30" s="39" t="n">
        <f aca="false">ROUND(AE29*(1+N('My Debts'!$D$15)/12),2)</f>
        <v>0</v>
      </c>
      <c r="L30" s="39" t="n">
        <f aca="false">MIN(N('My Debts'!$E$6),B30)</f>
        <v>0</v>
      </c>
      <c r="M30" s="39" t="n">
        <f aca="false">MIN(N('My Debts'!$E$7),C30)</f>
        <v>0</v>
      </c>
      <c r="N30" s="39" t="n">
        <f aca="false">MIN(N('My Debts'!$E$8),D30)</f>
        <v>0</v>
      </c>
      <c r="O30" s="39" t="n">
        <f aca="false">MIN(N('My Debts'!$E$9),E30)</f>
        <v>0</v>
      </c>
      <c r="P30" s="39" t="n">
        <f aca="false">MIN(N('My Debts'!$E$10),F30)</f>
        <v>0</v>
      </c>
      <c r="Q30" s="39" t="n">
        <f aca="false">MIN(N('My Debts'!$E$11),G30)</f>
        <v>0</v>
      </c>
      <c r="R30" s="39" t="n">
        <f aca="false">MIN(N('My Debts'!$E$12),H30)</f>
        <v>0</v>
      </c>
      <c r="S30" s="39" t="n">
        <f aca="false">MIN(N('My Debts'!$E$13),I30)</f>
        <v>0</v>
      </c>
      <c r="T30" s="39" t="n">
        <f aca="false">MIN(N('My Debts'!$E$14),J30)</f>
        <v>0</v>
      </c>
      <c r="U30" s="39" t="n">
        <f aca="false">MIN(N('My Debts'!$E$15),K30)</f>
        <v>0</v>
      </c>
      <c r="V30" s="39" t="n">
        <f aca="false">ROUND(B30-L30-MIN(B30-L30,MAX(0,$AF30-SUMPRODUCT(--($B$4:$K$4&lt;B$4),$B30:$K30-$L30:$U30))),2)</f>
        <v>0</v>
      </c>
      <c r="W30" s="39" t="n">
        <f aca="false">ROUND(C30-M30-MIN(C30-M30,MAX(0,$AF30-SUMPRODUCT(--($B$4:$K$4&lt;C$4),$B30:$K30-$L30:$U30))),2)</f>
        <v>0</v>
      </c>
      <c r="X30" s="39" t="n">
        <f aca="false">ROUND(D30-N30-MIN(D30-N30,MAX(0,$AF30-SUMPRODUCT(--($B$4:$K$4&lt;D$4),$B30:$K30-$L30:$U30))),2)</f>
        <v>0</v>
      </c>
      <c r="Y30" s="39" t="n">
        <f aca="false">ROUND(E30-O30-MIN(E30-O30,MAX(0,$AF30-SUMPRODUCT(--($B$4:$K$4&lt;E$4),$B30:$K30-$L30:$U30))),2)</f>
        <v>0</v>
      </c>
      <c r="Z30" s="39" t="n">
        <f aca="false">ROUND(F30-P30-MIN(F30-P30,MAX(0,$AF30-SUMPRODUCT(--($B$4:$K$4&lt;F$4),$B30:$K30-$L30:$U30))),2)</f>
        <v>0</v>
      </c>
      <c r="AA30" s="39" t="n">
        <f aca="false">ROUND(G30-Q30-MIN(G30-Q30,MAX(0,$AF30-SUMPRODUCT(--($B$4:$K$4&lt;G$4),$B30:$K30-$L30:$U30))),2)</f>
        <v>0</v>
      </c>
      <c r="AB30" s="39" t="n">
        <f aca="false">ROUND(H30-R30-MIN(H30-R30,MAX(0,$AF30-SUMPRODUCT(--($B$4:$K$4&lt;H$4),$B30:$K30-$L30:$U30))),2)</f>
        <v>0</v>
      </c>
      <c r="AC30" s="39" t="n">
        <f aca="false">ROUND(I30-S30-MIN(I30-S30,MAX(0,$AF30-SUMPRODUCT(--($B$4:$K$4&lt;I$4),$B30:$K30-$L30:$U30))),2)</f>
        <v>0</v>
      </c>
      <c r="AD30" s="39" t="n">
        <f aca="false">ROUND(J30-T30-MIN(J30-T30,MAX(0,$AF30-SUMPRODUCT(--($B$4:$K$4&lt;J$4),$B30:$K30-$L30:$U30))),2)</f>
        <v>0</v>
      </c>
      <c r="AE30" s="39" t="n">
        <f aca="false">ROUND(K30-U30-MIN(K30-U30,MAX(0,$AF30-SUMPRODUCT(--($B$4:$K$4&lt;K$4),$B30:$K30-$L30:$U30))),2)</f>
        <v>0</v>
      </c>
      <c r="AF30" s="39" t="n">
        <f aca="false">MAX(0,'Start Here'!$C$5-SUM($L30:$U30))</f>
        <v>1200</v>
      </c>
      <c r="AG30" s="39" t="n">
        <f aca="false">SUM(V30:AE30)</f>
        <v>0</v>
      </c>
      <c r="AH30" s="39" t="n">
        <f aca="false">SUM(B30:K30)-AG29</f>
        <v>0</v>
      </c>
      <c r="AJ30" s="41" t="n">
        <f aca="false">24*$AK$4</f>
        <v>24</v>
      </c>
      <c r="AK30" s="43" t="n">
        <f aca="false">INDEX('Snowball Schedule'!$AG$6:$AG$366,AJ30+1)</f>
        <v>0</v>
      </c>
      <c r="AL30" s="43" t="n">
        <f aca="false">INDEX('Avalanche Schedule'!$AG$6:$AG$366,AJ30+1)</f>
        <v>0</v>
      </c>
    </row>
    <row r="31" customFormat="false" ht="15" hidden="false" customHeight="false" outlineLevel="0" collapsed="false">
      <c r="A31" s="40" t="n">
        <f aca="false">DATE(YEAR('Start Here'!$C$6),MONTH('Start Here'!$C$6)+24,1)</f>
        <v>47027</v>
      </c>
      <c r="B31" s="39" t="n">
        <f aca="false">ROUND(V30*(1+N('My Debts'!$D$6)/12),2)</f>
        <v>0</v>
      </c>
      <c r="C31" s="39" t="n">
        <f aca="false">ROUND(W30*(1+N('My Debts'!$D$7)/12),2)</f>
        <v>0</v>
      </c>
      <c r="D31" s="39" t="n">
        <f aca="false">ROUND(X30*(1+N('My Debts'!$D$8)/12),2)</f>
        <v>0</v>
      </c>
      <c r="E31" s="39" t="n">
        <f aca="false">ROUND(Y30*(1+N('My Debts'!$D$9)/12),2)</f>
        <v>0</v>
      </c>
      <c r="F31" s="39" t="n">
        <f aca="false">ROUND(Z30*(1+N('My Debts'!$D$10)/12),2)</f>
        <v>0</v>
      </c>
      <c r="G31" s="39" t="n">
        <f aca="false">ROUND(AA30*(1+N('My Debts'!$D$11)/12),2)</f>
        <v>0</v>
      </c>
      <c r="H31" s="39" t="n">
        <f aca="false">ROUND(AB30*(1+N('My Debts'!$D$12)/12),2)</f>
        <v>0</v>
      </c>
      <c r="I31" s="39" t="n">
        <f aca="false">ROUND(AC30*(1+N('My Debts'!$D$13)/12),2)</f>
        <v>0</v>
      </c>
      <c r="J31" s="39" t="n">
        <f aca="false">ROUND(AD30*(1+N('My Debts'!$D$14)/12),2)</f>
        <v>0</v>
      </c>
      <c r="K31" s="39" t="n">
        <f aca="false">ROUND(AE30*(1+N('My Debts'!$D$15)/12),2)</f>
        <v>0</v>
      </c>
      <c r="L31" s="39" t="n">
        <f aca="false">MIN(N('My Debts'!$E$6),B31)</f>
        <v>0</v>
      </c>
      <c r="M31" s="39" t="n">
        <f aca="false">MIN(N('My Debts'!$E$7),C31)</f>
        <v>0</v>
      </c>
      <c r="N31" s="39" t="n">
        <f aca="false">MIN(N('My Debts'!$E$8),D31)</f>
        <v>0</v>
      </c>
      <c r="O31" s="39" t="n">
        <f aca="false">MIN(N('My Debts'!$E$9),E31)</f>
        <v>0</v>
      </c>
      <c r="P31" s="39" t="n">
        <f aca="false">MIN(N('My Debts'!$E$10),F31)</f>
        <v>0</v>
      </c>
      <c r="Q31" s="39" t="n">
        <f aca="false">MIN(N('My Debts'!$E$11),G31)</f>
        <v>0</v>
      </c>
      <c r="R31" s="39" t="n">
        <f aca="false">MIN(N('My Debts'!$E$12),H31)</f>
        <v>0</v>
      </c>
      <c r="S31" s="39" t="n">
        <f aca="false">MIN(N('My Debts'!$E$13),I31)</f>
        <v>0</v>
      </c>
      <c r="T31" s="39" t="n">
        <f aca="false">MIN(N('My Debts'!$E$14),J31)</f>
        <v>0</v>
      </c>
      <c r="U31" s="39" t="n">
        <f aca="false">MIN(N('My Debts'!$E$15),K31)</f>
        <v>0</v>
      </c>
      <c r="V31" s="39" t="n">
        <f aca="false">ROUND(B31-L31-MIN(B31-L31,MAX(0,$AF31-SUMPRODUCT(--($B$4:$K$4&lt;B$4),$B31:$K31-$L31:$U31))),2)</f>
        <v>0</v>
      </c>
      <c r="W31" s="39" t="n">
        <f aca="false">ROUND(C31-M31-MIN(C31-M31,MAX(0,$AF31-SUMPRODUCT(--($B$4:$K$4&lt;C$4),$B31:$K31-$L31:$U31))),2)</f>
        <v>0</v>
      </c>
      <c r="X31" s="39" t="n">
        <f aca="false">ROUND(D31-N31-MIN(D31-N31,MAX(0,$AF31-SUMPRODUCT(--($B$4:$K$4&lt;D$4),$B31:$K31-$L31:$U31))),2)</f>
        <v>0</v>
      </c>
      <c r="Y31" s="39" t="n">
        <f aca="false">ROUND(E31-O31-MIN(E31-O31,MAX(0,$AF31-SUMPRODUCT(--($B$4:$K$4&lt;E$4),$B31:$K31-$L31:$U31))),2)</f>
        <v>0</v>
      </c>
      <c r="Z31" s="39" t="n">
        <f aca="false">ROUND(F31-P31-MIN(F31-P31,MAX(0,$AF31-SUMPRODUCT(--($B$4:$K$4&lt;F$4),$B31:$K31-$L31:$U31))),2)</f>
        <v>0</v>
      </c>
      <c r="AA31" s="39" t="n">
        <f aca="false">ROUND(G31-Q31-MIN(G31-Q31,MAX(0,$AF31-SUMPRODUCT(--($B$4:$K$4&lt;G$4),$B31:$K31-$L31:$U31))),2)</f>
        <v>0</v>
      </c>
      <c r="AB31" s="39" t="n">
        <f aca="false">ROUND(H31-R31-MIN(H31-R31,MAX(0,$AF31-SUMPRODUCT(--($B$4:$K$4&lt;H$4),$B31:$K31-$L31:$U31))),2)</f>
        <v>0</v>
      </c>
      <c r="AC31" s="39" t="n">
        <f aca="false">ROUND(I31-S31-MIN(I31-S31,MAX(0,$AF31-SUMPRODUCT(--($B$4:$K$4&lt;I$4),$B31:$K31-$L31:$U31))),2)</f>
        <v>0</v>
      </c>
      <c r="AD31" s="39" t="n">
        <f aca="false">ROUND(J31-T31-MIN(J31-T31,MAX(0,$AF31-SUMPRODUCT(--($B$4:$K$4&lt;J$4),$B31:$K31-$L31:$U31))),2)</f>
        <v>0</v>
      </c>
      <c r="AE31" s="39" t="n">
        <f aca="false">ROUND(K31-U31-MIN(K31-U31,MAX(0,$AF31-SUMPRODUCT(--($B$4:$K$4&lt;K$4),$B31:$K31-$L31:$U31))),2)</f>
        <v>0</v>
      </c>
      <c r="AF31" s="39" t="n">
        <f aca="false">MAX(0,'Start Here'!$C$5-SUM($L31:$U31))</f>
        <v>1200</v>
      </c>
      <c r="AG31" s="39" t="n">
        <f aca="false">SUM(V31:AE31)</f>
        <v>0</v>
      </c>
      <c r="AH31" s="39" t="n">
        <f aca="false">SUM(B31:K31)-AG30</f>
        <v>0</v>
      </c>
      <c r="AJ31" s="41" t="n">
        <f aca="false">25*$AK$4</f>
        <v>25</v>
      </c>
      <c r="AK31" s="43" t="n">
        <f aca="false">INDEX('Snowball Schedule'!$AG$6:$AG$366,AJ31+1)</f>
        <v>0</v>
      </c>
      <c r="AL31" s="43" t="n">
        <f aca="false">INDEX('Avalanche Schedule'!$AG$6:$AG$366,AJ31+1)</f>
        <v>0</v>
      </c>
    </row>
    <row r="32" customFormat="false" ht="15" hidden="false" customHeight="false" outlineLevel="0" collapsed="false">
      <c r="A32" s="40" t="n">
        <f aca="false">DATE(YEAR('Start Here'!$C$6),MONTH('Start Here'!$C$6)+25,1)</f>
        <v>47058</v>
      </c>
      <c r="B32" s="39" t="n">
        <f aca="false">ROUND(V31*(1+N('My Debts'!$D$6)/12),2)</f>
        <v>0</v>
      </c>
      <c r="C32" s="39" t="n">
        <f aca="false">ROUND(W31*(1+N('My Debts'!$D$7)/12),2)</f>
        <v>0</v>
      </c>
      <c r="D32" s="39" t="n">
        <f aca="false">ROUND(X31*(1+N('My Debts'!$D$8)/12),2)</f>
        <v>0</v>
      </c>
      <c r="E32" s="39" t="n">
        <f aca="false">ROUND(Y31*(1+N('My Debts'!$D$9)/12),2)</f>
        <v>0</v>
      </c>
      <c r="F32" s="39" t="n">
        <f aca="false">ROUND(Z31*(1+N('My Debts'!$D$10)/12),2)</f>
        <v>0</v>
      </c>
      <c r="G32" s="39" t="n">
        <f aca="false">ROUND(AA31*(1+N('My Debts'!$D$11)/12),2)</f>
        <v>0</v>
      </c>
      <c r="H32" s="39" t="n">
        <f aca="false">ROUND(AB31*(1+N('My Debts'!$D$12)/12),2)</f>
        <v>0</v>
      </c>
      <c r="I32" s="39" t="n">
        <f aca="false">ROUND(AC31*(1+N('My Debts'!$D$13)/12),2)</f>
        <v>0</v>
      </c>
      <c r="J32" s="39" t="n">
        <f aca="false">ROUND(AD31*(1+N('My Debts'!$D$14)/12),2)</f>
        <v>0</v>
      </c>
      <c r="K32" s="39" t="n">
        <f aca="false">ROUND(AE31*(1+N('My Debts'!$D$15)/12),2)</f>
        <v>0</v>
      </c>
      <c r="L32" s="39" t="n">
        <f aca="false">MIN(N('My Debts'!$E$6),B32)</f>
        <v>0</v>
      </c>
      <c r="M32" s="39" t="n">
        <f aca="false">MIN(N('My Debts'!$E$7),C32)</f>
        <v>0</v>
      </c>
      <c r="N32" s="39" t="n">
        <f aca="false">MIN(N('My Debts'!$E$8),D32)</f>
        <v>0</v>
      </c>
      <c r="O32" s="39" t="n">
        <f aca="false">MIN(N('My Debts'!$E$9),E32)</f>
        <v>0</v>
      </c>
      <c r="P32" s="39" t="n">
        <f aca="false">MIN(N('My Debts'!$E$10),F32)</f>
        <v>0</v>
      </c>
      <c r="Q32" s="39" t="n">
        <f aca="false">MIN(N('My Debts'!$E$11),G32)</f>
        <v>0</v>
      </c>
      <c r="R32" s="39" t="n">
        <f aca="false">MIN(N('My Debts'!$E$12),H32)</f>
        <v>0</v>
      </c>
      <c r="S32" s="39" t="n">
        <f aca="false">MIN(N('My Debts'!$E$13),I32)</f>
        <v>0</v>
      </c>
      <c r="T32" s="39" t="n">
        <f aca="false">MIN(N('My Debts'!$E$14),J32)</f>
        <v>0</v>
      </c>
      <c r="U32" s="39" t="n">
        <f aca="false">MIN(N('My Debts'!$E$15),K32)</f>
        <v>0</v>
      </c>
      <c r="V32" s="39" t="n">
        <f aca="false">ROUND(B32-L32-MIN(B32-L32,MAX(0,$AF32-SUMPRODUCT(--($B$4:$K$4&lt;B$4),$B32:$K32-$L32:$U32))),2)</f>
        <v>0</v>
      </c>
      <c r="W32" s="39" t="n">
        <f aca="false">ROUND(C32-M32-MIN(C32-M32,MAX(0,$AF32-SUMPRODUCT(--($B$4:$K$4&lt;C$4),$B32:$K32-$L32:$U32))),2)</f>
        <v>0</v>
      </c>
      <c r="X32" s="39" t="n">
        <f aca="false">ROUND(D32-N32-MIN(D32-N32,MAX(0,$AF32-SUMPRODUCT(--($B$4:$K$4&lt;D$4),$B32:$K32-$L32:$U32))),2)</f>
        <v>0</v>
      </c>
      <c r="Y32" s="39" t="n">
        <f aca="false">ROUND(E32-O32-MIN(E32-O32,MAX(0,$AF32-SUMPRODUCT(--($B$4:$K$4&lt;E$4),$B32:$K32-$L32:$U32))),2)</f>
        <v>0</v>
      </c>
      <c r="Z32" s="39" t="n">
        <f aca="false">ROUND(F32-P32-MIN(F32-P32,MAX(0,$AF32-SUMPRODUCT(--($B$4:$K$4&lt;F$4),$B32:$K32-$L32:$U32))),2)</f>
        <v>0</v>
      </c>
      <c r="AA32" s="39" t="n">
        <f aca="false">ROUND(G32-Q32-MIN(G32-Q32,MAX(0,$AF32-SUMPRODUCT(--($B$4:$K$4&lt;G$4),$B32:$K32-$L32:$U32))),2)</f>
        <v>0</v>
      </c>
      <c r="AB32" s="39" t="n">
        <f aca="false">ROUND(H32-R32-MIN(H32-R32,MAX(0,$AF32-SUMPRODUCT(--($B$4:$K$4&lt;H$4),$B32:$K32-$L32:$U32))),2)</f>
        <v>0</v>
      </c>
      <c r="AC32" s="39" t="n">
        <f aca="false">ROUND(I32-S32-MIN(I32-S32,MAX(0,$AF32-SUMPRODUCT(--($B$4:$K$4&lt;I$4),$B32:$K32-$L32:$U32))),2)</f>
        <v>0</v>
      </c>
      <c r="AD32" s="39" t="n">
        <f aca="false">ROUND(J32-T32-MIN(J32-T32,MAX(0,$AF32-SUMPRODUCT(--($B$4:$K$4&lt;J$4),$B32:$K32-$L32:$U32))),2)</f>
        <v>0</v>
      </c>
      <c r="AE32" s="39" t="n">
        <f aca="false">ROUND(K32-U32-MIN(K32-U32,MAX(0,$AF32-SUMPRODUCT(--($B$4:$K$4&lt;K$4),$B32:$K32-$L32:$U32))),2)</f>
        <v>0</v>
      </c>
      <c r="AF32" s="39" t="n">
        <f aca="false">MAX(0,'Start Here'!$C$5-SUM($L32:$U32))</f>
        <v>1200</v>
      </c>
      <c r="AG32" s="39" t="n">
        <f aca="false">SUM(V32:AE32)</f>
        <v>0</v>
      </c>
      <c r="AH32" s="39" t="n">
        <f aca="false">SUM(B32:K32)-AG31</f>
        <v>0</v>
      </c>
      <c r="AJ32" s="41" t="n">
        <f aca="false">26*$AK$4</f>
        <v>26</v>
      </c>
      <c r="AK32" s="43" t="n">
        <f aca="false">INDEX('Snowball Schedule'!$AG$6:$AG$366,AJ32+1)</f>
        <v>0</v>
      </c>
      <c r="AL32" s="43" t="n">
        <f aca="false">INDEX('Avalanche Schedule'!$AG$6:$AG$366,AJ32+1)</f>
        <v>0</v>
      </c>
    </row>
    <row r="33" customFormat="false" ht="15" hidden="false" customHeight="false" outlineLevel="0" collapsed="false">
      <c r="A33" s="40" t="n">
        <f aca="false">DATE(YEAR('Start Here'!$C$6),MONTH('Start Here'!$C$6)+26,1)</f>
        <v>47088</v>
      </c>
      <c r="B33" s="39" t="n">
        <f aca="false">ROUND(V32*(1+N('My Debts'!$D$6)/12),2)</f>
        <v>0</v>
      </c>
      <c r="C33" s="39" t="n">
        <f aca="false">ROUND(W32*(1+N('My Debts'!$D$7)/12),2)</f>
        <v>0</v>
      </c>
      <c r="D33" s="39" t="n">
        <f aca="false">ROUND(X32*(1+N('My Debts'!$D$8)/12),2)</f>
        <v>0</v>
      </c>
      <c r="E33" s="39" t="n">
        <f aca="false">ROUND(Y32*(1+N('My Debts'!$D$9)/12),2)</f>
        <v>0</v>
      </c>
      <c r="F33" s="39" t="n">
        <f aca="false">ROUND(Z32*(1+N('My Debts'!$D$10)/12),2)</f>
        <v>0</v>
      </c>
      <c r="G33" s="39" t="n">
        <f aca="false">ROUND(AA32*(1+N('My Debts'!$D$11)/12),2)</f>
        <v>0</v>
      </c>
      <c r="H33" s="39" t="n">
        <f aca="false">ROUND(AB32*(1+N('My Debts'!$D$12)/12),2)</f>
        <v>0</v>
      </c>
      <c r="I33" s="39" t="n">
        <f aca="false">ROUND(AC32*(1+N('My Debts'!$D$13)/12),2)</f>
        <v>0</v>
      </c>
      <c r="J33" s="39" t="n">
        <f aca="false">ROUND(AD32*(1+N('My Debts'!$D$14)/12),2)</f>
        <v>0</v>
      </c>
      <c r="K33" s="39" t="n">
        <f aca="false">ROUND(AE32*(1+N('My Debts'!$D$15)/12),2)</f>
        <v>0</v>
      </c>
      <c r="L33" s="39" t="n">
        <f aca="false">MIN(N('My Debts'!$E$6),B33)</f>
        <v>0</v>
      </c>
      <c r="M33" s="39" t="n">
        <f aca="false">MIN(N('My Debts'!$E$7),C33)</f>
        <v>0</v>
      </c>
      <c r="N33" s="39" t="n">
        <f aca="false">MIN(N('My Debts'!$E$8),D33)</f>
        <v>0</v>
      </c>
      <c r="O33" s="39" t="n">
        <f aca="false">MIN(N('My Debts'!$E$9),E33)</f>
        <v>0</v>
      </c>
      <c r="P33" s="39" t="n">
        <f aca="false">MIN(N('My Debts'!$E$10),F33)</f>
        <v>0</v>
      </c>
      <c r="Q33" s="39" t="n">
        <f aca="false">MIN(N('My Debts'!$E$11),G33)</f>
        <v>0</v>
      </c>
      <c r="R33" s="39" t="n">
        <f aca="false">MIN(N('My Debts'!$E$12),H33)</f>
        <v>0</v>
      </c>
      <c r="S33" s="39" t="n">
        <f aca="false">MIN(N('My Debts'!$E$13),I33)</f>
        <v>0</v>
      </c>
      <c r="T33" s="39" t="n">
        <f aca="false">MIN(N('My Debts'!$E$14),J33)</f>
        <v>0</v>
      </c>
      <c r="U33" s="39" t="n">
        <f aca="false">MIN(N('My Debts'!$E$15),K33)</f>
        <v>0</v>
      </c>
      <c r="V33" s="39" t="n">
        <f aca="false">ROUND(B33-L33-MIN(B33-L33,MAX(0,$AF33-SUMPRODUCT(--($B$4:$K$4&lt;B$4),$B33:$K33-$L33:$U33))),2)</f>
        <v>0</v>
      </c>
      <c r="W33" s="39" t="n">
        <f aca="false">ROUND(C33-M33-MIN(C33-M33,MAX(0,$AF33-SUMPRODUCT(--($B$4:$K$4&lt;C$4),$B33:$K33-$L33:$U33))),2)</f>
        <v>0</v>
      </c>
      <c r="X33" s="39" t="n">
        <f aca="false">ROUND(D33-N33-MIN(D33-N33,MAX(0,$AF33-SUMPRODUCT(--($B$4:$K$4&lt;D$4),$B33:$K33-$L33:$U33))),2)</f>
        <v>0</v>
      </c>
      <c r="Y33" s="39" t="n">
        <f aca="false">ROUND(E33-O33-MIN(E33-O33,MAX(0,$AF33-SUMPRODUCT(--($B$4:$K$4&lt;E$4),$B33:$K33-$L33:$U33))),2)</f>
        <v>0</v>
      </c>
      <c r="Z33" s="39" t="n">
        <f aca="false">ROUND(F33-P33-MIN(F33-P33,MAX(0,$AF33-SUMPRODUCT(--($B$4:$K$4&lt;F$4),$B33:$K33-$L33:$U33))),2)</f>
        <v>0</v>
      </c>
      <c r="AA33" s="39" t="n">
        <f aca="false">ROUND(G33-Q33-MIN(G33-Q33,MAX(0,$AF33-SUMPRODUCT(--($B$4:$K$4&lt;G$4),$B33:$K33-$L33:$U33))),2)</f>
        <v>0</v>
      </c>
      <c r="AB33" s="39" t="n">
        <f aca="false">ROUND(H33-R33-MIN(H33-R33,MAX(0,$AF33-SUMPRODUCT(--($B$4:$K$4&lt;H$4),$B33:$K33-$L33:$U33))),2)</f>
        <v>0</v>
      </c>
      <c r="AC33" s="39" t="n">
        <f aca="false">ROUND(I33-S33-MIN(I33-S33,MAX(0,$AF33-SUMPRODUCT(--($B$4:$K$4&lt;I$4),$B33:$K33-$L33:$U33))),2)</f>
        <v>0</v>
      </c>
      <c r="AD33" s="39" t="n">
        <f aca="false">ROUND(J33-T33-MIN(J33-T33,MAX(0,$AF33-SUMPRODUCT(--($B$4:$K$4&lt;J$4),$B33:$K33-$L33:$U33))),2)</f>
        <v>0</v>
      </c>
      <c r="AE33" s="39" t="n">
        <f aca="false">ROUND(K33-U33-MIN(K33-U33,MAX(0,$AF33-SUMPRODUCT(--($B$4:$K$4&lt;K$4),$B33:$K33-$L33:$U33))),2)</f>
        <v>0</v>
      </c>
      <c r="AF33" s="39" t="n">
        <f aca="false">MAX(0,'Start Here'!$C$5-SUM($L33:$U33))</f>
        <v>1200</v>
      </c>
      <c r="AG33" s="39" t="n">
        <f aca="false">SUM(V33:AE33)</f>
        <v>0</v>
      </c>
      <c r="AH33" s="39" t="n">
        <f aca="false">SUM(B33:K33)-AG32</f>
        <v>0</v>
      </c>
      <c r="AJ33" s="41" t="n">
        <f aca="false">27*$AK$4</f>
        <v>27</v>
      </c>
      <c r="AK33" s="43" t="n">
        <f aca="false">INDEX('Snowball Schedule'!$AG$6:$AG$366,AJ33+1)</f>
        <v>0</v>
      </c>
      <c r="AL33" s="43" t="n">
        <f aca="false">INDEX('Avalanche Schedule'!$AG$6:$AG$366,AJ33+1)</f>
        <v>0</v>
      </c>
    </row>
    <row r="34" customFormat="false" ht="15" hidden="false" customHeight="false" outlineLevel="0" collapsed="false">
      <c r="A34" s="40" t="n">
        <f aca="false">DATE(YEAR('Start Here'!$C$6),MONTH('Start Here'!$C$6)+27,1)</f>
        <v>47119</v>
      </c>
      <c r="B34" s="39" t="n">
        <f aca="false">ROUND(V33*(1+N('My Debts'!$D$6)/12),2)</f>
        <v>0</v>
      </c>
      <c r="C34" s="39" t="n">
        <f aca="false">ROUND(W33*(1+N('My Debts'!$D$7)/12),2)</f>
        <v>0</v>
      </c>
      <c r="D34" s="39" t="n">
        <f aca="false">ROUND(X33*(1+N('My Debts'!$D$8)/12),2)</f>
        <v>0</v>
      </c>
      <c r="E34" s="39" t="n">
        <f aca="false">ROUND(Y33*(1+N('My Debts'!$D$9)/12),2)</f>
        <v>0</v>
      </c>
      <c r="F34" s="39" t="n">
        <f aca="false">ROUND(Z33*(1+N('My Debts'!$D$10)/12),2)</f>
        <v>0</v>
      </c>
      <c r="G34" s="39" t="n">
        <f aca="false">ROUND(AA33*(1+N('My Debts'!$D$11)/12),2)</f>
        <v>0</v>
      </c>
      <c r="H34" s="39" t="n">
        <f aca="false">ROUND(AB33*(1+N('My Debts'!$D$12)/12),2)</f>
        <v>0</v>
      </c>
      <c r="I34" s="39" t="n">
        <f aca="false">ROUND(AC33*(1+N('My Debts'!$D$13)/12),2)</f>
        <v>0</v>
      </c>
      <c r="J34" s="39" t="n">
        <f aca="false">ROUND(AD33*(1+N('My Debts'!$D$14)/12),2)</f>
        <v>0</v>
      </c>
      <c r="K34" s="39" t="n">
        <f aca="false">ROUND(AE33*(1+N('My Debts'!$D$15)/12),2)</f>
        <v>0</v>
      </c>
      <c r="L34" s="39" t="n">
        <f aca="false">MIN(N('My Debts'!$E$6),B34)</f>
        <v>0</v>
      </c>
      <c r="M34" s="39" t="n">
        <f aca="false">MIN(N('My Debts'!$E$7),C34)</f>
        <v>0</v>
      </c>
      <c r="N34" s="39" t="n">
        <f aca="false">MIN(N('My Debts'!$E$8),D34)</f>
        <v>0</v>
      </c>
      <c r="O34" s="39" t="n">
        <f aca="false">MIN(N('My Debts'!$E$9),E34)</f>
        <v>0</v>
      </c>
      <c r="P34" s="39" t="n">
        <f aca="false">MIN(N('My Debts'!$E$10),F34)</f>
        <v>0</v>
      </c>
      <c r="Q34" s="39" t="n">
        <f aca="false">MIN(N('My Debts'!$E$11),G34)</f>
        <v>0</v>
      </c>
      <c r="R34" s="39" t="n">
        <f aca="false">MIN(N('My Debts'!$E$12),H34)</f>
        <v>0</v>
      </c>
      <c r="S34" s="39" t="n">
        <f aca="false">MIN(N('My Debts'!$E$13),I34)</f>
        <v>0</v>
      </c>
      <c r="T34" s="39" t="n">
        <f aca="false">MIN(N('My Debts'!$E$14),J34)</f>
        <v>0</v>
      </c>
      <c r="U34" s="39" t="n">
        <f aca="false">MIN(N('My Debts'!$E$15),K34)</f>
        <v>0</v>
      </c>
      <c r="V34" s="39" t="n">
        <f aca="false">ROUND(B34-L34-MIN(B34-L34,MAX(0,$AF34-SUMPRODUCT(--($B$4:$K$4&lt;B$4),$B34:$K34-$L34:$U34))),2)</f>
        <v>0</v>
      </c>
      <c r="W34" s="39" t="n">
        <f aca="false">ROUND(C34-M34-MIN(C34-M34,MAX(0,$AF34-SUMPRODUCT(--($B$4:$K$4&lt;C$4),$B34:$K34-$L34:$U34))),2)</f>
        <v>0</v>
      </c>
      <c r="X34" s="39" t="n">
        <f aca="false">ROUND(D34-N34-MIN(D34-N34,MAX(0,$AF34-SUMPRODUCT(--($B$4:$K$4&lt;D$4),$B34:$K34-$L34:$U34))),2)</f>
        <v>0</v>
      </c>
      <c r="Y34" s="39" t="n">
        <f aca="false">ROUND(E34-O34-MIN(E34-O34,MAX(0,$AF34-SUMPRODUCT(--($B$4:$K$4&lt;E$4),$B34:$K34-$L34:$U34))),2)</f>
        <v>0</v>
      </c>
      <c r="Z34" s="39" t="n">
        <f aca="false">ROUND(F34-P34-MIN(F34-P34,MAX(0,$AF34-SUMPRODUCT(--($B$4:$K$4&lt;F$4),$B34:$K34-$L34:$U34))),2)</f>
        <v>0</v>
      </c>
      <c r="AA34" s="39" t="n">
        <f aca="false">ROUND(G34-Q34-MIN(G34-Q34,MAX(0,$AF34-SUMPRODUCT(--($B$4:$K$4&lt;G$4),$B34:$K34-$L34:$U34))),2)</f>
        <v>0</v>
      </c>
      <c r="AB34" s="39" t="n">
        <f aca="false">ROUND(H34-R34-MIN(H34-R34,MAX(0,$AF34-SUMPRODUCT(--($B$4:$K$4&lt;H$4),$B34:$K34-$L34:$U34))),2)</f>
        <v>0</v>
      </c>
      <c r="AC34" s="39" t="n">
        <f aca="false">ROUND(I34-S34-MIN(I34-S34,MAX(0,$AF34-SUMPRODUCT(--($B$4:$K$4&lt;I$4),$B34:$K34-$L34:$U34))),2)</f>
        <v>0</v>
      </c>
      <c r="AD34" s="39" t="n">
        <f aca="false">ROUND(J34-T34-MIN(J34-T34,MAX(0,$AF34-SUMPRODUCT(--($B$4:$K$4&lt;J$4),$B34:$K34-$L34:$U34))),2)</f>
        <v>0</v>
      </c>
      <c r="AE34" s="39" t="n">
        <f aca="false">ROUND(K34-U34-MIN(K34-U34,MAX(0,$AF34-SUMPRODUCT(--($B$4:$K$4&lt;K$4),$B34:$K34-$L34:$U34))),2)</f>
        <v>0</v>
      </c>
      <c r="AF34" s="39" t="n">
        <f aca="false">MAX(0,'Start Here'!$C$5-SUM($L34:$U34))</f>
        <v>1200</v>
      </c>
      <c r="AG34" s="39" t="n">
        <f aca="false">SUM(V34:AE34)</f>
        <v>0</v>
      </c>
      <c r="AH34" s="39" t="n">
        <f aca="false">SUM(B34:K34)-AG33</f>
        <v>0</v>
      </c>
      <c r="AJ34" s="41" t="n">
        <f aca="false">28*$AK$4</f>
        <v>28</v>
      </c>
      <c r="AK34" s="43" t="n">
        <f aca="false">INDEX('Snowball Schedule'!$AG$6:$AG$366,AJ34+1)</f>
        <v>0</v>
      </c>
      <c r="AL34" s="43" t="n">
        <f aca="false">INDEX('Avalanche Schedule'!$AG$6:$AG$366,AJ34+1)</f>
        <v>0</v>
      </c>
    </row>
    <row r="35" customFormat="false" ht="15" hidden="false" customHeight="false" outlineLevel="0" collapsed="false">
      <c r="A35" s="40" t="n">
        <f aca="false">DATE(YEAR('Start Here'!$C$6),MONTH('Start Here'!$C$6)+28,1)</f>
        <v>47150</v>
      </c>
      <c r="B35" s="39" t="n">
        <f aca="false">ROUND(V34*(1+N('My Debts'!$D$6)/12),2)</f>
        <v>0</v>
      </c>
      <c r="C35" s="39" t="n">
        <f aca="false">ROUND(W34*(1+N('My Debts'!$D$7)/12),2)</f>
        <v>0</v>
      </c>
      <c r="D35" s="39" t="n">
        <f aca="false">ROUND(X34*(1+N('My Debts'!$D$8)/12),2)</f>
        <v>0</v>
      </c>
      <c r="E35" s="39" t="n">
        <f aca="false">ROUND(Y34*(1+N('My Debts'!$D$9)/12),2)</f>
        <v>0</v>
      </c>
      <c r="F35" s="39" t="n">
        <f aca="false">ROUND(Z34*(1+N('My Debts'!$D$10)/12),2)</f>
        <v>0</v>
      </c>
      <c r="G35" s="39" t="n">
        <f aca="false">ROUND(AA34*(1+N('My Debts'!$D$11)/12),2)</f>
        <v>0</v>
      </c>
      <c r="H35" s="39" t="n">
        <f aca="false">ROUND(AB34*(1+N('My Debts'!$D$12)/12),2)</f>
        <v>0</v>
      </c>
      <c r="I35" s="39" t="n">
        <f aca="false">ROUND(AC34*(1+N('My Debts'!$D$13)/12),2)</f>
        <v>0</v>
      </c>
      <c r="J35" s="39" t="n">
        <f aca="false">ROUND(AD34*(1+N('My Debts'!$D$14)/12),2)</f>
        <v>0</v>
      </c>
      <c r="K35" s="39" t="n">
        <f aca="false">ROUND(AE34*(1+N('My Debts'!$D$15)/12),2)</f>
        <v>0</v>
      </c>
      <c r="L35" s="39" t="n">
        <f aca="false">MIN(N('My Debts'!$E$6),B35)</f>
        <v>0</v>
      </c>
      <c r="M35" s="39" t="n">
        <f aca="false">MIN(N('My Debts'!$E$7),C35)</f>
        <v>0</v>
      </c>
      <c r="N35" s="39" t="n">
        <f aca="false">MIN(N('My Debts'!$E$8),D35)</f>
        <v>0</v>
      </c>
      <c r="O35" s="39" t="n">
        <f aca="false">MIN(N('My Debts'!$E$9),E35)</f>
        <v>0</v>
      </c>
      <c r="P35" s="39" t="n">
        <f aca="false">MIN(N('My Debts'!$E$10),F35)</f>
        <v>0</v>
      </c>
      <c r="Q35" s="39" t="n">
        <f aca="false">MIN(N('My Debts'!$E$11),G35)</f>
        <v>0</v>
      </c>
      <c r="R35" s="39" t="n">
        <f aca="false">MIN(N('My Debts'!$E$12),H35)</f>
        <v>0</v>
      </c>
      <c r="S35" s="39" t="n">
        <f aca="false">MIN(N('My Debts'!$E$13),I35)</f>
        <v>0</v>
      </c>
      <c r="T35" s="39" t="n">
        <f aca="false">MIN(N('My Debts'!$E$14),J35)</f>
        <v>0</v>
      </c>
      <c r="U35" s="39" t="n">
        <f aca="false">MIN(N('My Debts'!$E$15),K35)</f>
        <v>0</v>
      </c>
      <c r="V35" s="39" t="n">
        <f aca="false">ROUND(B35-L35-MIN(B35-L35,MAX(0,$AF35-SUMPRODUCT(--($B$4:$K$4&lt;B$4),$B35:$K35-$L35:$U35))),2)</f>
        <v>0</v>
      </c>
      <c r="W35" s="39" t="n">
        <f aca="false">ROUND(C35-M35-MIN(C35-M35,MAX(0,$AF35-SUMPRODUCT(--($B$4:$K$4&lt;C$4),$B35:$K35-$L35:$U35))),2)</f>
        <v>0</v>
      </c>
      <c r="X35" s="39" t="n">
        <f aca="false">ROUND(D35-N35-MIN(D35-N35,MAX(0,$AF35-SUMPRODUCT(--($B$4:$K$4&lt;D$4),$B35:$K35-$L35:$U35))),2)</f>
        <v>0</v>
      </c>
      <c r="Y35" s="39" t="n">
        <f aca="false">ROUND(E35-O35-MIN(E35-O35,MAX(0,$AF35-SUMPRODUCT(--($B$4:$K$4&lt;E$4),$B35:$K35-$L35:$U35))),2)</f>
        <v>0</v>
      </c>
      <c r="Z35" s="39" t="n">
        <f aca="false">ROUND(F35-P35-MIN(F35-P35,MAX(0,$AF35-SUMPRODUCT(--($B$4:$K$4&lt;F$4),$B35:$K35-$L35:$U35))),2)</f>
        <v>0</v>
      </c>
      <c r="AA35" s="39" t="n">
        <f aca="false">ROUND(G35-Q35-MIN(G35-Q35,MAX(0,$AF35-SUMPRODUCT(--($B$4:$K$4&lt;G$4),$B35:$K35-$L35:$U35))),2)</f>
        <v>0</v>
      </c>
      <c r="AB35" s="39" t="n">
        <f aca="false">ROUND(H35-R35-MIN(H35-R35,MAX(0,$AF35-SUMPRODUCT(--($B$4:$K$4&lt;H$4),$B35:$K35-$L35:$U35))),2)</f>
        <v>0</v>
      </c>
      <c r="AC35" s="39" t="n">
        <f aca="false">ROUND(I35-S35-MIN(I35-S35,MAX(0,$AF35-SUMPRODUCT(--($B$4:$K$4&lt;I$4),$B35:$K35-$L35:$U35))),2)</f>
        <v>0</v>
      </c>
      <c r="AD35" s="39" t="n">
        <f aca="false">ROUND(J35-T35-MIN(J35-T35,MAX(0,$AF35-SUMPRODUCT(--($B$4:$K$4&lt;J$4),$B35:$K35-$L35:$U35))),2)</f>
        <v>0</v>
      </c>
      <c r="AE35" s="39" t="n">
        <f aca="false">ROUND(K35-U35-MIN(K35-U35,MAX(0,$AF35-SUMPRODUCT(--($B$4:$K$4&lt;K$4),$B35:$K35-$L35:$U35))),2)</f>
        <v>0</v>
      </c>
      <c r="AF35" s="39" t="n">
        <f aca="false">MAX(0,'Start Here'!$C$5-SUM($L35:$U35))</f>
        <v>1200</v>
      </c>
      <c r="AG35" s="39" t="n">
        <f aca="false">SUM(V35:AE35)</f>
        <v>0</v>
      </c>
      <c r="AH35" s="39" t="n">
        <f aca="false">SUM(B35:K35)-AG34</f>
        <v>0</v>
      </c>
      <c r="AJ35" s="41" t="n">
        <f aca="false">29*$AK$4</f>
        <v>29</v>
      </c>
      <c r="AK35" s="43" t="n">
        <f aca="false">INDEX('Snowball Schedule'!$AG$6:$AG$366,AJ35+1)</f>
        <v>0</v>
      </c>
      <c r="AL35" s="43" t="n">
        <f aca="false">INDEX('Avalanche Schedule'!$AG$6:$AG$366,AJ35+1)</f>
        <v>0</v>
      </c>
    </row>
    <row r="36" customFormat="false" ht="15" hidden="false" customHeight="false" outlineLevel="0" collapsed="false">
      <c r="A36" s="40" t="n">
        <f aca="false">DATE(YEAR('Start Here'!$C$6),MONTH('Start Here'!$C$6)+29,1)</f>
        <v>47178</v>
      </c>
      <c r="B36" s="39" t="n">
        <f aca="false">ROUND(V35*(1+N('My Debts'!$D$6)/12),2)</f>
        <v>0</v>
      </c>
      <c r="C36" s="39" t="n">
        <f aca="false">ROUND(W35*(1+N('My Debts'!$D$7)/12),2)</f>
        <v>0</v>
      </c>
      <c r="D36" s="39" t="n">
        <f aca="false">ROUND(X35*(1+N('My Debts'!$D$8)/12),2)</f>
        <v>0</v>
      </c>
      <c r="E36" s="39" t="n">
        <f aca="false">ROUND(Y35*(1+N('My Debts'!$D$9)/12),2)</f>
        <v>0</v>
      </c>
      <c r="F36" s="39" t="n">
        <f aca="false">ROUND(Z35*(1+N('My Debts'!$D$10)/12),2)</f>
        <v>0</v>
      </c>
      <c r="G36" s="39" t="n">
        <f aca="false">ROUND(AA35*(1+N('My Debts'!$D$11)/12),2)</f>
        <v>0</v>
      </c>
      <c r="H36" s="39" t="n">
        <f aca="false">ROUND(AB35*(1+N('My Debts'!$D$12)/12),2)</f>
        <v>0</v>
      </c>
      <c r="I36" s="39" t="n">
        <f aca="false">ROUND(AC35*(1+N('My Debts'!$D$13)/12),2)</f>
        <v>0</v>
      </c>
      <c r="J36" s="39" t="n">
        <f aca="false">ROUND(AD35*(1+N('My Debts'!$D$14)/12),2)</f>
        <v>0</v>
      </c>
      <c r="K36" s="39" t="n">
        <f aca="false">ROUND(AE35*(1+N('My Debts'!$D$15)/12),2)</f>
        <v>0</v>
      </c>
      <c r="L36" s="39" t="n">
        <f aca="false">MIN(N('My Debts'!$E$6),B36)</f>
        <v>0</v>
      </c>
      <c r="M36" s="39" t="n">
        <f aca="false">MIN(N('My Debts'!$E$7),C36)</f>
        <v>0</v>
      </c>
      <c r="N36" s="39" t="n">
        <f aca="false">MIN(N('My Debts'!$E$8),D36)</f>
        <v>0</v>
      </c>
      <c r="O36" s="39" t="n">
        <f aca="false">MIN(N('My Debts'!$E$9),E36)</f>
        <v>0</v>
      </c>
      <c r="P36" s="39" t="n">
        <f aca="false">MIN(N('My Debts'!$E$10),F36)</f>
        <v>0</v>
      </c>
      <c r="Q36" s="39" t="n">
        <f aca="false">MIN(N('My Debts'!$E$11),G36)</f>
        <v>0</v>
      </c>
      <c r="R36" s="39" t="n">
        <f aca="false">MIN(N('My Debts'!$E$12),H36)</f>
        <v>0</v>
      </c>
      <c r="S36" s="39" t="n">
        <f aca="false">MIN(N('My Debts'!$E$13),I36)</f>
        <v>0</v>
      </c>
      <c r="T36" s="39" t="n">
        <f aca="false">MIN(N('My Debts'!$E$14),J36)</f>
        <v>0</v>
      </c>
      <c r="U36" s="39" t="n">
        <f aca="false">MIN(N('My Debts'!$E$15),K36)</f>
        <v>0</v>
      </c>
      <c r="V36" s="39" t="n">
        <f aca="false">ROUND(B36-L36-MIN(B36-L36,MAX(0,$AF36-SUMPRODUCT(--($B$4:$K$4&lt;B$4),$B36:$K36-$L36:$U36))),2)</f>
        <v>0</v>
      </c>
      <c r="W36" s="39" t="n">
        <f aca="false">ROUND(C36-M36-MIN(C36-M36,MAX(0,$AF36-SUMPRODUCT(--($B$4:$K$4&lt;C$4),$B36:$K36-$L36:$U36))),2)</f>
        <v>0</v>
      </c>
      <c r="X36" s="39" t="n">
        <f aca="false">ROUND(D36-N36-MIN(D36-N36,MAX(0,$AF36-SUMPRODUCT(--($B$4:$K$4&lt;D$4),$B36:$K36-$L36:$U36))),2)</f>
        <v>0</v>
      </c>
      <c r="Y36" s="39" t="n">
        <f aca="false">ROUND(E36-O36-MIN(E36-O36,MAX(0,$AF36-SUMPRODUCT(--($B$4:$K$4&lt;E$4),$B36:$K36-$L36:$U36))),2)</f>
        <v>0</v>
      </c>
      <c r="Z36" s="39" t="n">
        <f aca="false">ROUND(F36-P36-MIN(F36-P36,MAX(0,$AF36-SUMPRODUCT(--($B$4:$K$4&lt;F$4),$B36:$K36-$L36:$U36))),2)</f>
        <v>0</v>
      </c>
      <c r="AA36" s="39" t="n">
        <f aca="false">ROUND(G36-Q36-MIN(G36-Q36,MAX(0,$AF36-SUMPRODUCT(--($B$4:$K$4&lt;G$4),$B36:$K36-$L36:$U36))),2)</f>
        <v>0</v>
      </c>
      <c r="AB36" s="39" t="n">
        <f aca="false">ROUND(H36-R36-MIN(H36-R36,MAX(0,$AF36-SUMPRODUCT(--($B$4:$K$4&lt;H$4),$B36:$K36-$L36:$U36))),2)</f>
        <v>0</v>
      </c>
      <c r="AC36" s="39" t="n">
        <f aca="false">ROUND(I36-S36-MIN(I36-S36,MAX(0,$AF36-SUMPRODUCT(--($B$4:$K$4&lt;I$4),$B36:$K36-$L36:$U36))),2)</f>
        <v>0</v>
      </c>
      <c r="AD36" s="39" t="n">
        <f aca="false">ROUND(J36-T36-MIN(J36-T36,MAX(0,$AF36-SUMPRODUCT(--($B$4:$K$4&lt;J$4),$B36:$K36-$L36:$U36))),2)</f>
        <v>0</v>
      </c>
      <c r="AE36" s="39" t="n">
        <f aca="false">ROUND(K36-U36-MIN(K36-U36,MAX(0,$AF36-SUMPRODUCT(--($B$4:$K$4&lt;K$4),$B36:$K36-$L36:$U36))),2)</f>
        <v>0</v>
      </c>
      <c r="AF36" s="39" t="n">
        <f aca="false">MAX(0,'Start Here'!$C$5-SUM($L36:$U36))</f>
        <v>1200</v>
      </c>
      <c r="AG36" s="39" t="n">
        <f aca="false">SUM(V36:AE36)</f>
        <v>0</v>
      </c>
      <c r="AH36" s="39" t="n">
        <f aca="false">SUM(B36:K36)-AG35</f>
        <v>0</v>
      </c>
      <c r="AJ36" s="41" t="n">
        <f aca="false">30*$AK$4</f>
        <v>30</v>
      </c>
      <c r="AK36" s="43" t="n">
        <f aca="false">INDEX('Snowball Schedule'!$AG$6:$AG$366,AJ36+1)</f>
        <v>0</v>
      </c>
      <c r="AL36" s="43" t="n">
        <f aca="false">INDEX('Avalanche Schedule'!$AG$6:$AG$366,AJ36+1)</f>
        <v>0</v>
      </c>
    </row>
    <row r="37" customFormat="false" ht="15" hidden="false" customHeight="false" outlineLevel="0" collapsed="false">
      <c r="A37" s="40" t="n">
        <f aca="false">DATE(YEAR('Start Here'!$C$6),MONTH('Start Here'!$C$6)+30,1)</f>
        <v>47209</v>
      </c>
      <c r="B37" s="39" t="n">
        <f aca="false">ROUND(V36*(1+N('My Debts'!$D$6)/12),2)</f>
        <v>0</v>
      </c>
      <c r="C37" s="39" t="n">
        <f aca="false">ROUND(W36*(1+N('My Debts'!$D$7)/12),2)</f>
        <v>0</v>
      </c>
      <c r="D37" s="39" t="n">
        <f aca="false">ROUND(X36*(1+N('My Debts'!$D$8)/12),2)</f>
        <v>0</v>
      </c>
      <c r="E37" s="39" t="n">
        <f aca="false">ROUND(Y36*(1+N('My Debts'!$D$9)/12),2)</f>
        <v>0</v>
      </c>
      <c r="F37" s="39" t="n">
        <f aca="false">ROUND(Z36*(1+N('My Debts'!$D$10)/12),2)</f>
        <v>0</v>
      </c>
      <c r="G37" s="39" t="n">
        <f aca="false">ROUND(AA36*(1+N('My Debts'!$D$11)/12),2)</f>
        <v>0</v>
      </c>
      <c r="H37" s="39" t="n">
        <f aca="false">ROUND(AB36*(1+N('My Debts'!$D$12)/12),2)</f>
        <v>0</v>
      </c>
      <c r="I37" s="39" t="n">
        <f aca="false">ROUND(AC36*(1+N('My Debts'!$D$13)/12),2)</f>
        <v>0</v>
      </c>
      <c r="J37" s="39" t="n">
        <f aca="false">ROUND(AD36*(1+N('My Debts'!$D$14)/12),2)</f>
        <v>0</v>
      </c>
      <c r="K37" s="39" t="n">
        <f aca="false">ROUND(AE36*(1+N('My Debts'!$D$15)/12),2)</f>
        <v>0</v>
      </c>
      <c r="L37" s="39" t="n">
        <f aca="false">MIN(N('My Debts'!$E$6),B37)</f>
        <v>0</v>
      </c>
      <c r="M37" s="39" t="n">
        <f aca="false">MIN(N('My Debts'!$E$7),C37)</f>
        <v>0</v>
      </c>
      <c r="N37" s="39" t="n">
        <f aca="false">MIN(N('My Debts'!$E$8),D37)</f>
        <v>0</v>
      </c>
      <c r="O37" s="39" t="n">
        <f aca="false">MIN(N('My Debts'!$E$9),E37)</f>
        <v>0</v>
      </c>
      <c r="P37" s="39" t="n">
        <f aca="false">MIN(N('My Debts'!$E$10),F37)</f>
        <v>0</v>
      </c>
      <c r="Q37" s="39" t="n">
        <f aca="false">MIN(N('My Debts'!$E$11),G37)</f>
        <v>0</v>
      </c>
      <c r="R37" s="39" t="n">
        <f aca="false">MIN(N('My Debts'!$E$12),H37)</f>
        <v>0</v>
      </c>
      <c r="S37" s="39" t="n">
        <f aca="false">MIN(N('My Debts'!$E$13),I37)</f>
        <v>0</v>
      </c>
      <c r="T37" s="39" t="n">
        <f aca="false">MIN(N('My Debts'!$E$14),J37)</f>
        <v>0</v>
      </c>
      <c r="U37" s="39" t="n">
        <f aca="false">MIN(N('My Debts'!$E$15),K37)</f>
        <v>0</v>
      </c>
      <c r="V37" s="39" t="n">
        <f aca="false">ROUND(B37-L37-MIN(B37-L37,MAX(0,$AF37-SUMPRODUCT(--($B$4:$K$4&lt;B$4),$B37:$K37-$L37:$U37))),2)</f>
        <v>0</v>
      </c>
      <c r="W37" s="39" t="n">
        <f aca="false">ROUND(C37-M37-MIN(C37-M37,MAX(0,$AF37-SUMPRODUCT(--($B$4:$K$4&lt;C$4),$B37:$K37-$L37:$U37))),2)</f>
        <v>0</v>
      </c>
      <c r="X37" s="39" t="n">
        <f aca="false">ROUND(D37-N37-MIN(D37-N37,MAX(0,$AF37-SUMPRODUCT(--($B$4:$K$4&lt;D$4),$B37:$K37-$L37:$U37))),2)</f>
        <v>0</v>
      </c>
      <c r="Y37" s="39" t="n">
        <f aca="false">ROUND(E37-O37-MIN(E37-O37,MAX(0,$AF37-SUMPRODUCT(--($B$4:$K$4&lt;E$4),$B37:$K37-$L37:$U37))),2)</f>
        <v>0</v>
      </c>
      <c r="Z37" s="39" t="n">
        <f aca="false">ROUND(F37-P37-MIN(F37-P37,MAX(0,$AF37-SUMPRODUCT(--($B$4:$K$4&lt;F$4),$B37:$K37-$L37:$U37))),2)</f>
        <v>0</v>
      </c>
      <c r="AA37" s="39" t="n">
        <f aca="false">ROUND(G37-Q37-MIN(G37-Q37,MAX(0,$AF37-SUMPRODUCT(--($B$4:$K$4&lt;G$4),$B37:$K37-$L37:$U37))),2)</f>
        <v>0</v>
      </c>
      <c r="AB37" s="39" t="n">
        <f aca="false">ROUND(H37-R37-MIN(H37-R37,MAX(0,$AF37-SUMPRODUCT(--($B$4:$K$4&lt;H$4),$B37:$K37-$L37:$U37))),2)</f>
        <v>0</v>
      </c>
      <c r="AC37" s="39" t="n">
        <f aca="false">ROUND(I37-S37-MIN(I37-S37,MAX(0,$AF37-SUMPRODUCT(--($B$4:$K$4&lt;I$4),$B37:$K37-$L37:$U37))),2)</f>
        <v>0</v>
      </c>
      <c r="AD37" s="39" t="n">
        <f aca="false">ROUND(J37-T37-MIN(J37-T37,MAX(0,$AF37-SUMPRODUCT(--($B$4:$K$4&lt;J$4),$B37:$K37-$L37:$U37))),2)</f>
        <v>0</v>
      </c>
      <c r="AE37" s="39" t="n">
        <f aca="false">ROUND(K37-U37-MIN(K37-U37,MAX(0,$AF37-SUMPRODUCT(--($B$4:$K$4&lt;K$4),$B37:$K37-$L37:$U37))),2)</f>
        <v>0</v>
      </c>
      <c r="AF37" s="39" t="n">
        <f aca="false">MAX(0,'Start Here'!$C$5-SUM($L37:$U37))</f>
        <v>1200</v>
      </c>
      <c r="AG37" s="39" t="n">
        <f aca="false">SUM(V37:AE37)</f>
        <v>0</v>
      </c>
      <c r="AH37" s="39" t="n">
        <f aca="false">SUM(B37:K37)-AG36</f>
        <v>0</v>
      </c>
      <c r="AJ37" s="41" t="n">
        <f aca="false">31*$AK$4</f>
        <v>31</v>
      </c>
      <c r="AK37" s="43" t="n">
        <f aca="false">INDEX('Snowball Schedule'!$AG$6:$AG$366,AJ37+1)</f>
        <v>0</v>
      </c>
      <c r="AL37" s="43" t="n">
        <f aca="false">INDEX('Avalanche Schedule'!$AG$6:$AG$366,AJ37+1)</f>
        <v>0</v>
      </c>
    </row>
    <row r="38" customFormat="false" ht="15" hidden="false" customHeight="false" outlineLevel="0" collapsed="false">
      <c r="A38" s="40" t="n">
        <f aca="false">DATE(YEAR('Start Here'!$C$6),MONTH('Start Here'!$C$6)+31,1)</f>
        <v>47239</v>
      </c>
      <c r="B38" s="39" t="n">
        <f aca="false">ROUND(V37*(1+N('My Debts'!$D$6)/12),2)</f>
        <v>0</v>
      </c>
      <c r="C38" s="39" t="n">
        <f aca="false">ROUND(W37*(1+N('My Debts'!$D$7)/12),2)</f>
        <v>0</v>
      </c>
      <c r="D38" s="39" t="n">
        <f aca="false">ROUND(X37*(1+N('My Debts'!$D$8)/12),2)</f>
        <v>0</v>
      </c>
      <c r="E38" s="39" t="n">
        <f aca="false">ROUND(Y37*(1+N('My Debts'!$D$9)/12),2)</f>
        <v>0</v>
      </c>
      <c r="F38" s="39" t="n">
        <f aca="false">ROUND(Z37*(1+N('My Debts'!$D$10)/12),2)</f>
        <v>0</v>
      </c>
      <c r="G38" s="39" t="n">
        <f aca="false">ROUND(AA37*(1+N('My Debts'!$D$11)/12),2)</f>
        <v>0</v>
      </c>
      <c r="H38" s="39" t="n">
        <f aca="false">ROUND(AB37*(1+N('My Debts'!$D$12)/12),2)</f>
        <v>0</v>
      </c>
      <c r="I38" s="39" t="n">
        <f aca="false">ROUND(AC37*(1+N('My Debts'!$D$13)/12),2)</f>
        <v>0</v>
      </c>
      <c r="J38" s="39" t="n">
        <f aca="false">ROUND(AD37*(1+N('My Debts'!$D$14)/12),2)</f>
        <v>0</v>
      </c>
      <c r="K38" s="39" t="n">
        <f aca="false">ROUND(AE37*(1+N('My Debts'!$D$15)/12),2)</f>
        <v>0</v>
      </c>
      <c r="L38" s="39" t="n">
        <f aca="false">MIN(N('My Debts'!$E$6),B38)</f>
        <v>0</v>
      </c>
      <c r="M38" s="39" t="n">
        <f aca="false">MIN(N('My Debts'!$E$7),C38)</f>
        <v>0</v>
      </c>
      <c r="N38" s="39" t="n">
        <f aca="false">MIN(N('My Debts'!$E$8),D38)</f>
        <v>0</v>
      </c>
      <c r="O38" s="39" t="n">
        <f aca="false">MIN(N('My Debts'!$E$9),E38)</f>
        <v>0</v>
      </c>
      <c r="P38" s="39" t="n">
        <f aca="false">MIN(N('My Debts'!$E$10),F38)</f>
        <v>0</v>
      </c>
      <c r="Q38" s="39" t="n">
        <f aca="false">MIN(N('My Debts'!$E$11),G38)</f>
        <v>0</v>
      </c>
      <c r="R38" s="39" t="n">
        <f aca="false">MIN(N('My Debts'!$E$12),H38)</f>
        <v>0</v>
      </c>
      <c r="S38" s="39" t="n">
        <f aca="false">MIN(N('My Debts'!$E$13),I38)</f>
        <v>0</v>
      </c>
      <c r="T38" s="39" t="n">
        <f aca="false">MIN(N('My Debts'!$E$14),J38)</f>
        <v>0</v>
      </c>
      <c r="U38" s="39" t="n">
        <f aca="false">MIN(N('My Debts'!$E$15),K38)</f>
        <v>0</v>
      </c>
      <c r="V38" s="39" t="n">
        <f aca="false">ROUND(B38-L38-MIN(B38-L38,MAX(0,$AF38-SUMPRODUCT(--($B$4:$K$4&lt;B$4),$B38:$K38-$L38:$U38))),2)</f>
        <v>0</v>
      </c>
      <c r="W38" s="39" t="n">
        <f aca="false">ROUND(C38-M38-MIN(C38-M38,MAX(0,$AF38-SUMPRODUCT(--($B$4:$K$4&lt;C$4),$B38:$K38-$L38:$U38))),2)</f>
        <v>0</v>
      </c>
      <c r="X38" s="39" t="n">
        <f aca="false">ROUND(D38-N38-MIN(D38-N38,MAX(0,$AF38-SUMPRODUCT(--($B$4:$K$4&lt;D$4),$B38:$K38-$L38:$U38))),2)</f>
        <v>0</v>
      </c>
      <c r="Y38" s="39" t="n">
        <f aca="false">ROUND(E38-O38-MIN(E38-O38,MAX(0,$AF38-SUMPRODUCT(--($B$4:$K$4&lt;E$4),$B38:$K38-$L38:$U38))),2)</f>
        <v>0</v>
      </c>
      <c r="Z38" s="39" t="n">
        <f aca="false">ROUND(F38-P38-MIN(F38-P38,MAX(0,$AF38-SUMPRODUCT(--($B$4:$K$4&lt;F$4),$B38:$K38-$L38:$U38))),2)</f>
        <v>0</v>
      </c>
      <c r="AA38" s="39" t="n">
        <f aca="false">ROUND(G38-Q38-MIN(G38-Q38,MAX(0,$AF38-SUMPRODUCT(--($B$4:$K$4&lt;G$4),$B38:$K38-$L38:$U38))),2)</f>
        <v>0</v>
      </c>
      <c r="AB38" s="39" t="n">
        <f aca="false">ROUND(H38-R38-MIN(H38-R38,MAX(0,$AF38-SUMPRODUCT(--($B$4:$K$4&lt;H$4),$B38:$K38-$L38:$U38))),2)</f>
        <v>0</v>
      </c>
      <c r="AC38" s="39" t="n">
        <f aca="false">ROUND(I38-S38-MIN(I38-S38,MAX(0,$AF38-SUMPRODUCT(--($B$4:$K$4&lt;I$4),$B38:$K38-$L38:$U38))),2)</f>
        <v>0</v>
      </c>
      <c r="AD38" s="39" t="n">
        <f aca="false">ROUND(J38-T38-MIN(J38-T38,MAX(0,$AF38-SUMPRODUCT(--($B$4:$K$4&lt;J$4),$B38:$K38-$L38:$U38))),2)</f>
        <v>0</v>
      </c>
      <c r="AE38" s="39" t="n">
        <f aca="false">ROUND(K38-U38-MIN(K38-U38,MAX(0,$AF38-SUMPRODUCT(--($B$4:$K$4&lt;K$4),$B38:$K38-$L38:$U38))),2)</f>
        <v>0</v>
      </c>
      <c r="AF38" s="39" t="n">
        <f aca="false">MAX(0,'Start Here'!$C$5-SUM($L38:$U38))</f>
        <v>1200</v>
      </c>
      <c r="AG38" s="39" t="n">
        <f aca="false">SUM(V38:AE38)</f>
        <v>0</v>
      </c>
      <c r="AH38" s="39" t="n">
        <f aca="false">SUM(B38:K38)-AG37</f>
        <v>0</v>
      </c>
      <c r="AJ38" s="41" t="n">
        <f aca="false">32*$AK$4</f>
        <v>32</v>
      </c>
      <c r="AK38" s="43" t="n">
        <f aca="false">INDEX('Snowball Schedule'!$AG$6:$AG$366,AJ38+1)</f>
        <v>0</v>
      </c>
      <c r="AL38" s="43" t="n">
        <f aca="false">INDEX('Avalanche Schedule'!$AG$6:$AG$366,AJ38+1)</f>
        <v>0</v>
      </c>
    </row>
    <row r="39" customFormat="false" ht="15" hidden="false" customHeight="false" outlineLevel="0" collapsed="false">
      <c r="A39" s="40" t="n">
        <f aca="false">DATE(YEAR('Start Here'!$C$6),MONTH('Start Here'!$C$6)+32,1)</f>
        <v>47270</v>
      </c>
      <c r="B39" s="39" t="n">
        <f aca="false">ROUND(V38*(1+N('My Debts'!$D$6)/12),2)</f>
        <v>0</v>
      </c>
      <c r="C39" s="39" t="n">
        <f aca="false">ROUND(W38*(1+N('My Debts'!$D$7)/12),2)</f>
        <v>0</v>
      </c>
      <c r="D39" s="39" t="n">
        <f aca="false">ROUND(X38*(1+N('My Debts'!$D$8)/12),2)</f>
        <v>0</v>
      </c>
      <c r="E39" s="39" t="n">
        <f aca="false">ROUND(Y38*(1+N('My Debts'!$D$9)/12),2)</f>
        <v>0</v>
      </c>
      <c r="F39" s="39" t="n">
        <f aca="false">ROUND(Z38*(1+N('My Debts'!$D$10)/12),2)</f>
        <v>0</v>
      </c>
      <c r="G39" s="39" t="n">
        <f aca="false">ROUND(AA38*(1+N('My Debts'!$D$11)/12),2)</f>
        <v>0</v>
      </c>
      <c r="H39" s="39" t="n">
        <f aca="false">ROUND(AB38*(1+N('My Debts'!$D$12)/12),2)</f>
        <v>0</v>
      </c>
      <c r="I39" s="39" t="n">
        <f aca="false">ROUND(AC38*(1+N('My Debts'!$D$13)/12),2)</f>
        <v>0</v>
      </c>
      <c r="J39" s="39" t="n">
        <f aca="false">ROUND(AD38*(1+N('My Debts'!$D$14)/12),2)</f>
        <v>0</v>
      </c>
      <c r="K39" s="39" t="n">
        <f aca="false">ROUND(AE38*(1+N('My Debts'!$D$15)/12),2)</f>
        <v>0</v>
      </c>
      <c r="L39" s="39" t="n">
        <f aca="false">MIN(N('My Debts'!$E$6),B39)</f>
        <v>0</v>
      </c>
      <c r="M39" s="39" t="n">
        <f aca="false">MIN(N('My Debts'!$E$7),C39)</f>
        <v>0</v>
      </c>
      <c r="N39" s="39" t="n">
        <f aca="false">MIN(N('My Debts'!$E$8),D39)</f>
        <v>0</v>
      </c>
      <c r="O39" s="39" t="n">
        <f aca="false">MIN(N('My Debts'!$E$9),E39)</f>
        <v>0</v>
      </c>
      <c r="P39" s="39" t="n">
        <f aca="false">MIN(N('My Debts'!$E$10),F39)</f>
        <v>0</v>
      </c>
      <c r="Q39" s="39" t="n">
        <f aca="false">MIN(N('My Debts'!$E$11),G39)</f>
        <v>0</v>
      </c>
      <c r="R39" s="39" t="n">
        <f aca="false">MIN(N('My Debts'!$E$12),H39)</f>
        <v>0</v>
      </c>
      <c r="S39" s="39" t="n">
        <f aca="false">MIN(N('My Debts'!$E$13),I39)</f>
        <v>0</v>
      </c>
      <c r="T39" s="39" t="n">
        <f aca="false">MIN(N('My Debts'!$E$14),J39)</f>
        <v>0</v>
      </c>
      <c r="U39" s="39" t="n">
        <f aca="false">MIN(N('My Debts'!$E$15),K39)</f>
        <v>0</v>
      </c>
      <c r="V39" s="39" t="n">
        <f aca="false">ROUND(B39-L39-MIN(B39-L39,MAX(0,$AF39-SUMPRODUCT(--($B$4:$K$4&lt;B$4),$B39:$K39-$L39:$U39))),2)</f>
        <v>0</v>
      </c>
      <c r="W39" s="39" t="n">
        <f aca="false">ROUND(C39-M39-MIN(C39-M39,MAX(0,$AF39-SUMPRODUCT(--($B$4:$K$4&lt;C$4),$B39:$K39-$L39:$U39))),2)</f>
        <v>0</v>
      </c>
      <c r="X39" s="39" t="n">
        <f aca="false">ROUND(D39-N39-MIN(D39-N39,MAX(0,$AF39-SUMPRODUCT(--($B$4:$K$4&lt;D$4),$B39:$K39-$L39:$U39))),2)</f>
        <v>0</v>
      </c>
      <c r="Y39" s="39" t="n">
        <f aca="false">ROUND(E39-O39-MIN(E39-O39,MAX(0,$AF39-SUMPRODUCT(--($B$4:$K$4&lt;E$4),$B39:$K39-$L39:$U39))),2)</f>
        <v>0</v>
      </c>
      <c r="Z39" s="39" t="n">
        <f aca="false">ROUND(F39-P39-MIN(F39-P39,MAX(0,$AF39-SUMPRODUCT(--($B$4:$K$4&lt;F$4),$B39:$K39-$L39:$U39))),2)</f>
        <v>0</v>
      </c>
      <c r="AA39" s="39" t="n">
        <f aca="false">ROUND(G39-Q39-MIN(G39-Q39,MAX(0,$AF39-SUMPRODUCT(--($B$4:$K$4&lt;G$4),$B39:$K39-$L39:$U39))),2)</f>
        <v>0</v>
      </c>
      <c r="AB39" s="39" t="n">
        <f aca="false">ROUND(H39-R39-MIN(H39-R39,MAX(0,$AF39-SUMPRODUCT(--($B$4:$K$4&lt;H$4),$B39:$K39-$L39:$U39))),2)</f>
        <v>0</v>
      </c>
      <c r="AC39" s="39" t="n">
        <f aca="false">ROUND(I39-S39-MIN(I39-S39,MAX(0,$AF39-SUMPRODUCT(--($B$4:$K$4&lt;I$4),$B39:$K39-$L39:$U39))),2)</f>
        <v>0</v>
      </c>
      <c r="AD39" s="39" t="n">
        <f aca="false">ROUND(J39-T39-MIN(J39-T39,MAX(0,$AF39-SUMPRODUCT(--($B$4:$K$4&lt;J$4),$B39:$K39-$L39:$U39))),2)</f>
        <v>0</v>
      </c>
      <c r="AE39" s="39" t="n">
        <f aca="false">ROUND(K39-U39-MIN(K39-U39,MAX(0,$AF39-SUMPRODUCT(--($B$4:$K$4&lt;K$4),$B39:$K39-$L39:$U39))),2)</f>
        <v>0</v>
      </c>
      <c r="AF39" s="39" t="n">
        <f aca="false">MAX(0,'Start Here'!$C$5-SUM($L39:$U39))</f>
        <v>1200</v>
      </c>
      <c r="AG39" s="39" t="n">
        <f aca="false">SUM(V39:AE39)</f>
        <v>0</v>
      </c>
      <c r="AH39" s="39" t="n">
        <f aca="false">SUM(B39:K39)-AG38</f>
        <v>0</v>
      </c>
      <c r="AJ39" s="41" t="n">
        <f aca="false">33*$AK$4</f>
        <v>33</v>
      </c>
      <c r="AK39" s="43" t="n">
        <f aca="false">INDEX('Snowball Schedule'!$AG$6:$AG$366,AJ39+1)</f>
        <v>0</v>
      </c>
      <c r="AL39" s="43" t="n">
        <f aca="false">INDEX('Avalanche Schedule'!$AG$6:$AG$366,AJ39+1)</f>
        <v>0</v>
      </c>
    </row>
    <row r="40" customFormat="false" ht="15" hidden="false" customHeight="false" outlineLevel="0" collapsed="false">
      <c r="A40" s="40" t="n">
        <f aca="false">DATE(YEAR('Start Here'!$C$6),MONTH('Start Here'!$C$6)+33,1)</f>
        <v>47300</v>
      </c>
      <c r="B40" s="39" t="n">
        <f aca="false">ROUND(V39*(1+N('My Debts'!$D$6)/12),2)</f>
        <v>0</v>
      </c>
      <c r="C40" s="39" t="n">
        <f aca="false">ROUND(W39*(1+N('My Debts'!$D$7)/12),2)</f>
        <v>0</v>
      </c>
      <c r="D40" s="39" t="n">
        <f aca="false">ROUND(X39*(1+N('My Debts'!$D$8)/12),2)</f>
        <v>0</v>
      </c>
      <c r="E40" s="39" t="n">
        <f aca="false">ROUND(Y39*(1+N('My Debts'!$D$9)/12),2)</f>
        <v>0</v>
      </c>
      <c r="F40" s="39" t="n">
        <f aca="false">ROUND(Z39*(1+N('My Debts'!$D$10)/12),2)</f>
        <v>0</v>
      </c>
      <c r="G40" s="39" t="n">
        <f aca="false">ROUND(AA39*(1+N('My Debts'!$D$11)/12),2)</f>
        <v>0</v>
      </c>
      <c r="H40" s="39" t="n">
        <f aca="false">ROUND(AB39*(1+N('My Debts'!$D$12)/12),2)</f>
        <v>0</v>
      </c>
      <c r="I40" s="39" t="n">
        <f aca="false">ROUND(AC39*(1+N('My Debts'!$D$13)/12),2)</f>
        <v>0</v>
      </c>
      <c r="J40" s="39" t="n">
        <f aca="false">ROUND(AD39*(1+N('My Debts'!$D$14)/12),2)</f>
        <v>0</v>
      </c>
      <c r="K40" s="39" t="n">
        <f aca="false">ROUND(AE39*(1+N('My Debts'!$D$15)/12),2)</f>
        <v>0</v>
      </c>
      <c r="L40" s="39" t="n">
        <f aca="false">MIN(N('My Debts'!$E$6),B40)</f>
        <v>0</v>
      </c>
      <c r="M40" s="39" t="n">
        <f aca="false">MIN(N('My Debts'!$E$7),C40)</f>
        <v>0</v>
      </c>
      <c r="N40" s="39" t="n">
        <f aca="false">MIN(N('My Debts'!$E$8),D40)</f>
        <v>0</v>
      </c>
      <c r="O40" s="39" t="n">
        <f aca="false">MIN(N('My Debts'!$E$9),E40)</f>
        <v>0</v>
      </c>
      <c r="P40" s="39" t="n">
        <f aca="false">MIN(N('My Debts'!$E$10),F40)</f>
        <v>0</v>
      </c>
      <c r="Q40" s="39" t="n">
        <f aca="false">MIN(N('My Debts'!$E$11),G40)</f>
        <v>0</v>
      </c>
      <c r="R40" s="39" t="n">
        <f aca="false">MIN(N('My Debts'!$E$12),H40)</f>
        <v>0</v>
      </c>
      <c r="S40" s="39" t="n">
        <f aca="false">MIN(N('My Debts'!$E$13),I40)</f>
        <v>0</v>
      </c>
      <c r="T40" s="39" t="n">
        <f aca="false">MIN(N('My Debts'!$E$14),J40)</f>
        <v>0</v>
      </c>
      <c r="U40" s="39" t="n">
        <f aca="false">MIN(N('My Debts'!$E$15),K40)</f>
        <v>0</v>
      </c>
      <c r="V40" s="39" t="n">
        <f aca="false">ROUND(B40-L40-MIN(B40-L40,MAX(0,$AF40-SUMPRODUCT(--($B$4:$K$4&lt;B$4),$B40:$K40-$L40:$U40))),2)</f>
        <v>0</v>
      </c>
      <c r="W40" s="39" t="n">
        <f aca="false">ROUND(C40-M40-MIN(C40-M40,MAX(0,$AF40-SUMPRODUCT(--($B$4:$K$4&lt;C$4),$B40:$K40-$L40:$U40))),2)</f>
        <v>0</v>
      </c>
      <c r="X40" s="39" t="n">
        <f aca="false">ROUND(D40-N40-MIN(D40-N40,MAX(0,$AF40-SUMPRODUCT(--($B$4:$K$4&lt;D$4),$B40:$K40-$L40:$U40))),2)</f>
        <v>0</v>
      </c>
      <c r="Y40" s="39" t="n">
        <f aca="false">ROUND(E40-O40-MIN(E40-O40,MAX(0,$AF40-SUMPRODUCT(--($B$4:$K$4&lt;E$4),$B40:$K40-$L40:$U40))),2)</f>
        <v>0</v>
      </c>
      <c r="Z40" s="39" t="n">
        <f aca="false">ROUND(F40-P40-MIN(F40-P40,MAX(0,$AF40-SUMPRODUCT(--($B$4:$K$4&lt;F$4),$B40:$K40-$L40:$U40))),2)</f>
        <v>0</v>
      </c>
      <c r="AA40" s="39" t="n">
        <f aca="false">ROUND(G40-Q40-MIN(G40-Q40,MAX(0,$AF40-SUMPRODUCT(--($B$4:$K$4&lt;G$4),$B40:$K40-$L40:$U40))),2)</f>
        <v>0</v>
      </c>
      <c r="AB40" s="39" t="n">
        <f aca="false">ROUND(H40-R40-MIN(H40-R40,MAX(0,$AF40-SUMPRODUCT(--($B$4:$K$4&lt;H$4),$B40:$K40-$L40:$U40))),2)</f>
        <v>0</v>
      </c>
      <c r="AC40" s="39" t="n">
        <f aca="false">ROUND(I40-S40-MIN(I40-S40,MAX(0,$AF40-SUMPRODUCT(--($B$4:$K$4&lt;I$4),$B40:$K40-$L40:$U40))),2)</f>
        <v>0</v>
      </c>
      <c r="AD40" s="39" t="n">
        <f aca="false">ROUND(J40-T40-MIN(J40-T40,MAX(0,$AF40-SUMPRODUCT(--($B$4:$K$4&lt;J$4),$B40:$K40-$L40:$U40))),2)</f>
        <v>0</v>
      </c>
      <c r="AE40" s="39" t="n">
        <f aca="false">ROUND(K40-U40-MIN(K40-U40,MAX(0,$AF40-SUMPRODUCT(--($B$4:$K$4&lt;K$4),$B40:$K40-$L40:$U40))),2)</f>
        <v>0</v>
      </c>
      <c r="AF40" s="39" t="n">
        <f aca="false">MAX(0,'Start Here'!$C$5-SUM($L40:$U40))</f>
        <v>1200</v>
      </c>
      <c r="AG40" s="39" t="n">
        <f aca="false">SUM(V40:AE40)</f>
        <v>0</v>
      </c>
      <c r="AH40" s="39" t="n">
        <f aca="false">SUM(B40:K40)-AG39</f>
        <v>0</v>
      </c>
      <c r="AJ40" s="41" t="n">
        <f aca="false">34*$AK$4</f>
        <v>34</v>
      </c>
      <c r="AK40" s="43" t="n">
        <f aca="false">INDEX('Snowball Schedule'!$AG$6:$AG$366,AJ40+1)</f>
        <v>0</v>
      </c>
      <c r="AL40" s="43" t="n">
        <f aca="false">INDEX('Avalanche Schedule'!$AG$6:$AG$366,AJ40+1)</f>
        <v>0</v>
      </c>
    </row>
    <row r="41" customFormat="false" ht="15" hidden="false" customHeight="false" outlineLevel="0" collapsed="false">
      <c r="A41" s="40" t="n">
        <f aca="false">DATE(YEAR('Start Here'!$C$6),MONTH('Start Here'!$C$6)+34,1)</f>
        <v>47331</v>
      </c>
      <c r="B41" s="39" t="n">
        <f aca="false">ROUND(V40*(1+N('My Debts'!$D$6)/12),2)</f>
        <v>0</v>
      </c>
      <c r="C41" s="39" t="n">
        <f aca="false">ROUND(W40*(1+N('My Debts'!$D$7)/12),2)</f>
        <v>0</v>
      </c>
      <c r="D41" s="39" t="n">
        <f aca="false">ROUND(X40*(1+N('My Debts'!$D$8)/12),2)</f>
        <v>0</v>
      </c>
      <c r="E41" s="39" t="n">
        <f aca="false">ROUND(Y40*(1+N('My Debts'!$D$9)/12),2)</f>
        <v>0</v>
      </c>
      <c r="F41" s="39" t="n">
        <f aca="false">ROUND(Z40*(1+N('My Debts'!$D$10)/12),2)</f>
        <v>0</v>
      </c>
      <c r="G41" s="39" t="n">
        <f aca="false">ROUND(AA40*(1+N('My Debts'!$D$11)/12),2)</f>
        <v>0</v>
      </c>
      <c r="H41" s="39" t="n">
        <f aca="false">ROUND(AB40*(1+N('My Debts'!$D$12)/12),2)</f>
        <v>0</v>
      </c>
      <c r="I41" s="39" t="n">
        <f aca="false">ROUND(AC40*(1+N('My Debts'!$D$13)/12),2)</f>
        <v>0</v>
      </c>
      <c r="J41" s="39" t="n">
        <f aca="false">ROUND(AD40*(1+N('My Debts'!$D$14)/12),2)</f>
        <v>0</v>
      </c>
      <c r="K41" s="39" t="n">
        <f aca="false">ROUND(AE40*(1+N('My Debts'!$D$15)/12),2)</f>
        <v>0</v>
      </c>
      <c r="L41" s="39" t="n">
        <f aca="false">MIN(N('My Debts'!$E$6),B41)</f>
        <v>0</v>
      </c>
      <c r="M41" s="39" t="n">
        <f aca="false">MIN(N('My Debts'!$E$7),C41)</f>
        <v>0</v>
      </c>
      <c r="N41" s="39" t="n">
        <f aca="false">MIN(N('My Debts'!$E$8),D41)</f>
        <v>0</v>
      </c>
      <c r="O41" s="39" t="n">
        <f aca="false">MIN(N('My Debts'!$E$9),E41)</f>
        <v>0</v>
      </c>
      <c r="P41" s="39" t="n">
        <f aca="false">MIN(N('My Debts'!$E$10),F41)</f>
        <v>0</v>
      </c>
      <c r="Q41" s="39" t="n">
        <f aca="false">MIN(N('My Debts'!$E$11),G41)</f>
        <v>0</v>
      </c>
      <c r="R41" s="39" t="n">
        <f aca="false">MIN(N('My Debts'!$E$12),H41)</f>
        <v>0</v>
      </c>
      <c r="S41" s="39" t="n">
        <f aca="false">MIN(N('My Debts'!$E$13),I41)</f>
        <v>0</v>
      </c>
      <c r="T41" s="39" t="n">
        <f aca="false">MIN(N('My Debts'!$E$14),J41)</f>
        <v>0</v>
      </c>
      <c r="U41" s="39" t="n">
        <f aca="false">MIN(N('My Debts'!$E$15),K41)</f>
        <v>0</v>
      </c>
      <c r="V41" s="39" t="n">
        <f aca="false">ROUND(B41-L41-MIN(B41-L41,MAX(0,$AF41-SUMPRODUCT(--($B$4:$K$4&lt;B$4),$B41:$K41-$L41:$U41))),2)</f>
        <v>0</v>
      </c>
      <c r="W41" s="39" t="n">
        <f aca="false">ROUND(C41-M41-MIN(C41-M41,MAX(0,$AF41-SUMPRODUCT(--($B$4:$K$4&lt;C$4),$B41:$K41-$L41:$U41))),2)</f>
        <v>0</v>
      </c>
      <c r="X41" s="39" t="n">
        <f aca="false">ROUND(D41-N41-MIN(D41-N41,MAX(0,$AF41-SUMPRODUCT(--($B$4:$K$4&lt;D$4),$B41:$K41-$L41:$U41))),2)</f>
        <v>0</v>
      </c>
      <c r="Y41" s="39" t="n">
        <f aca="false">ROUND(E41-O41-MIN(E41-O41,MAX(0,$AF41-SUMPRODUCT(--($B$4:$K$4&lt;E$4),$B41:$K41-$L41:$U41))),2)</f>
        <v>0</v>
      </c>
      <c r="Z41" s="39" t="n">
        <f aca="false">ROUND(F41-P41-MIN(F41-P41,MAX(0,$AF41-SUMPRODUCT(--($B$4:$K$4&lt;F$4),$B41:$K41-$L41:$U41))),2)</f>
        <v>0</v>
      </c>
      <c r="AA41" s="39" t="n">
        <f aca="false">ROUND(G41-Q41-MIN(G41-Q41,MAX(0,$AF41-SUMPRODUCT(--($B$4:$K$4&lt;G$4),$B41:$K41-$L41:$U41))),2)</f>
        <v>0</v>
      </c>
      <c r="AB41" s="39" t="n">
        <f aca="false">ROUND(H41-R41-MIN(H41-R41,MAX(0,$AF41-SUMPRODUCT(--($B$4:$K$4&lt;H$4),$B41:$K41-$L41:$U41))),2)</f>
        <v>0</v>
      </c>
      <c r="AC41" s="39" t="n">
        <f aca="false">ROUND(I41-S41-MIN(I41-S41,MAX(0,$AF41-SUMPRODUCT(--($B$4:$K$4&lt;I$4),$B41:$K41-$L41:$U41))),2)</f>
        <v>0</v>
      </c>
      <c r="AD41" s="39" t="n">
        <f aca="false">ROUND(J41-T41-MIN(J41-T41,MAX(0,$AF41-SUMPRODUCT(--($B$4:$K$4&lt;J$4),$B41:$K41-$L41:$U41))),2)</f>
        <v>0</v>
      </c>
      <c r="AE41" s="39" t="n">
        <f aca="false">ROUND(K41-U41-MIN(K41-U41,MAX(0,$AF41-SUMPRODUCT(--($B$4:$K$4&lt;K$4),$B41:$K41-$L41:$U41))),2)</f>
        <v>0</v>
      </c>
      <c r="AF41" s="39" t="n">
        <f aca="false">MAX(0,'Start Here'!$C$5-SUM($L41:$U41))</f>
        <v>1200</v>
      </c>
      <c r="AG41" s="39" t="n">
        <f aca="false">SUM(V41:AE41)</f>
        <v>0</v>
      </c>
      <c r="AH41" s="39" t="n">
        <f aca="false">SUM(B41:K41)-AG40</f>
        <v>0</v>
      </c>
      <c r="AJ41" s="41" t="n">
        <f aca="false">35*$AK$4</f>
        <v>35</v>
      </c>
      <c r="AK41" s="43" t="n">
        <f aca="false">INDEX('Snowball Schedule'!$AG$6:$AG$366,AJ41+1)</f>
        <v>0</v>
      </c>
      <c r="AL41" s="43" t="n">
        <f aca="false">INDEX('Avalanche Schedule'!$AG$6:$AG$366,AJ41+1)</f>
        <v>0</v>
      </c>
    </row>
    <row r="42" customFormat="false" ht="15" hidden="false" customHeight="false" outlineLevel="0" collapsed="false">
      <c r="A42" s="40" t="n">
        <f aca="false">DATE(YEAR('Start Here'!$C$6),MONTH('Start Here'!$C$6)+35,1)</f>
        <v>47362</v>
      </c>
      <c r="B42" s="39" t="n">
        <f aca="false">ROUND(V41*(1+N('My Debts'!$D$6)/12),2)</f>
        <v>0</v>
      </c>
      <c r="C42" s="39" t="n">
        <f aca="false">ROUND(W41*(1+N('My Debts'!$D$7)/12),2)</f>
        <v>0</v>
      </c>
      <c r="D42" s="39" t="n">
        <f aca="false">ROUND(X41*(1+N('My Debts'!$D$8)/12),2)</f>
        <v>0</v>
      </c>
      <c r="E42" s="39" t="n">
        <f aca="false">ROUND(Y41*(1+N('My Debts'!$D$9)/12),2)</f>
        <v>0</v>
      </c>
      <c r="F42" s="39" t="n">
        <f aca="false">ROUND(Z41*(1+N('My Debts'!$D$10)/12),2)</f>
        <v>0</v>
      </c>
      <c r="G42" s="39" t="n">
        <f aca="false">ROUND(AA41*(1+N('My Debts'!$D$11)/12),2)</f>
        <v>0</v>
      </c>
      <c r="H42" s="39" t="n">
        <f aca="false">ROUND(AB41*(1+N('My Debts'!$D$12)/12),2)</f>
        <v>0</v>
      </c>
      <c r="I42" s="39" t="n">
        <f aca="false">ROUND(AC41*(1+N('My Debts'!$D$13)/12),2)</f>
        <v>0</v>
      </c>
      <c r="J42" s="39" t="n">
        <f aca="false">ROUND(AD41*(1+N('My Debts'!$D$14)/12),2)</f>
        <v>0</v>
      </c>
      <c r="K42" s="39" t="n">
        <f aca="false">ROUND(AE41*(1+N('My Debts'!$D$15)/12),2)</f>
        <v>0</v>
      </c>
      <c r="L42" s="39" t="n">
        <f aca="false">MIN(N('My Debts'!$E$6),B42)</f>
        <v>0</v>
      </c>
      <c r="M42" s="39" t="n">
        <f aca="false">MIN(N('My Debts'!$E$7),C42)</f>
        <v>0</v>
      </c>
      <c r="N42" s="39" t="n">
        <f aca="false">MIN(N('My Debts'!$E$8),D42)</f>
        <v>0</v>
      </c>
      <c r="O42" s="39" t="n">
        <f aca="false">MIN(N('My Debts'!$E$9),E42)</f>
        <v>0</v>
      </c>
      <c r="P42" s="39" t="n">
        <f aca="false">MIN(N('My Debts'!$E$10),F42)</f>
        <v>0</v>
      </c>
      <c r="Q42" s="39" t="n">
        <f aca="false">MIN(N('My Debts'!$E$11),G42)</f>
        <v>0</v>
      </c>
      <c r="R42" s="39" t="n">
        <f aca="false">MIN(N('My Debts'!$E$12),H42)</f>
        <v>0</v>
      </c>
      <c r="S42" s="39" t="n">
        <f aca="false">MIN(N('My Debts'!$E$13),I42)</f>
        <v>0</v>
      </c>
      <c r="T42" s="39" t="n">
        <f aca="false">MIN(N('My Debts'!$E$14),J42)</f>
        <v>0</v>
      </c>
      <c r="U42" s="39" t="n">
        <f aca="false">MIN(N('My Debts'!$E$15),K42)</f>
        <v>0</v>
      </c>
      <c r="V42" s="39" t="n">
        <f aca="false">ROUND(B42-L42-MIN(B42-L42,MAX(0,$AF42-SUMPRODUCT(--($B$4:$K$4&lt;B$4),$B42:$K42-$L42:$U42))),2)</f>
        <v>0</v>
      </c>
      <c r="W42" s="39" t="n">
        <f aca="false">ROUND(C42-M42-MIN(C42-M42,MAX(0,$AF42-SUMPRODUCT(--($B$4:$K$4&lt;C$4),$B42:$K42-$L42:$U42))),2)</f>
        <v>0</v>
      </c>
      <c r="X42" s="39" t="n">
        <f aca="false">ROUND(D42-N42-MIN(D42-N42,MAX(0,$AF42-SUMPRODUCT(--($B$4:$K$4&lt;D$4),$B42:$K42-$L42:$U42))),2)</f>
        <v>0</v>
      </c>
      <c r="Y42" s="39" t="n">
        <f aca="false">ROUND(E42-O42-MIN(E42-O42,MAX(0,$AF42-SUMPRODUCT(--($B$4:$K$4&lt;E$4),$B42:$K42-$L42:$U42))),2)</f>
        <v>0</v>
      </c>
      <c r="Z42" s="39" t="n">
        <f aca="false">ROUND(F42-P42-MIN(F42-P42,MAX(0,$AF42-SUMPRODUCT(--($B$4:$K$4&lt;F$4),$B42:$K42-$L42:$U42))),2)</f>
        <v>0</v>
      </c>
      <c r="AA42" s="39" t="n">
        <f aca="false">ROUND(G42-Q42-MIN(G42-Q42,MAX(0,$AF42-SUMPRODUCT(--($B$4:$K$4&lt;G$4),$B42:$K42-$L42:$U42))),2)</f>
        <v>0</v>
      </c>
      <c r="AB42" s="39" t="n">
        <f aca="false">ROUND(H42-R42-MIN(H42-R42,MAX(0,$AF42-SUMPRODUCT(--($B$4:$K$4&lt;H$4),$B42:$K42-$L42:$U42))),2)</f>
        <v>0</v>
      </c>
      <c r="AC42" s="39" t="n">
        <f aca="false">ROUND(I42-S42-MIN(I42-S42,MAX(0,$AF42-SUMPRODUCT(--($B$4:$K$4&lt;I$4),$B42:$K42-$L42:$U42))),2)</f>
        <v>0</v>
      </c>
      <c r="AD42" s="39" t="n">
        <f aca="false">ROUND(J42-T42-MIN(J42-T42,MAX(0,$AF42-SUMPRODUCT(--($B$4:$K$4&lt;J$4),$B42:$K42-$L42:$U42))),2)</f>
        <v>0</v>
      </c>
      <c r="AE42" s="39" t="n">
        <f aca="false">ROUND(K42-U42-MIN(K42-U42,MAX(0,$AF42-SUMPRODUCT(--($B$4:$K$4&lt;K$4),$B42:$K42-$L42:$U42))),2)</f>
        <v>0</v>
      </c>
      <c r="AF42" s="39" t="n">
        <f aca="false">MAX(0,'Start Here'!$C$5-SUM($L42:$U42))</f>
        <v>1200</v>
      </c>
      <c r="AG42" s="39" t="n">
        <f aca="false">SUM(V42:AE42)</f>
        <v>0</v>
      </c>
      <c r="AH42" s="39" t="n">
        <f aca="false">SUM(B42:K42)-AG41</f>
        <v>0</v>
      </c>
      <c r="AJ42" s="41" t="n">
        <f aca="false">36*$AK$4</f>
        <v>36</v>
      </c>
      <c r="AK42" s="43" t="n">
        <f aca="false">INDEX('Snowball Schedule'!$AG$6:$AG$366,AJ42+1)</f>
        <v>0</v>
      </c>
      <c r="AL42" s="43" t="n">
        <f aca="false">INDEX('Avalanche Schedule'!$AG$6:$AG$366,AJ42+1)</f>
        <v>0</v>
      </c>
    </row>
    <row r="43" customFormat="false" ht="15" hidden="false" customHeight="false" outlineLevel="0" collapsed="false">
      <c r="A43" s="40" t="n">
        <f aca="false">DATE(YEAR('Start Here'!$C$6),MONTH('Start Here'!$C$6)+36,1)</f>
        <v>47392</v>
      </c>
      <c r="B43" s="39" t="n">
        <f aca="false">ROUND(V42*(1+N('My Debts'!$D$6)/12),2)</f>
        <v>0</v>
      </c>
      <c r="C43" s="39" t="n">
        <f aca="false">ROUND(W42*(1+N('My Debts'!$D$7)/12),2)</f>
        <v>0</v>
      </c>
      <c r="D43" s="39" t="n">
        <f aca="false">ROUND(X42*(1+N('My Debts'!$D$8)/12),2)</f>
        <v>0</v>
      </c>
      <c r="E43" s="39" t="n">
        <f aca="false">ROUND(Y42*(1+N('My Debts'!$D$9)/12),2)</f>
        <v>0</v>
      </c>
      <c r="F43" s="39" t="n">
        <f aca="false">ROUND(Z42*(1+N('My Debts'!$D$10)/12),2)</f>
        <v>0</v>
      </c>
      <c r="G43" s="39" t="n">
        <f aca="false">ROUND(AA42*(1+N('My Debts'!$D$11)/12),2)</f>
        <v>0</v>
      </c>
      <c r="H43" s="39" t="n">
        <f aca="false">ROUND(AB42*(1+N('My Debts'!$D$12)/12),2)</f>
        <v>0</v>
      </c>
      <c r="I43" s="39" t="n">
        <f aca="false">ROUND(AC42*(1+N('My Debts'!$D$13)/12),2)</f>
        <v>0</v>
      </c>
      <c r="J43" s="39" t="n">
        <f aca="false">ROUND(AD42*(1+N('My Debts'!$D$14)/12),2)</f>
        <v>0</v>
      </c>
      <c r="K43" s="39" t="n">
        <f aca="false">ROUND(AE42*(1+N('My Debts'!$D$15)/12),2)</f>
        <v>0</v>
      </c>
      <c r="L43" s="39" t="n">
        <f aca="false">MIN(N('My Debts'!$E$6),B43)</f>
        <v>0</v>
      </c>
      <c r="M43" s="39" t="n">
        <f aca="false">MIN(N('My Debts'!$E$7),C43)</f>
        <v>0</v>
      </c>
      <c r="N43" s="39" t="n">
        <f aca="false">MIN(N('My Debts'!$E$8),D43)</f>
        <v>0</v>
      </c>
      <c r="O43" s="39" t="n">
        <f aca="false">MIN(N('My Debts'!$E$9),E43)</f>
        <v>0</v>
      </c>
      <c r="P43" s="39" t="n">
        <f aca="false">MIN(N('My Debts'!$E$10),F43)</f>
        <v>0</v>
      </c>
      <c r="Q43" s="39" t="n">
        <f aca="false">MIN(N('My Debts'!$E$11),G43)</f>
        <v>0</v>
      </c>
      <c r="R43" s="39" t="n">
        <f aca="false">MIN(N('My Debts'!$E$12),H43)</f>
        <v>0</v>
      </c>
      <c r="S43" s="39" t="n">
        <f aca="false">MIN(N('My Debts'!$E$13),I43)</f>
        <v>0</v>
      </c>
      <c r="T43" s="39" t="n">
        <f aca="false">MIN(N('My Debts'!$E$14),J43)</f>
        <v>0</v>
      </c>
      <c r="U43" s="39" t="n">
        <f aca="false">MIN(N('My Debts'!$E$15),K43)</f>
        <v>0</v>
      </c>
      <c r="V43" s="39" t="n">
        <f aca="false">ROUND(B43-L43-MIN(B43-L43,MAX(0,$AF43-SUMPRODUCT(--($B$4:$K$4&lt;B$4),$B43:$K43-$L43:$U43))),2)</f>
        <v>0</v>
      </c>
      <c r="W43" s="39" t="n">
        <f aca="false">ROUND(C43-M43-MIN(C43-M43,MAX(0,$AF43-SUMPRODUCT(--($B$4:$K$4&lt;C$4),$B43:$K43-$L43:$U43))),2)</f>
        <v>0</v>
      </c>
      <c r="X43" s="39" t="n">
        <f aca="false">ROUND(D43-N43-MIN(D43-N43,MAX(0,$AF43-SUMPRODUCT(--($B$4:$K$4&lt;D$4),$B43:$K43-$L43:$U43))),2)</f>
        <v>0</v>
      </c>
      <c r="Y43" s="39" t="n">
        <f aca="false">ROUND(E43-O43-MIN(E43-O43,MAX(0,$AF43-SUMPRODUCT(--($B$4:$K$4&lt;E$4),$B43:$K43-$L43:$U43))),2)</f>
        <v>0</v>
      </c>
      <c r="Z43" s="39" t="n">
        <f aca="false">ROUND(F43-P43-MIN(F43-P43,MAX(0,$AF43-SUMPRODUCT(--($B$4:$K$4&lt;F$4),$B43:$K43-$L43:$U43))),2)</f>
        <v>0</v>
      </c>
      <c r="AA43" s="39" t="n">
        <f aca="false">ROUND(G43-Q43-MIN(G43-Q43,MAX(0,$AF43-SUMPRODUCT(--($B$4:$K$4&lt;G$4),$B43:$K43-$L43:$U43))),2)</f>
        <v>0</v>
      </c>
      <c r="AB43" s="39" t="n">
        <f aca="false">ROUND(H43-R43-MIN(H43-R43,MAX(0,$AF43-SUMPRODUCT(--($B$4:$K$4&lt;H$4),$B43:$K43-$L43:$U43))),2)</f>
        <v>0</v>
      </c>
      <c r="AC43" s="39" t="n">
        <f aca="false">ROUND(I43-S43-MIN(I43-S43,MAX(0,$AF43-SUMPRODUCT(--($B$4:$K$4&lt;I$4),$B43:$K43-$L43:$U43))),2)</f>
        <v>0</v>
      </c>
      <c r="AD43" s="39" t="n">
        <f aca="false">ROUND(J43-T43-MIN(J43-T43,MAX(0,$AF43-SUMPRODUCT(--($B$4:$K$4&lt;J$4),$B43:$K43-$L43:$U43))),2)</f>
        <v>0</v>
      </c>
      <c r="AE43" s="39" t="n">
        <f aca="false">ROUND(K43-U43-MIN(K43-U43,MAX(0,$AF43-SUMPRODUCT(--($B$4:$K$4&lt;K$4),$B43:$K43-$L43:$U43))),2)</f>
        <v>0</v>
      </c>
      <c r="AF43" s="39" t="n">
        <f aca="false">MAX(0,'Start Here'!$C$5-SUM($L43:$U43))</f>
        <v>1200</v>
      </c>
      <c r="AG43" s="39" t="n">
        <f aca="false">SUM(V43:AE43)</f>
        <v>0</v>
      </c>
      <c r="AH43" s="39" t="n">
        <f aca="false">SUM(B43:K43)-AG42</f>
        <v>0</v>
      </c>
      <c r="AJ43" s="41" t="n">
        <f aca="false">37*$AK$4</f>
        <v>37</v>
      </c>
      <c r="AK43" s="43" t="n">
        <f aca="false">INDEX('Snowball Schedule'!$AG$6:$AG$366,AJ43+1)</f>
        <v>0</v>
      </c>
      <c r="AL43" s="43" t="n">
        <f aca="false">INDEX('Avalanche Schedule'!$AG$6:$AG$366,AJ43+1)</f>
        <v>0</v>
      </c>
    </row>
    <row r="44" customFormat="false" ht="15" hidden="false" customHeight="false" outlineLevel="0" collapsed="false">
      <c r="A44" s="40" t="n">
        <f aca="false">DATE(YEAR('Start Here'!$C$6),MONTH('Start Here'!$C$6)+37,1)</f>
        <v>47423</v>
      </c>
      <c r="B44" s="39" t="n">
        <f aca="false">ROUND(V43*(1+N('My Debts'!$D$6)/12),2)</f>
        <v>0</v>
      </c>
      <c r="C44" s="39" t="n">
        <f aca="false">ROUND(W43*(1+N('My Debts'!$D$7)/12),2)</f>
        <v>0</v>
      </c>
      <c r="D44" s="39" t="n">
        <f aca="false">ROUND(X43*(1+N('My Debts'!$D$8)/12),2)</f>
        <v>0</v>
      </c>
      <c r="E44" s="39" t="n">
        <f aca="false">ROUND(Y43*(1+N('My Debts'!$D$9)/12),2)</f>
        <v>0</v>
      </c>
      <c r="F44" s="39" t="n">
        <f aca="false">ROUND(Z43*(1+N('My Debts'!$D$10)/12),2)</f>
        <v>0</v>
      </c>
      <c r="G44" s="39" t="n">
        <f aca="false">ROUND(AA43*(1+N('My Debts'!$D$11)/12),2)</f>
        <v>0</v>
      </c>
      <c r="H44" s="39" t="n">
        <f aca="false">ROUND(AB43*(1+N('My Debts'!$D$12)/12),2)</f>
        <v>0</v>
      </c>
      <c r="I44" s="39" t="n">
        <f aca="false">ROUND(AC43*(1+N('My Debts'!$D$13)/12),2)</f>
        <v>0</v>
      </c>
      <c r="J44" s="39" t="n">
        <f aca="false">ROUND(AD43*(1+N('My Debts'!$D$14)/12),2)</f>
        <v>0</v>
      </c>
      <c r="K44" s="39" t="n">
        <f aca="false">ROUND(AE43*(1+N('My Debts'!$D$15)/12),2)</f>
        <v>0</v>
      </c>
      <c r="L44" s="39" t="n">
        <f aca="false">MIN(N('My Debts'!$E$6),B44)</f>
        <v>0</v>
      </c>
      <c r="M44" s="39" t="n">
        <f aca="false">MIN(N('My Debts'!$E$7),C44)</f>
        <v>0</v>
      </c>
      <c r="N44" s="39" t="n">
        <f aca="false">MIN(N('My Debts'!$E$8),D44)</f>
        <v>0</v>
      </c>
      <c r="O44" s="39" t="n">
        <f aca="false">MIN(N('My Debts'!$E$9),E44)</f>
        <v>0</v>
      </c>
      <c r="P44" s="39" t="n">
        <f aca="false">MIN(N('My Debts'!$E$10),F44)</f>
        <v>0</v>
      </c>
      <c r="Q44" s="39" t="n">
        <f aca="false">MIN(N('My Debts'!$E$11),G44)</f>
        <v>0</v>
      </c>
      <c r="R44" s="39" t="n">
        <f aca="false">MIN(N('My Debts'!$E$12),H44)</f>
        <v>0</v>
      </c>
      <c r="S44" s="39" t="n">
        <f aca="false">MIN(N('My Debts'!$E$13),I44)</f>
        <v>0</v>
      </c>
      <c r="T44" s="39" t="n">
        <f aca="false">MIN(N('My Debts'!$E$14),J44)</f>
        <v>0</v>
      </c>
      <c r="U44" s="39" t="n">
        <f aca="false">MIN(N('My Debts'!$E$15),K44)</f>
        <v>0</v>
      </c>
      <c r="V44" s="39" t="n">
        <f aca="false">ROUND(B44-L44-MIN(B44-L44,MAX(0,$AF44-SUMPRODUCT(--($B$4:$K$4&lt;B$4),$B44:$K44-$L44:$U44))),2)</f>
        <v>0</v>
      </c>
      <c r="W44" s="39" t="n">
        <f aca="false">ROUND(C44-M44-MIN(C44-M44,MAX(0,$AF44-SUMPRODUCT(--($B$4:$K$4&lt;C$4),$B44:$K44-$L44:$U44))),2)</f>
        <v>0</v>
      </c>
      <c r="X44" s="39" t="n">
        <f aca="false">ROUND(D44-N44-MIN(D44-N44,MAX(0,$AF44-SUMPRODUCT(--($B$4:$K$4&lt;D$4),$B44:$K44-$L44:$U44))),2)</f>
        <v>0</v>
      </c>
      <c r="Y44" s="39" t="n">
        <f aca="false">ROUND(E44-O44-MIN(E44-O44,MAX(0,$AF44-SUMPRODUCT(--($B$4:$K$4&lt;E$4),$B44:$K44-$L44:$U44))),2)</f>
        <v>0</v>
      </c>
      <c r="Z44" s="39" t="n">
        <f aca="false">ROUND(F44-P44-MIN(F44-P44,MAX(0,$AF44-SUMPRODUCT(--($B$4:$K$4&lt;F$4),$B44:$K44-$L44:$U44))),2)</f>
        <v>0</v>
      </c>
      <c r="AA44" s="39" t="n">
        <f aca="false">ROUND(G44-Q44-MIN(G44-Q44,MAX(0,$AF44-SUMPRODUCT(--($B$4:$K$4&lt;G$4),$B44:$K44-$L44:$U44))),2)</f>
        <v>0</v>
      </c>
      <c r="AB44" s="39" t="n">
        <f aca="false">ROUND(H44-R44-MIN(H44-R44,MAX(0,$AF44-SUMPRODUCT(--($B$4:$K$4&lt;H$4),$B44:$K44-$L44:$U44))),2)</f>
        <v>0</v>
      </c>
      <c r="AC44" s="39" t="n">
        <f aca="false">ROUND(I44-S44-MIN(I44-S44,MAX(0,$AF44-SUMPRODUCT(--($B$4:$K$4&lt;I$4),$B44:$K44-$L44:$U44))),2)</f>
        <v>0</v>
      </c>
      <c r="AD44" s="39" t="n">
        <f aca="false">ROUND(J44-T44-MIN(J44-T44,MAX(0,$AF44-SUMPRODUCT(--($B$4:$K$4&lt;J$4),$B44:$K44-$L44:$U44))),2)</f>
        <v>0</v>
      </c>
      <c r="AE44" s="39" t="n">
        <f aca="false">ROUND(K44-U44-MIN(K44-U44,MAX(0,$AF44-SUMPRODUCT(--($B$4:$K$4&lt;K$4),$B44:$K44-$L44:$U44))),2)</f>
        <v>0</v>
      </c>
      <c r="AF44" s="39" t="n">
        <f aca="false">MAX(0,'Start Here'!$C$5-SUM($L44:$U44))</f>
        <v>1200</v>
      </c>
      <c r="AG44" s="39" t="n">
        <f aca="false">SUM(V44:AE44)</f>
        <v>0</v>
      </c>
      <c r="AH44" s="39" t="n">
        <f aca="false">SUM(B44:K44)-AG43</f>
        <v>0</v>
      </c>
      <c r="AJ44" s="41" t="n">
        <f aca="false">38*$AK$4</f>
        <v>38</v>
      </c>
      <c r="AK44" s="43" t="n">
        <f aca="false">INDEX('Snowball Schedule'!$AG$6:$AG$366,AJ44+1)</f>
        <v>0</v>
      </c>
      <c r="AL44" s="43" t="n">
        <f aca="false">INDEX('Avalanche Schedule'!$AG$6:$AG$366,AJ44+1)</f>
        <v>0</v>
      </c>
    </row>
    <row r="45" customFormat="false" ht="15" hidden="false" customHeight="false" outlineLevel="0" collapsed="false">
      <c r="A45" s="40" t="n">
        <f aca="false">DATE(YEAR('Start Here'!$C$6),MONTH('Start Here'!$C$6)+38,1)</f>
        <v>47453</v>
      </c>
      <c r="B45" s="39" t="n">
        <f aca="false">ROUND(V44*(1+N('My Debts'!$D$6)/12),2)</f>
        <v>0</v>
      </c>
      <c r="C45" s="39" t="n">
        <f aca="false">ROUND(W44*(1+N('My Debts'!$D$7)/12),2)</f>
        <v>0</v>
      </c>
      <c r="D45" s="39" t="n">
        <f aca="false">ROUND(X44*(1+N('My Debts'!$D$8)/12),2)</f>
        <v>0</v>
      </c>
      <c r="E45" s="39" t="n">
        <f aca="false">ROUND(Y44*(1+N('My Debts'!$D$9)/12),2)</f>
        <v>0</v>
      </c>
      <c r="F45" s="39" t="n">
        <f aca="false">ROUND(Z44*(1+N('My Debts'!$D$10)/12),2)</f>
        <v>0</v>
      </c>
      <c r="G45" s="39" t="n">
        <f aca="false">ROUND(AA44*(1+N('My Debts'!$D$11)/12),2)</f>
        <v>0</v>
      </c>
      <c r="H45" s="39" t="n">
        <f aca="false">ROUND(AB44*(1+N('My Debts'!$D$12)/12),2)</f>
        <v>0</v>
      </c>
      <c r="I45" s="39" t="n">
        <f aca="false">ROUND(AC44*(1+N('My Debts'!$D$13)/12),2)</f>
        <v>0</v>
      </c>
      <c r="J45" s="39" t="n">
        <f aca="false">ROUND(AD44*(1+N('My Debts'!$D$14)/12),2)</f>
        <v>0</v>
      </c>
      <c r="K45" s="39" t="n">
        <f aca="false">ROUND(AE44*(1+N('My Debts'!$D$15)/12),2)</f>
        <v>0</v>
      </c>
      <c r="L45" s="39" t="n">
        <f aca="false">MIN(N('My Debts'!$E$6),B45)</f>
        <v>0</v>
      </c>
      <c r="M45" s="39" t="n">
        <f aca="false">MIN(N('My Debts'!$E$7),C45)</f>
        <v>0</v>
      </c>
      <c r="N45" s="39" t="n">
        <f aca="false">MIN(N('My Debts'!$E$8),D45)</f>
        <v>0</v>
      </c>
      <c r="O45" s="39" t="n">
        <f aca="false">MIN(N('My Debts'!$E$9),E45)</f>
        <v>0</v>
      </c>
      <c r="P45" s="39" t="n">
        <f aca="false">MIN(N('My Debts'!$E$10),F45)</f>
        <v>0</v>
      </c>
      <c r="Q45" s="39" t="n">
        <f aca="false">MIN(N('My Debts'!$E$11),G45)</f>
        <v>0</v>
      </c>
      <c r="R45" s="39" t="n">
        <f aca="false">MIN(N('My Debts'!$E$12),H45)</f>
        <v>0</v>
      </c>
      <c r="S45" s="39" t="n">
        <f aca="false">MIN(N('My Debts'!$E$13),I45)</f>
        <v>0</v>
      </c>
      <c r="T45" s="39" t="n">
        <f aca="false">MIN(N('My Debts'!$E$14),J45)</f>
        <v>0</v>
      </c>
      <c r="U45" s="39" t="n">
        <f aca="false">MIN(N('My Debts'!$E$15),K45)</f>
        <v>0</v>
      </c>
      <c r="V45" s="39" t="n">
        <f aca="false">ROUND(B45-L45-MIN(B45-L45,MAX(0,$AF45-SUMPRODUCT(--($B$4:$K$4&lt;B$4),$B45:$K45-$L45:$U45))),2)</f>
        <v>0</v>
      </c>
      <c r="W45" s="39" t="n">
        <f aca="false">ROUND(C45-M45-MIN(C45-M45,MAX(0,$AF45-SUMPRODUCT(--($B$4:$K$4&lt;C$4),$B45:$K45-$L45:$U45))),2)</f>
        <v>0</v>
      </c>
      <c r="X45" s="39" t="n">
        <f aca="false">ROUND(D45-N45-MIN(D45-N45,MAX(0,$AF45-SUMPRODUCT(--($B$4:$K$4&lt;D$4),$B45:$K45-$L45:$U45))),2)</f>
        <v>0</v>
      </c>
      <c r="Y45" s="39" t="n">
        <f aca="false">ROUND(E45-O45-MIN(E45-O45,MAX(0,$AF45-SUMPRODUCT(--($B$4:$K$4&lt;E$4),$B45:$K45-$L45:$U45))),2)</f>
        <v>0</v>
      </c>
      <c r="Z45" s="39" t="n">
        <f aca="false">ROUND(F45-P45-MIN(F45-P45,MAX(0,$AF45-SUMPRODUCT(--($B$4:$K$4&lt;F$4),$B45:$K45-$L45:$U45))),2)</f>
        <v>0</v>
      </c>
      <c r="AA45" s="39" t="n">
        <f aca="false">ROUND(G45-Q45-MIN(G45-Q45,MAX(0,$AF45-SUMPRODUCT(--($B$4:$K$4&lt;G$4),$B45:$K45-$L45:$U45))),2)</f>
        <v>0</v>
      </c>
      <c r="AB45" s="39" t="n">
        <f aca="false">ROUND(H45-R45-MIN(H45-R45,MAX(0,$AF45-SUMPRODUCT(--($B$4:$K$4&lt;H$4),$B45:$K45-$L45:$U45))),2)</f>
        <v>0</v>
      </c>
      <c r="AC45" s="39" t="n">
        <f aca="false">ROUND(I45-S45-MIN(I45-S45,MAX(0,$AF45-SUMPRODUCT(--($B$4:$K$4&lt;I$4),$B45:$K45-$L45:$U45))),2)</f>
        <v>0</v>
      </c>
      <c r="AD45" s="39" t="n">
        <f aca="false">ROUND(J45-T45-MIN(J45-T45,MAX(0,$AF45-SUMPRODUCT(--($B$4:$K$4&lt;J$4),$B45:$K45-$L45:$U45))),2)</f>
        <v>0</v>
      </c>
      <c r="AE45" s="39" t="n">
        <f aca="false">ROUND(K45-U45-MIN(K45-U45,MAX(0,$AF45-SUMPRODUCT(--($B$4:$K$4&lt;K$4),$B45:$K45-$L45:$U45))),2)</f>
        <v>0</v>
      </c>
      <c r="AF45" s="39" t="n">
        <f aca="false">MAX(0,'Start Here'!$C$5-SUM($L45:$U45))</f>
        <v>1200</v>
      </c>
      <c r="AG45" s="39" t="n">
        <f aca="false">SUM(V45:AE45)</f>
        <v>0</v>
      </c>
      <c r="AH45" s="39" t="n">
        <f aca="false">SUM(B45:K45)-AG44</f>
        <v>0</v>
      </c>
      <c r="AJ45" s="41" t="n">
        <f aca="false">39*$AK$4</f>
        <v>39</v>
      </c>
      <c r="AK45" s="43" t="n">
        <f aca="false">INDEX('Snowball Schedule'!$AG$6:$AG$366,AJ45+1)</f>
        <v>0</v>
      </c>
      <c r="AL45" s="43" t="n">
        <f aca="false">INDEX('Avalanche Schedule'!$AG$6:$AG$366,AJ45+1)</f>
        <v>0</v>
      </c>
    </row>
    <row r="46" customFormat="false" ht="15" hidden="false" customHeight="false" outlineLevel="0" collapsed="false">
      <c r="A46" s="40" t="n">
        <f aca="false">DATE(YEAR('Start Here'!$C$6),MONTH('Start Here'!$C$6)+39,1)</f>
        <v>47484</v>
      </c>
      <c r="B46" s="39" t="n">
        <f aca="false">ROUND(V45*(1+N('My Debts'!$D$6)/12),2)</f>
        <v>0</v>
      </c>
      <c r="C46" s="39" t="n">
        <f aca="false">ROUND(W45*(1+N('My Debts'!$D$7)/12),2)</f>
        <v>0</v>
      </c>
      <c r="D46" s="39" t="n">
        <f aca="false">ROUND(X45*(1+N('My Debts'!$D$8)/12),2)</f>
        <v>0</v>
      </c>
      <c r="E46" s="39" t="n">
        <f aca="false">ROUND(Y45*(1+N('My Debts'!$D$9)/12),2)</f>
        <v>0</v>
      </c>
      <c r="F46" s="39" t="n">
        <f aca="false">ROUND(Z45*(1+N('My Debts'!$D$10)/12),2)</f>
        <v>0</v>
      </c>
      <c r="G46" s="39" t="n">
        <f aca="false">ROUND(AA45*(1+N('My Debts'!$D$11)/12),2)</f>
        <v>0</v>
      </c>
      <c r="H46" s="39" t="n">
        <f aca="false">ROUND(AB45*(1+N('My Debts'!$D$12)/12),2)</f>
        <v>0</v>
      </c>
      <c r="I46" s="39" t="n">
        <f aca="false">ROUND(AC45*(1+N('My Debts'!$D$13)/12),2)</f>
        <v>0</v>
      </c>
      <c r="J46" s="39" t="n">
        <f aca="false">ROUND(AD45*(1+N('My Debts'!$D$14)/12),2)</f>
        <v>0</v>
      </c>
      <c r="K46" s="39" t="n">
        <f aca="false">ROUND(AE45*(1+N('My Debts'!$D$15)/12),2)</f>
        <v>0</v>
      </c>
      <c r="L46" s="39" t="n">
        <f aca="false">MIN(N('My Debts'!$E$6),B46)</f>
        <v>0</v>
      </c>
      <c r="M46" s="39" t="n">
        <f aca="false">MIN(N('My Debts'!$E$7),C46)</f>
        <v>0</v>
      </c>
      <c r="N46" s="39" t="n">
        <f aca="false">MIN(N('My Debts'!$E$8),D46)</f>
        <v>0</v>
      </c>
      <c r="O46" s="39" t="n">
        <f aca="false">MIN(N('My Debts'!$E$9),E46)</f>
        <v>0</v>
      </c>
      <c r="P46" s="39" t="n">
        <f aca="false">MIN(N('My Debts'!$E$10),F46)</f>
        <v>0</v>
      </c>
      <c r="Q46" s="39" t="n">
        <f aca="false">MIN(N('My Debts'!$E$11),G46)</f>
        <v>0</v>
      </c>
      <c r="R46" s="39" t="n">
        <f aca="false">MIN(N('My Debts'!$E$12),H46)</f>
        <v>0</v>
      </c>
      <c r="S46" s="39" t="n">
        <f aca="false">MIN(N('My Debts'!$E$13),I46)</f>
        <v>0</v>
      </c>
      <c r="T46" s="39" t="n">
        <f aca="false">MIN(N('My Debts'!$E$14),J46)</f>
        <v>0</v>
      </c>
      <c r="U46" s="39" t="n">
        <f aca="false">MIN(N('My Debts'!$E$15),K46)</f>
        <v>0</v>
      </c>
      <c r="V46" s="39" t="n">
        <f aca="false">ROUND(B46-L46-MIN(B46-L46,MAX(0,$AF46-SUMPRODUCT(--($B$4:$K$4&lt;B$4),$B46:$K46-$L46:$U46))),2)</f>
        <v>0</v>
      </c>
      <c r="W46" s="39" t="n">
        <f aca="false">ROUND(C46-M46-MIN(C46-M46,MAX(0,$AF46-SUMPRODUCT(--($B$4:$K$4&lt;C$4),$B46:$K46-$L46:$U46))),2)</f>
        <v>0</v>
      </c>
      <c r="X46" s="39" t="n">
        <f aca="false">ROUND(D46-N46-MIN(D46-N46,MAX(0,$AF46-SUMPRODUCT(--($B$4:$K$4&lt;D$4),$B46:$K46-$L46:$U46))),2)</f>
        <v>0</v>
      </c>
      <c r="Y46" s="39" t="n">
        <f aca="false">ROUND(E46-O46-MIN(E46-O46,MAX(0,$AF46-SUMPRODUCT(--($B$4:$K$4&lt;E$4),$B46:$K46-$L46:$U46))),2)</f>
        <v>0</v>
      </c>
      <c r="Z46" s="39" t="n">
        <f aca="false">ROUND(F46-P46-MIN(F46-P46,MAX(0,$AF46-SUMPRODUCT(--($B$4:$K$4&lt;F$4),$B46:$K46-$L46:$U46))),2)</f>
        <v>0</v>
      </c>
      <c r="AA46" s="39" t="n">
        <f aca="false">ROUND(G46-Q46-MIN(G46-Q46,MAX(0,$AF46-SUMPRODUCT(--($B$4:$K$4&lt;G$4),$B46:$K46-$L46:$U46))),2)</f>
        <v>0</v>
      </c>
      <c r="AB46" s="39" t="n">
        <f aca="false">ROUND(H46-R46-MIN(H46-R46,MAX(0,$AF46-SUMPRODUCT(--($B$4:$K$4&lt;H$4),$B46:$K46-$L46:$U46))),2)</f>
        <v>0</v>
      </c>
      <c r="AC46" s="39" t="n">
        <f aca="false">ROUND(I46-S46-MIN(I46-S46,MAX(0,$AF46-SUMPRODUCT(--($B$4:$K$4&lt;I$4),$B46:$K46-$L46:$U46))),2)</f>
        <v>0</v>
      </c>
      <c r="AD46" s="39" t="n">
        <f aca="false">ROUND(J46-T46-MIN(J46-T46,MAX(0,$AF46-SUMPRODUCT(--($B$4:$K$4&lt;J$4),$B46:$K46-$L46:$U46))),2)</f>
        <v>0</v>
      </c>
      <c r="AE46" s="39" t="n">
        <f aca="false">ROUND(K46-U46-MIN(K46-U46,MAX(0,$AF46-SUMPRODUCT(--($B$4:$K$4&lt;K$4),$B46:$K46-$L46:$U46))),2)</f>
        <v>0</v>
      </c>
      <c r="AF46" s="39" t="n">
        <f aca="false">MAX(0,'Start Here'!$C$5-SUM($L46:$U46))</f>
        <v>1200</v>
      </c>
      <c r="AG46" s="39" t="n">
        <f aca="false">SUM(V46:AE46)</f>
        <v>0</v>
      </c>
      <c r="AH46" s="39" t="n">
        <f aca="false">SUM(B46:K46)-AG45</f>
        <v>0</v>
      </c>
      <c r="AJ46" s="41" t="n">
        <f aca="false">40*$AK$4</f>
        <v>40</v>
      </c>
      <c r="AK46" s="43" t="n">
        <f aca="false">INDEX('Snowball Schedule'!$AG$6:$AG$366,AJ46+1)</f>
        <v>0</v>
      </c>
      <c r="AL46" s="43" t="n">
        <f aca="false">INDEX('Avalanche Schedule'!$AG$6:$AG$366,AJ46+1)</f>
        <v>0</v>
      </c>
    </row>
    <row r="47" customFormat="false" ht="15" hidden="false" customHeight="false" outlineLevel="0" collapsed="false">
      <c r="A47" s="40" t="n">
        <f aca="false">DATE(YEAR('Start Here'!$C$6),MONTH('Start Here'!$C$6)+40,1)</f>
        <v>47515</v>
      </c>
      <c r="B47" s="39" t="n">
        <f aca="false">ROUND(V46*(1+N('My Debts'!$D$6)/12),2)</f>
        <v>0</v>
      </c>
      <c r="C47" s="39" t="n">
        <f aca="false">ROUND(W46*(1+N('My Debts'!$D$7)/12),2)</f>
        <v>0</v>
      </c>
      <c r="D47" s="39" t="n">
        <f aca="false">ROUND(X46*(1+N('My Debts'!$D$8)/12),2)</f>
        <v>0</v>
      </c>
      <c r="E47" s="39" t="n">
        <f aca="false">ROUND(Y46*(1+N('My Debts'!$D$9)/12),2)</f>
        <v>0</v>
      </c>
      <c r="F47" s="39" t="n">
        <f aca="false">ROUND(Z46*(1+N('My Debts'!$D$10)/12),2)</f>
        <v>0</v>
      </c>
      <c r="G47" s="39" t="n">
        <f aca="false">ROUND(AA46*(1+N('My Debts'!$D$11)/12),2)</f>
        <v>0</v>
      </c>
      <c r="H47" s="39" t="n">
        <f aca="false">ROUND(AB46*(1+N('My Debts'!$D$12)/12),2)</f>
        <v>0</v>
      </c>
      <c r="I47" s="39" t="n">
        <f aca="false">ROUND(AC46*(1+N('My Debts'!$D$13)/12),2)</f>
        <v>0</v>
      </c>
      <c r="J47" s="39" t="n">
        <f aca="false">ROUND(AD46*(1+N('My Debts'!$D$14)/12),2)</f>
        <v>0</v>
      </c>
      <c r="K47" s="39" t="n">
        <f aca="false">ROUND(AE46*(1+N('My Debts'!$D$15)/12),2)</f>
        <v>0</v>
      </c>
      <c r="L47" s="39" t="n">
        <f aca="false">MIN(N('My Debts'!$E$6),B47)</f>
        <v>0</v>
      </c>
      <c r="M47" s="39" t="n">
        <f aca="false">MIN(N('My Debts'!$E$7),C47)</f>
        <v>0</v>
      </c>
      <c r="N47" s="39" t="n">
        <f aca="false">MIN(N('My Debts'!$E$8),D47)</f>
        <v>0</v>
      </c>
      <c r="O47" s="39" t="n">
        <f aca="false">MIN(N('My Debts'!$E$9),E47)</f>
        <v>0</v>
      </c>
      <c r="P47" s="39" t="n">
        <f aca="false">MIN(N('My Debts'!$E$10),F47)</f>
        <v>0</v>
      </c>
      <c r="Q47" s="39" t="n">
        <f aca="false">MIN(N('My Debts'!$E$11),G47)</f>
        <v>0</v>
      </c>
      <c r="R47" s="39" t="n">
        <f aca="false">MIN(N('My Debts'!$E$12),H47)</f>
        <v>0</v>
      </c>
      <c r="S47" s="39" t="n">
        <f aca="false">MIN(N('My Debts'!$E$13),I47)</f>
        <v>0</v>
      </c>
      <c r="T47" s="39" t="n">
        <f aca="false">MIN(N('My Debts'!$E$14),J47)</f>
        <v>0</v>
      </c>
      <c r="U47" s="39" t="n">
        <f aca="false">MIN(N('My Debts'!$E$15),K47)</f>
        <v>0</v>
      </c>
      <c r="V47" s="39" t="n">
        <f aca="false">ROUND(B47-L47-MIN(B47-L47,MAX(0,$AF47-SUMPRODUCT(--($B$4:$K$4&lt;B$4),$B47:$K47-$L47:$U47))),2)</f>
        <v>0</v>
      </c>
      <c r="W47" s="39" t="n">
        <f aca="false">ROUND(C47-M47-MIN(C47-M47,MAX(0,$AF47-SUMPRODUCT(--($B$4:$K$4&lt;C$4),$B47:$K47-$L47:$U47))),2)</f>
        <v>0</v>
      </c>
      <c r="X47" s="39" t="n">
        <f aca="false">ROUND(D47-N47-MIN(D47-N47,MAX(0,$AF47-SUMPRODUCT(--($B$4:$K$4&lt;D$4),$B47:$K47-$L47:$U47))),2)</f>
        <v>0</v>
      </c>
      <c r="Y47" s="39" t="n">
        <f aca="false">ROUND(E47-O47-MIN(E47-O47,MAX(0,$AF47-SUMPRODUCT(--($B$4:$K$4&lt;E$4),$B47:$K47-$L47:$U47))),2)</f>
        <v>0</v>
      </c>
      <c r="Z47" s="39" t="n">
        <f aca="false">ROUND(F47-P47-MIN(F47-P47,MAX(0,$AF47-SUMPRODUCT(--($B$4:$K$4&lt;F$4),$B47:$K47-$L47:$U47))),2)</f>
        <v>0</v>
      </c>
      <c r="AA47" s="39" t="n">
        <f aca="false">ROUND(G47-Q47-MIN(G47-Q47,MAX(0,$AF47-SUMPRODUCT(--($B$4:$K$4&lt;G$4),$B47:$K47-$L47:$U47))),2)</f>
        <v>0</v>
      </c>
      <c r="AB47" s="39" t="n">
        <f aca="false">ROUND(H47-R47-MIN(H47-R47,MAX(0,$AF47-SUMPRODUCT(--($B$4:$K$4&lt;H$4),$B47:$K47-$L47:$U47))),2)</f>
        <v>0</v>
      </c>
      <c r="AC47" s="39" t="n">
        <f aca="false">ROUND(I47-S47-MIN(I47-S47,MAX(0,$AF47-SUMPRODUCT(--($B$4:$K$4&lt;I$4),$B47:$K47-$L47:$U47))),2)</f>
        <v>0</v>
      </c>
      <c r="AD47" s="39" t="n">
        <f aca="false">ROUND(J47-T47-MIN(J47-T47,MAX(0,$AF47-SUMPRODUCT(--($B$4:$K$4&lt;J$4),$B47:$K47-$L47:$U47))),2)</f>
        <v>0</v>
      </c>
      <c r="AE47" s="39" t="n">
        <f aca="false">ROUND(K47-U47-MIN(K47-U47,MAX(0,$AF47-SUMPRODUCT(--($B$4:$K$4&lt;K$4),$B47:$K47-$L47:$U47))),2)</f>
        <v>0</v>
      </c>
      <c r="AF47" s="39" t="n">
        <f aca="false">MAX(0,'Start Here'!$C$5-SUM($L47:$U47))</f>
        <v>1200</v>
      </c>
      <c r="AG47" s="39" t="n">
        <f aca="false">SUM(V47:AE47)</f>
        <v>0</v>
      </c>
      <c r="AH47" s="39" t="n">
        <f aca="false">SUM(B47:K47)-AG46</f>
        <v>0</v>
      </c>
    </row>
    <row r="48" customFormat="false" ht="15" hidden="false" customHeight="false" outlineLevel="0" collapsed="false">
      <c r="A48" s="40" t="n">
        <f aca="false">DATE(YEAR('Start Here'!$C$6),MONTH('Start Here'!$C$6)+41,1)</f>
        <v>47543</v>
      </c>
      <c r="B48" s="39" t="n">
        <f aca="false">ROUND(V47*(1+N('My Debts'!$D$6)/12),2)</f>
        <v>0</v>
      </c>
      <c r="C48" s="39" t="n">
        <f aca="false">ROUND(W47*(1+N('My Debts'!$D$7)/12),2)</f>
        <v>0</v>
      </c>
      <c r="D48" s="39" t="n">
        <f aca="false">ROUND(X47*(1+N('My Debts'!$D$8)/12),2)</f>
        <v>0</v>
      </c>
      <c r="E48" s="39" t="n">
        <f aca="false">ROUND(Y47*(1+N('My Debts'!$D$9)/12),2)</f>
        <v>0</v>
      </c>
      <c r="F48" s="39" t="n">
        <f aca="false">ROUND(Z47*(1+N('My Debts'!$D$10)/12),2)</f>
        <v>0</v>
      </c>
      <c r="G48" s="39" t="n">
        <f aca="false">ROUND(AA47*(1+N('My Debts'!$D$11)/12),2)</f>
        <v>0</v>
      </c>
      <c r="H48" s="39" t="n">
        <f aca="false">ROUND(AB47*(1+N('My Debts'!$D$12)/12),2)</f>
        <v>0</v>
      </c>
      <c r="I48" s="39" t="n">
        <f aca="false">ROUND(AC47*(1+N('My Debts'!$D$13)/12),2)</f>
        <v>0</v>
      </c>
      <c r="J48" s="39" t="n">
        <f aca="false">ROUND(AD47*(1+N('My Debts'!$D$14)/12),2)</f>
        <v>0</v>
      </c>
      <c r="K48" s="39" t="n">
        <f aca="false">ROUND(AE47*(1+N('My Debts'!$D$15)/12),2)</f>
        <v>0</v>
      </c>
      <c r="L48" s="39" t="n">
        <f aca="false">MIN(N('My Debts'!$E$6),B48)</f>
        <v>0</v>
      </c>
      <c r="M48" s="39" t="n">
        <f aca="false">MIN(N('My Debts'!$E$7),C48)</f>
        <v>0</v>
      </c>
      <c r="N48" s="39" t="n">
        <f aca="false">MIN(N('My Debts'!$E$8),D48)</f>
        <v>0</v>
      </c>
      <c r="O48" s="39" t="n">
        <f aca="false">MIN(N('My Debts'!$E$9),E48)</f>
        <v>0</v>
      </c>
      <c r="P48" s="39" t="n">
        <f aca="false">MIN(N('My Debts'!$E$10),F48)</f>
        <v>0</v>
      </c>
      <c r="Q48" s="39" t="n">
        <f aca="false">MIN(N('My Debts'!$E$11),G48)</f>
        <v>0</v>
      </c>
      <c r="R48" s="39" t="n">
        <f aca="false">MIN(N('My Debts'!$E$12),H48)</f>
        <v>0</v>
      </c>
      <c r="S48" s="39" t="n">
        <f aca="false">MIN(N('My Debts'!$E$13),I48)</f>
        <v>0</v>
      </c>
      <c r="T48" s="39" t="n">
        <f aca="false">MIN(N('My Debts'!$E$14),J48)</f>
        <v>0</v>
      </c>
      <c r="U48" s="39" t="n">
        <f aca="false">MIN(N('My Debts'!$E$15),K48)</f>
        <v>0</v>
      </c>
      <c r="V48" s="39" t="n">
        <f aca="false">ROUND(B48-L48-MIN(B48-L48,MAX(0,$AF48-SUMPRODUCT(--($B$4:$K$4&lt;B$4),$B48:$K48-$L48:$U48))),2)</f>
        <v>0</v>
      </c>
      <c r="W48" s="39" t="n">
        <f aca="false">ROUND(C48-M48-MIN(C48-M48,MAX(0,$AF48-SUMPRODUCT(--($B$4:$K$4&lt;C$4),$B48:$K48-$L48:$U48))),2)</f>
        <v>0</v>
      </c>
      <c r="X48" s="39" t="n">
        <f aca="false">ROUND(D48-N48-MIN(D48-N48,MAX(0,$AF48-SUMPRODUCT(--($B$4:$K$4&lt;D$4),$B48:$K48-$L48:$U48))),2)</f>
        <v>0</v>
      </c>
      <c r="Y48" s="39" t="n">
        <f aca="false">ROUND(E48-O48-MIN(E48-O48,MAX(0,$AF48-SUMPRODUCT(--($B$4:$K$4&lt;E$4),$B48:$K48-$L48:$U48))),2)</f>
        <v>0</v>
      </c>
      <c r="Z48" s="39" t="n">
        <f aca="false">ROUND(F48-P48-MIN(F48-P48,MAX(0,$AF48-SUMPRODUCT(--($B$4:$K$4&lt;F$4),$B48:$K48-$L48:$U48))),2)</f>
        <v>0</v>
      </c>
      <c r="AA48" s="39" t="n">
        <f aca="false">ROUND(G48-Q48-MIN(G48-Q48,MAX(0,$AF48-SUMPRODUCT(--($B$4:$K$4&lt;G$4),$B48:$K48-$L48:$U48))),2)</f>
        <v>0</v>
      </c>
      <c r="AB48" s="39" t="n">
        <f aca="false">ROUND(H48-R48-MIN(H48-R48,MAX(0,$AF48-SUMPRODUCT(--($B$4:$K$4&lt;H$4),$B48:$K48-$L48:$U48))),2)</f>
        <v>0</v>
      </c>
      <c r="AC48" s="39" t="n">
        <f aca="false">ROUND(I48-S48-MIN(I48-S48,MAX(0,$AF48-SUMPRODUCT(--($B$4:$K$4&lt;I$4),$B48:$K48-$L48:$U48))),2)</f>
        <v>0</v>
      </c>
      <c r="AD48" s="39" t="n">
        <f aca="false">ROUND(J48-T48-MIN(J48-T48,MAX(0,$AF48-SUMPRODUCT(--($B$4:$K$4&lt;J$4),$B48:$K48-$L48:$U48))),2)</f>
        <v>0</v>
      </c>
      <c r="AE48" s="39" t="n">
        <f aca="false">ROUND(K48-U48-MIN(K48-U48,MAX(0,$AF48-SUMPRODUCT(--($B$4:$K$4&lt;K$4),$B48:$K48-$L48:$U48))),2)</f>
        <v>0</v>
      </c>
      <c r="AF48" s="39" t="n">
        <f aca="false">MAX(0,'Start Here'!$C$5-SUM($L48:$U48))</f>
        <v>1200</v>
      </c>
      <c r="AG48" s="39" t="n">
        <f aca="false">SUM(V48:AE48)</f>
        <v>0</v>
      </c>
      <c r="AH48" s="39" t="n">
        <f aca="false">SUM(B48:K48)-AG47</f>
        <v>0</v>
      </c>
    </row>
    <row r="49" customFormat="false" ht="15" hidden="false" customHeight="false" outlineLevel="0" collapsed="false">
      <c r="A49" s="40" t="n">
        <f aca="false">DATE(YEAR('Start Here'!$C$6),MONTH('Start Here'!$C$6)+42,1)</f>
        <v>47574</v>
      </c>
      <c r="B49" s="39" t="n">
        <f aca="false">ROUND(V48*(1+N('My Debts'!$D$6)/12),2)</f>
        <v>0</v>
      </c>
      <c r="C49" s="39" t="n">
        <f aca="false">ROUND(W48*(1+N('My Debts'!$D$7)/12),2)</f>
        <v>0</v>
      </c>
      <c r="D49" s="39" t="n">
        <f aca="false">ROUND(X48*(1+N('My Debts'!$D$8)/12),2)</f>
        <v>0</v>
      </c>
      <c r="E49" s="39" t="n">
        <f aca="false">ROUND(Y48*(1+N('My Debts'!$D$9)/12),2)</f>
        <v>0</v>
      </c>
      <c r="F49" s="39" t="n">
        <f aca="false">ROUND(Z48*(1+N('My Debts'!$D$10)/12),2)</f>
        <v>0</v>
      </c>
      <c r="G49" s="39" t="n">
        <f aca="false">ROUND(AA48*(1+N('My Debts'!$D$11)/12),2)</f>
        <v>0</v>
      </c>
      <c r="H49" s="39" t="n">
        <f aca="false">ROUND(AB48*(1+N('My Debts'!$D$12)/12),2)</f>
        <v>0</v>
      </c>
      <c r="I49" s="39" t="n">
        <f aca="false">ROUND(AC48*(1+N('My Debts'!$D$13)/12),2)</f>
        <v>0</v>
      </c>
      <c r="J49" s="39" t="n">
        <f aca="false">ROUND(AD48*(1+N('My Debts'!$D$14)/12),2)</f>
        <v>0</v>
      </c>
      <c r="K49" s="39" t="n">
        <f aca="false">ROUND(AE48*(1+N('My Debts'!$D$15)/12),2)</f>
        <v>0</v>
      </c>
      <c r="L49" s="39" t="n">
        <f aca="false">MIN(N('My Debts'!$E$6),B49)</f>
        <v>0</v>
      </c>
      <c r="M49" s="39" t="n">
        <f aca="false">MIN(N('My Debts'!$E$7),C49)</f>
        <v>0</v>
      </c>
      <c r="N49" s="39" t="n">
        <f aca="false">MIN(N('My Debts'!$E$8),D49)</f>
        <v>0</v>
      </c>
      <c r="O49" s="39" t="n">
        <f aca="false">MIN(N('My Debts'!$E$9),E49)</f>
        <v>0</v>
      </c>
      <c r="P49" s="39" t="n">
        <f aca="false">MIN(N('My Debts'!$E$10),F49)</f>
        <v>0</v>
      </c>
      <c r="Q49" s="39" t="n">
        <f aca="false">MIN(N('My Debts'!$E$11),G49)</f>
        <v>0</v>
      </c>
      <c r="R49" s="39" t="n">
        <f aca="false">MIN(N('My Debts'!$E$12),H49)</f>
        <v>0</v>
      </c>
      <c r="S49" s="39" t="n">
        <f aca="false">MIN(N('My Debts'!$E$13),I49)</f>
        <v>0</v>
      </c>
      <c r="T49" s="39" t="n">
        <f aca="false">MIN(N('My Debts'!$E$14),J49)</f>
        <v>0</v>
      </c>
      <c r="U49" s="39" t="n">
        <f aca="false">MIN(N('My Debts'!$E$15),K49)</f>
        <v>0</v>
      </c>
      <c r="V49" s="39" t="n">
        <f aca="false">ROUND(B49-L49-MIN(B49-L49,MAX(0,$AF49-SUMPRODUCT(--($B$4:$K$4&lt;B$4),$B49:$K49-$L49:$U49))),2)</f>
        <v>0</v>
      </c>
      <c r="W49" s="39" t="n">
        <f aca="false">ROUND(C49-M49-MIN(C49-M49,MAX(0,$AF49-SUMPRODUCT(--($B$4:$K$4&lt;C$4),$B49:$K49-$L49:$U49))),2)</f>
        <v>0</v>
      </c>
      <c r="X49" s="39" t="n">
        <f aca="false">ROUND(D49-N49-MIN(D49-N49,MAX(0,$AF49-SUMPRODUCT(--($B$4:$K$4&lt;D$4),$B49:$K49-$L49:$U49))),2)</f>
        <v>0</v>
      </c>
      <c r="Y49" s="39" t="n">
        <f aca="false">ROUND(E49-O49-MIN(E49-O49,MAX(0,$AF49-SUMPRODUCT(--($B$4:$K$4&lt;E$4),$B49:$K49-$L49:$U49))),2)</f>
        <v>0</v>
      </c>
      <c r="Z49" s="39" t="n">
        <f aca="false">ROUND(F49-P49-MIN(F49-P49,MAX(0,$AF49-SUMPRODUCT(--($B$4:$K$4&lt;F$4),$B49:$K49-$L49:$U49))),2)</f>
        <v>0</v>
      </c>
      <c r="AA49" s="39" t="n">
        <f aca="false">ROUND(G49-Q49-MIN(G49-Q49,MAX(0,$AF49-SUMPRODUCT(--($B$4:$K$4&lt;G$4),$B49:$K49-$L49:$U49))),2)</f>
        <v>0</v>
      </c>
      <c r="AB49" s="39" t="n">
        <f aca="false">ROUND(H49-R49-MIN(H49-R49,MAX(0,$AF49-SUMPRODUCT(--($B$4:$K$4&lt;H$4),$B49:$K49-$L49:$U49))),2)</f>
        <v>0</v>
      </c>
      <c r="AC49" s="39" t="n">
        <f aca="false">ROUND(I49-S49-MIN(I49-S49,MAX(0,$AF49-SUMPRODUCT(--($B$4:$K$4&lt;I$4),$B49:$K49-$L49:$U49))),2)</f>
        <v>0</v>
      </c>
      <c r="AD49" s="39" t="n">
        <f aca="false">ROUND(J49-T49-MIN(J49-T49,MAX(0,$AF49-SUMPRODUCT(--($B$4:$K$4&lt;J$4),$B49:$K49-$L49:$U49))),2)</f>
        <v>0</v>
      </c>
      <c r="AE49" s="39" t="n">
        <f aca="false">ROUND(K49-U49-MIN(K49-U49,MAX(0,$AF49-SUMPRODUCT(--($B$4:$K$4&lt;K$4),$B49:$K49-$L49:$U49))),2)</f>
        <v>0</v>
      </c>
      <c r="AF49" s="39" t="n">
        <f aca="false">MAX(0,'Start Here'!$C$5-SUM($L49:$U49))</f>
        <v>1200</v>
      </c>
      <c r="AG49" s="39" t="n">
        <f aca="false">SUM(V49:AE49)</f>
        <v>0</v>
      </c>
      <c r="AH49" s="39" t="n">
        <f aca="false">SUM(B49:K49)-AG48</f>
        <v>0</v>
      </c>
    </row>
    <row r="50" customFormat="false" ht="15" hidden="false" customHeight="false" outlineLevel="0" collapsed="false">
      <c r="A50" s="40" t="n">
        <f aca="false">DATE(YEAR('Start Here'!$C$6),MONTH('Start Here'!$C$6)+43,1)</f>
        <v>47604</v>
      </c>
      <c r="B50" s="39" t="n">
        <f aca="false">ROUND(V49*(1+N('My Debts'!$D$6)/12),2)</f>
        <v>0</v>
      </c>
      <c r="C50" s="39" t="n">
        <f aca="false">ROUND(W49*(1+N('My Debts'!$D$7)/12),2)</f>
        <v>0</v>
      </c>
      <c r="D50" s="39" t="n">
        <f aca="false">ROUND(X49*(1+N('My Debts'!$D$8)/12),2)</f>
        <v>0</v>
      </c>
      <c r="E50" s="39" t="n">
        <f aca="false">ROUND(Y49*(1+N('My Debts'!$D$9)/12),2)</f>
        <v>0</v>
      </c>
      <c r="F50" s="39" t="n">
        <f aca="false">ROUND(Z49*(1+N('My Debts'!$D$10)/12),2)</f>
        <v>0</v>
      </c>
      <c r="G50" s="39" t="n">
        <f aca="false">ROUND(AA49*(1+N('My Debts'!$D$11)/12),2)</f>
        <v>0</v>
      </c>
      <c r="H50" s="39" t="n">
        <f aca="false">ROUND(AB49*(1+N('My Debts'!$D$12)/12),2)</f>
        <v>0</v>
      </c>
      <c r="I50" s="39" t="n">
        <f aca="false">ROUND(AC49*(1+N('My Debts'!$D$13)/12),2)</f>
        <v>0</v>
      </c>
      <c r="J50" s="39" t="n">
        <f aca="false">ROUND(AD49*(1+N('My Debts'!$D$14)/12),2)</f>
        <v>0</v>
      </c>
      <c r="K50" s="39" t="n">
        <f aca="false">ROUND(AE49*(1+N('My Debts'!$D$15)/12),2)</f>
        <v>0</v>
      </c>
      <c r="L50" s="39" t="n">
        <f aca="false">MIN(N('My Debts'!$E$6),B50)</f>
        <v>0</v>
      </c>
      <c r="M50" s="39" t="n">
        <f aca="false">MIN(N('My Debts'!$E$7),C50)</f>
        <v>0</v>
      </c>
      <c r="N50" s="39" t="n">
        <f aca="false">MIN(N('My Debts'!$E$8),D50)</f>
        <v>0</v>
      </c>
      <c r="O50" s="39" t="n">
        <f aca="false">MIN(N('My Debts'!$E$9),E50)</f>
        <v>0</v>
      </c>
      <c r="P50" s="39" t="n">
        <f aca="false">MIN(N('My Debts'!$E$10),F50)</f>
        <v>0</v>
      </c>
      <c r="Q50" s="39" t="n">
        <f aca="false">MIN(N('My Debts'!$E$11),G50)</f>
        <v>0</v>
      </c>
      <c r="R50" s="39" t="n">
        <f aca="false">MIN(N('My Debts'!$E$12),H50)</f>
        <v>0</v>
      </c>
      <c r="S50" s="39" t="n">
        <f aca="false">MIN(N('My Debts'!$E$13),I50)</f>
        <v>0</v>
      </c>
      <c r="T50" s="39" t="n">
        <f aca="false">MIN(N('My Debts'!$E$14),J50)</f>
        <v>0</v>
      </c>
      <c r="U50" s="39" t="n">
        <f aca="false">MIN(N('My Debts'!$E$15),K50)</f>
        <v>0</v>
      </c>
      <c r="V50" s="39" t="n">
        <f aca="false">ROUND(B50-L50-MIN(B50-L50,MAX(0,$AF50-SUMPRODUCT(--($B$4:$K$4&lt;B$4),$B50:$K50-$L50:$U50))),2)</f>
        <v>0</v>
      </c>
      <c r="W50" s="39" t="n">
        <f aca="false">ROUND(C50-M50-MIN(C50-M50,MAX(0,$AF50-SUMPRODUCT(--($B$4:$K$4&lt;C$4),$B50:$K50-$L50:$U50))),2)</f>
        <v>0</v>
      </c>
      <c r="X50" s="39" t="n">
        <f aca="false">ROUND(D50-N50-MIN(D50-N50,MAX(0,$AF50-SUMPRODUCT(--($B$4:$K$4&lt;D$4),$B50:$K50-$L50:$U50))),2)</f>
        <v>0</v>
      </c>
      <c r="Y50" s="39" t="n">
        <f aca="false">ROUND(E50-O50-MIN(E50-O50,MAX(0,$AF50-SUMPRODUCT(--($B$4:$K$4&lt;E$4),$B50:$K50-$L50:$U50))),2)</f>
        <v>0</v>
      </c>
      <c r="Z50" s="39" t="n">
        <f aca="false">ROUND(F50-P50-MIN(F50-P50,MAX(0,$AF50-SUMPRODUCT(--($B$4:$K$4&lt;F$4),$B50:$K50-$L50:$U50))),2)</f>
        <v>0</v>
      </c>
      <c r="AA50" s="39" t="n">
        <f aca="false">ROUND(G50-Q50-MIN(G50-Q50,MAX(0,$AF50-SUMPRODUCT(--($B$4:$K$4&lt;G$4),$B50:$K50-$L50:$U50))),2)</f>
        <v>0</v>
      </c>
      <c r="AB50" s="39" t="n">
        <f aca="false">ROUND(H50-R50-MIN(H50-R50,MAX(0,$AF50-SUMPRODUCT(--($B$4:$K$4&lt;H$4),$B50:$K50-$L50:$U50))),2)</f>
        <v>0</v>
      </c>
      <c r="AC50" s="39" t="n">
        <f aca="false">ROUND(I50-S50-MIN(I50-S50,MAX(0,$AF50-SUMPRODUCT(--($B$4:$K$4&lt;I$4),$B50:$K50-$L50:$U50))),2)</f>
        <v>0</v>
      </c>
      <c r="AD50" s="39" t="n">
        <f aca="false">ROUND(J50-T50-MIN(J50-T50,MAX(0,$AF50-SUMPRODUCT(--($B$4:$K$4&lt;J$4),$B50:$K50-$L50:$U50))),2)</f>
        <v>0</v>
      </c>
      <c r="AE50" s="39" t="n">
        <f aca="false">ROUND(K50-U50-MIN(K50-U50,MAX(0,$AF50-SUMPRODUCT(--($B$4:$K$4&lt;K$4),$B50:$K50-$L50:$U50))),2)</f>
        <v>0</v>
      </c>
      <c r="AF50" s="39" t="n">
        <f aca="false">MAX(0,'Start Here'!$C$5-SUM($L50:$U50))</f>
        <v>1200</v>
      </c>
      <c r="AG50" s="39" t="n">
        <f aca="false">SUM(V50:AE50)</f>
        <v>0</v>
      </c>
      <c r="AH50" s="39" t="n">
        <f aca="false">SUM(B50:K50)-AG49</f>
        <v>0</v>
      </c>
    </row>
    <row r="51" customFormat="false" ht="15" hidden="false" customHeight="false" outlineLevel="0" collapsed="false">
      <c r="A51" s="40" t="n">
        <f aca="false">DATE(YEAR('Start Here'!$C$6),MONTH('Start Here'!$C$6)+44,1)</f>
        <v>47635</v>
      </c>
      <c r="B51" s="39" t="n">
        <f aca="false">ROUND(V50*(1+N('My Debts'!$D$6)/12),2)</f>
        <v>0</v>
      </c>
      <c r="C51" s="39" t="n">
        <f aca="false">ROUND(W50*(1+N('My Debts'!$D$7)/12),2)</f>
        <v>0</v>
      </c>
      <c r="D51" s="39" t="n">
        <f aca="false">ROUND(X50*(1+N('My Debts'!$D$8)/12),2)</f>
        <v>0</v>
      </c>
      <c r="E51" s="39" t="n">
        <f aca="false">ROUND(Y50*(1+N('My Debts'!$D$9)/12),2)</f>
        <v>0</v>
      </c>
      <c r="F51" s="39" t="n">
        <f aca="false">ROUND(Z50*(1+N('My Debts'!$D$10)/12),2)</f>
        <v>0</v>
      </c>
      <c r="G51" s="39" t="n">
        <f aca="false">ROUND(AA50*(1+N('My Debts'!$D$11)/12),2)</f>
        <v>0</v>
      </c>
      <c r="H51" s="39" t="n">
        <f aca="false">ROUND(AB50*(1+N('My Debts'!$D$12)/12),2)</f>
        <v>0</v>
      </c>
      <c r="I51" s="39" t="n">
        <f aca="false">ROUND(AC50*(1+N('My Debts'!$D$13)/12),2)</f>
        <v>0</v>
      </c>
      <c r="J51" s="39" t="n">
        <f aca="false">ROUND(AD50*(1+N('My Debts'!$D$14)/12),2)</f>
        <v>0</v>
      </c>
      <c r="K51" s="39" t="n">
        <f aca="false">ROUND(AE50*(1+N('My Debts'!$D$15)/12),2)</f>
        <v>0</v>
      </c>
      <c r="L51" s="39" t="n">
        <f aca="false">MIN(N('My Debts'!$E$6),B51)</f>
        <v>0</v>
      </c>
      <c r="M51" s="39" t="n">
        <f aca="false">MIN(N('My Debts'!$E$7),C51)</f>
        <v>0</v>
      </c>
      <c r="N51" s="39" t="n">
        <f aca="false">MIN(N('My Debts'!$E$8),D51)</f>
        <v>0</v>
      </c>
      <c r="O51" s="39" t="n">
        <f aca="false">MIN(N('My Debts'!$E$9),E51)</f>
        <v>0</v>
      </c>
      <c r="P51" s="39" t="n">
        <f aca="false">MIN(N('My Debts'!$E$10),F51)</f>
        <v>0</v>
      </c>
      <c r="Q51" s="39" t="n">
        <f aca="false">MIN(N('My Debts'!$E$11),G51)</f>
        <v>0</v>
      </c>
      <c r="R51" s="39" t="n">
        <f aca="false">MIN(N('My Debts'!$E$12),H51)</f>
        <v>0</v>
      </c>
      <c r="S51" s="39" t="n">
        <f aca="false">MIN(N('My Debts'!$E$13),I51)</f>
        <v>0</v>
      </c>
      <c r="T51" s="39" t="n">
        <f aca="false">MIN(N('My Debts'!$E$14),J51)</f>
        <v>0</v>
      </c>
      <c r="U51" s="39" t="n">
        <f aca="false">MIN(N('My Debts'!$E$15),K51)</f>
        <v>0</v>
      </c>
      <c r="V51" s="39" t="n">
        <f aca="false">ROUND(B51-L51-MIN(B51-L51,MAX(0,$AF51-SUMPRODUCT(--($B$4:$K$4&lt;B$4),$B51:$K51-$L51:$U51))),2)</f>
        <v>0</v>
      </c>
      <c r="W51" s="39" t="n">
        <f aca="false">ROUND(C51-M51-MIN(C51-M51,MAX(0,$AF51-SUMPRODUCT(--($B$4:$K$4&lt;C$4),$B51:$K51-$L51:$U51))),2)</f>
        <v>0</v>
      </c>
      <c r="X51" s="39" t="n">
        <f aca="false">ROUND(D51-N51-MIN(D51-N51,MAX(0,$AF51-SUMPRODUCT(--($B$4:$K$4&lt;D$4),$B51:$K51-$L51:$U51))),2)</f>
        <v>0</v>
      </c>
      <c r="Y51" s="39" t="n">
        <f aca="false">ROUND(E51-O51-MIN(E51-O51,MAX(0,$AF51-SUMPRODUCT(--($B$4:$K$4&lt;E$4),$B51:$K51-$L51:$U51))),2)</f>
        <v>0</v>
      </c>
      <c r="Z51" s="39" t="n">
        <f aca="false">ROUND(F51-P51-MIN(F51-P51,MAX(0,$AF51-SUMPRODUCT(--($B$4:$K$4&lt;F$4),$B51:$K51-$L51:$U51))),2)</f>
        <v>0</v>
      </c>
      <c r="AA51" s="39" t="n">
        <f aca="false">ROUND(G51-Q51-MIN(G51-Q51,MAX(0,$AF51-SUMPRODUCT(--($B$4:$K$4&lt;G$4),$B51:$K51-$L51:$U51))),2)</f>
        <v>0</v>
      </c>
      <c r="AB51" s="39" t="n">
        <f aca="false">ROUND(H51-R51-MIN(H51-R51,MAX(0,$AF51-SUMPRODUCT(--($B$4:$K$4&lt;H$4),$B51:$K51-$L51:$U51))),2)</f>
        <v>0</v>
      </c>
      <c r="AC51" s="39" t="n">
        <f aca="false">ROUND(I51-S51-MIN(I51-S51,MAX(0,$AF51-SUMPRODUCT(--($B$4:$K$4&lt;I$4),$B51:$K51-$L51:$U51))),2)</f>
        <v>0</v>
      </c>
      <c r="AD51" s="39" t="n">
        <f aca="false">ROUND(J51-T51-MIN(J51-T51,MAX(0,$AF51-SUMPRODUCT(--($B$4:$K$4&lt;J$4),$B51:$K51-$L51:$U51))),2)</f>
        <v>0</v>
      </c>
      <c r="AE51" s="39" t="n">
        <f aca="false">ROUND(K51-U51-MIN(K51-U51,MAX(0,$AF51-SUMPRODUCT(--($B$4:$K$4&lt;K$4),$B51:$K51-$L51:$U51))),2)</f>
        <v>0</v>
      </c>
      <c r="AF51" s="39" t="n">
        <f aca="false">MAX(0,'Start Here'!$C$5-SUM($L51:$U51))</f>
        <v>1200</v>
      </c>
      <c r="AG51" s="39" t="n">
        <f aca="false">SUM(V51:AE51)</f>
        <v>0</v>
      </c>
      <c r="AH51" s="39" t="n">
        <f aca="false">SUM(B51:K51)-AG50</f>
        <v>0</v>
      </c>
    </row>
    <row r="52" customFormat="false" ht="15" hidden="false" customHeight="false" outlineLevel="0" collapsed="false">
      <c r="A52" s="40" t="n">
        <f aca="false">DATE(YEAR('Start Here'!$C$6),MONTH('Start Here'!$C$6)+45,1)</f>
        <v>47665</v>
      </c>
      <c r="B52" s="39" t="n">
        <f aca="false">ROUND(V51*(1+N('My Debts'!$D$6)/12),2)</f>
        <v>0</v>
      </c>
      <c r="C52" s="39" t="n">
        <f aca="false">ROUND(W51*(1+N('My Debts'!$D$7)/12),2)</f>
        <v>0</v>
      </c>
      <c r="D52" s="39" t="n">
        <f aca="false">ROUND(X51*(1+N('My Debts'!$D$8)/12),2)</f>
        <v>0</v>
      </c>
      <c r="E52" s="39" t="n">
        <f aca="false">ROUND(Y51*(1+N('My Debts'!$D$9)/12),2)</f>
        <v>0</v>
      </c>
      <c r="F52" s="39" t="n">
        <f aca="false">ROUND(Z51*(1+N('My Debts'!$D$10)/12),2)</f>
        <v>0</v>
      </c>
      <c r="G52" s="39" t="n">
        <f aca="false">ROUND(AA51*(1+N('My Debts'!$D$11)/12),2)</f>
        <v>0</v>
      </c>
      <c r="H52" s="39" t="n">
        <f aca="false">ROUND(AB51*(1+N('My Debts'!$D$12)/12),2)</f>
        <v>0</v>
      </c>
      <c r="I52" s="39" t="n">
        <f aca="false">ROUND(AC51*(1+N('My Debts'!$D$13)/12),2)</f>
        <v>0</v>
      </c>
      <c r="J52" s="39" t="n">
        <f aca="false">ROUND(AD51*(1+N('My Debts'!$D$14)/12),2)</f>
        <v>0</v>
      </c>
      <c r="K52" s="39" t="n">
        <f aca="false">ROUND(AE51*(1+N('My Debts'!$D$15)/12),2)</f>
        <v>0</v>
      </c>
      <c r="L52" s="39" t="n">
        <f aca="false">MIN(N('My Debts'!$E$6),B52)</f>
        <v>0</v>
      </c>
      <c r="M52" s="39" t="n">
        <f aca="false">MIN(N('My Debts'!$E$7),C52)</f>
        <v>0</v>
      </c>
      <c r="N52" s="39" t="n">
        <f aca="false">MIN(N('My Debts'!$E$8),D52)</f>
        <v>0</v>
      </c>
      <c r="O52" s="39" t="n">
        <f aca="false">MIN(N('My Debts'!$E$9),E52)</f>
        <v>0</v>
      </c>
      <c r="P52" s="39" t="n">
        <f aca="false">MIN(N('My Debts'!$E$10),F52)</f>
        <v>0</v>
      </c>
      <c r="Q52" s="39" t="n">
        <f aca="false">MIN(N('My Debts'!$E$11),G52)</f>
        <v>0</v>
      </c>
      <c r="R52" s="39" t="n">
        <f aca="false">MIN(N('My Debts'!$E$12),H52)</f>
        <v>0</v>
      </c>
      <c r="S52" s="39" t="n">
        <f aca="false">MIN(N('My Debts'!$E$13),I52)</f>
        <v>0</v>
      </c>
      <c r="T52" s="39" t="n">
        <f aca="false">MIN(N('My Debts'!$E$14),J52)</f>
        <v>0</v>
      </c>
      <c r="U52" s="39" t="n">
        <f aca="false">MIN(N('My Debts'!$E$15),K52)</f>
        <v>0</v>
      </c>
      <c r="V52" s="39" t="n">
        <f aca="false">ROUND(B52-L52-MIN(B52-L52,MAX(0,$AF52-SUMPRODUCT(--($B$4:$K$4&lt;B$4),$B52:$K52-$L52:$U52))),2)</f>
        <v>0</v>
      </c>
      <c r="W52" s="39" t="n">
        <f aca="false">ROUND(C52-M52-MIN(C52-M52,MAX(0,$AF52-SUMPRODUCT(--($B$4:$K$4&lt;C$4),$B52:$K52-$L52:$U52))),2)</f>
        <v>0</v>
      </c>
      <c r="X52" s="39" t="n">
        <f aca="false">ROUND(D52-N52-MIN(D52-N52,MAX(0,$AF52-SUMPRODUCT(--($B$4:$K$4&lt;D$4),$B52:$K52-$L52:$U52))),2)</f>
        <v>0</v>
      </c>
      <c r="Y52" s="39" t="n">
        <f aca="false">ROUND(E52-O52-MIN(E52-O52,MAX(0,$AF52-SUMPRODUCT(--($B$4:$K$4&lt;E$4),$B52:$K52-$L52:$U52))),2)</f>
        <v>0</v>
      </c>
      <c r="Z52" s="39" t="n">
        <f aca="false">ROUND(F52-P52-MIN(F52-P52,MAX(0,$AF52-SUMPRODUCT(--($B$4:$K$4&lt;F$4),$B52:$K52-$L52:$U52))),2)</f>
        <v>0</v>
      </c>
      <c r="AA52" s="39" t="n">
        <f aca="false">ROUND(G52-Q52-MIN(G52-Q52,MAX(0,$AF52-SUMPRODUCT(--($B$4:$K$4&lt;G$4),$B52:$K52-$L52:$U52))),2)</f>
        <v>0</v>
      </c>
      <c r="AB52" s="39" t="n">
        <f aca="false">ROUND(H52-R52-MIN(H52-R52,MAX(0,$AF52-SUMPRODUCT(--($B$4:$K$4&lt;H$4),$B52:$K52-$L52:$U52))),2)</f>
        <v>0</v>
      </c>
      <c r="AC52" s="39" t="n">
        <f aca="false">ROUND(I52-S52-MIN(I52-S52,MAX(0,$AF52-SUMPRODUCT(--($B$4:$K$4&lt;I$4),$B52:$K52-$L52:$U52))),2)</f>
        <v>0</v>
      </c>
      <c r="AD52" s="39" t="n">
        <f aca="false">ROUND(J52-T52-MIN(J52-T52,MAX(0,$AF52-SUMPRODUCT(--($B$4:$K$4&lt;J$4),$B52:$K52-$L52:$U52))),2)</f>
        <v>0</v>
      </c>
      <c r="AE52" s="39" t="n">
        <f aca="false">ROUND(K52-U52-MIN(K52-U52,MAX(0,$AF52-SUMPRODUCT(--($B$4:$K$4&lt;K$4),$B52:$K52-$L52:$U52))),2)</f>
        <v>0</v>
      </c>
      <c r="AF52" s="39" t="n">
        <f aca="false">MAX(0,'Start Here'!$C$5-SUM($L52:$U52))</f>
        <v>1200</v>
      </c>
      <c r="AG52" s="39" t="n">
        <f aca="false">SUM(V52:AE52)</f>
        <v>0</v>
      </c>
      <c r="AH52" s="39" t="n">
        <f aca="false">SUM(B52:K52)-AG51</f>
        <v>0</v>
      </c>
    </row>
    <row r="53" customFormat="false" ht="15" hidden="false" customHeight="false" outlineLevel="0" collapsed="false">
      <c r="A53" s="40" t="n">
        <f aca="false">DATE(YEAR('Start Here'!$C$6),MONTH('Start Here'!$C$6)+46,1)</f>
        <v>47696</v>
      </c>
      <c r="B53" s="39" t="n">
        <f aca="false">ROUND(V52*(1+N('My Debts'!$D$6)/12),2)</f>
        <v>0</v>
      </c>
      <c r="C53" s="39" t="n">
        <f aca="false">ROUND(W52*(1+N('My Debts'!$D$7)/12),2)</f>
        <v>0</v>
      </c>
      <c r="D53" s="39" t="n">
        <f aca="false">ROUND(X52*(1+N('My Debts'!$D$8)/12),2)</f>
        <v>0</v>
      </c>
      <c r="E53" s="39" t="n">
        <f aca="false">ROUND(Y52*(1+N('My Debts'!$D$9)/12),2)</f>
        <v>0</v>
      </c>
      <c r="F53" s="39" t="n">
        <f aca="false">ROUND(Z52*(1+N('My Debts'!$D$10)/12),2)</f>
        <v>0</v>
      </c>
      <c r="G53" s="39" t="n">
        <f aca="false">ROUND(AA52*(1+N('My Debts'!$D$11)/12),2)</f>
        <v>0</v>
      </c>
      <c r="H53" s="39" t="n">
        <f aca="false">ROUND(AB52*(1+N('My Debts'!$D$12)/12),2)</f>
        <v>0</v>
      </c>
      <c r="I53" s="39" t="n">
        <f aca="false">ROUND(AC52*(1+N('My Debts'!$D$13)/12),2)</f>
        <v>0</v>
      </c>
      <c r="J53" s="39" t="n">
        <f aca="false">ROUND(AD52*(1+N('My Debts'!$D$14)/12),2)</f>
        <v>0</v>
      </c>
      <c r="K53" s="39" t="n">
        <f aca="false">ROUND(AE52*(1+N('My Debts'!$D$15)/12),2)</f>
        <v>0</v>
      </c>
      <c r="L53" s="39" t="n">
        <f aca="false">MIN(N('My Debts'!$E$6),B53)</f>
        <v>0</v>
      </c>
      <c r="M53" s="39" t="n">
        <f aca="false">MIN(N('My Debts'!$E$7),C53)</f>
        <v>0</v>
      </c>
      <c r="N53" s="39" t="n">
        <f aca="false">MIN(N('My Debts'!$E$8),D53)</f>
        <v>0</v>
      </c>
      <c r="O53" s="39" t="n">
        <f aca="false">MIN(N('My Debts'!$E$9),E53)</f>
        <v>0</v>
      </c>
      <c r="P53" s="39" t="n">
        <f aca="false">MIN(N('My Debts'!$E$10),F53)</f>
        <v>0</v>
      </c>
      <c r="Q53" s="39" t="n">
        <f aca="false">MIN(N('My Debts'!$E$11),G53)</f>
        <v>0</v>
      </c>
      <c r="R53" s="39" t="n">
        <f aca="false">MIN(N('My Debts'!$E$12),H53)</f>
        <v>0</v>
      </c>
      <c r="S53" s="39" t="n">
        <f aca="false">MIN(N('My Debts'!$E$13),I53)</f>
        <v>0</v>
      </c>
      <c r="T53" s="39" t="n">
        <f aca="false">MIN(N('My Debts'!$E$14),J53)</f>
        <v>0</v>
      </c>
      <c r="U53" s="39" t="n">
        <f aca="false">MIN(N('My Debts'!$E$15),K53)</f>
        <v>0</v>
      </c>
      <c r="V53" s="39" t="n">
        <f aca="false">ROUND(B53-L53-MIN(B53-L53,MAX(0,$AF53-SUMPRODUCT(--($B$4:$K$4&lt;B$4),$B53:$K53-$L53:$U53))),2)</f>
        <v>0</v>
      </c>
      <c r="W53" s="39" t="n">
        <f aca="false">ROUND(C53-M53-MIN(C53-M53,MAX(0,$AF53-SUMPRODUCT(--($B$4:$K$4&lt;C$4),$B53:$K53-$L53:$U53))),2)</f>
        <v>0</v>
      </c>
      <c r="X53" s="39" t="n">
        <f aca="false">ROUND(D53-N53-MIN(D53-N53,MAX(0,$AF53-SUMPRODUCT(--($B$4:$K$4&lt;D$4),$B53:$K53-$L53:$U53))),2)</f>
        <v>0</v>
      </c>
      <c r="Y53" s="39" t="n">
        <f aca="false">ROUND(E53-O53-MIN(E53-O53,MAX(0,$AF53-SUMPRODUCT(--($B$4:$K$4&lt;E$4),$B53:$K53-$L53:$U53))),2)</f>
        <v>0</v>
      </c>
      <c r="Z53" s="39" t="n">
        <f aca="false">ROUND(F53-P53-MIN(F53-P53,MAX(0,$AF53-SUMPRODUCT(--($B$4:$K$4&lt;F$4),$B53:$K53-$L53:$U53))),2)</f>
        <v>0</v>
      </c>
      <c r="AA53" s="39" t="n">
        <f aca="false">ROUND(G53-Q53-MIN(G53-Q53,MAX(0,$AF53-SUMPRODUCT(--($B$4:$K$4&lt;G$4),$B53:$K53-$L53:$U53))),2)</f>
        <v>0</v>
      </c>
      <c r="AB53" s="39" t="n">
        <f aca="false">ROUND(H53-R53-MIN(H53-R53,MAX(0,$AF53-SUMPRODUCT(--($B$4:$K$4&lt;H$4),$B53:$K53-$L53:$U53))),2)</f>
        <v>0</v>
      </c>
      <c r="AC53" s="39" t="n">
        <f aca="false">ROUND(I53-S53-MIN(I53-S53,MAX(0,$AF53-SUMPRODUCT(--($B$4:$K$4&lt;I$4),$B53:$K53-$L53:$U53))),2)</f>
        <v>0</v>
      </c>
      <c r="AD53" s="39" t="n">
        <f aca="false">ROUND(J53-T53-MIN(J53-T53,MAX(0,$AF53-SUMPRODUCT(--($B$4:$K$4&lt;J$4),$B53:$K53-$L53:$U53))),2)</f>
        <v>0</v>
      </c>
      <c r="AE53" s="39" t="n">
        <f aca="false">ROUND(K53-U53-MIN(K53-U53,MAX(0,$AF53-SUMPRODUCT(--($B$4:$K$4&lt;K$4),$B53:$K53-$L53:$U53))),2)</f>
        <v>0</v>
      </c>
      <c r="AF53" s="39" t="n">
        <f aca="false">MAX(0,'Start Here'!$C$5-SUM($L53:$U53))</f>
        <v>1200</v>
      </c>
      <c r="AG53" s="39" t="n">
        <f aca="false">SUM(V53:AE53)</f>
        <v>0</v>
      </c>
      <c r="AH53" s="39" t="n">
        <f aca="false">SUM(B53:K53)-AG52</f>
        <v>0</v>
      </c>
    </row>
    <row r="54" customFormat="false" ht="15" hidden="false" customHeight="false" outlineLevel="0" collapsed="false">
      <c r="A54" s="40" t="n">
        <f aca="false">DATE(YEAR('Start Here'!$C$6),MONTH('Start Here'!$C$6)+47,1)</f>
        <v>47727</v>
      </c>
      <c r="B54" s="39" t="n">
        <f aca="false">ROUND(V53*(1+N('My Debts'!$D$6)/12),2)</f>
        <v>0</v>
      </c>
      <c r="C54" s="39" t="n">
        <f aca="false">ROUND(W53*(1+N('My Debts'!$D$7)/12),2)</f>
        <v>0</v>
      </c>
      <c r="D54" s="39" t="n">
        <f aca="false">ROUND(X53*(1+N('My Debts'!$D$8)/12),2)</f>
        <v>0</v>
      </c>
      <c r="E54" s="39" t="n">
        <f aca="false">ROUND(Y53*(1+N('My Debts'!$D$9)/12),2)</f>
        <v>0</v>
      </c>
      <c r="F54" s="39" t="n">
        <f aca="false">ROUND(Z53*(1+N('My Debts'!$D$10)/12),2)</f>
        <v>0</v>
      </c>
      <c r="G54" s="39" t="n">
        <f aca="false">ROUND(AA53*(1+N('My Debts'!$D$11)/12),2)</f>
        <v>0</v>
      </c>
      <c r="H54" s="39" t="n">
        <f aca="false">ROUND(AB53*(1+N('My Debts'!$D$12)/12),2)</f>
        <v>0</v>
      </c>
      <c r="I54" s="39" t="n">
        <f aca="false">ROUND(AC53*(1+N('My Debts'!$D$13)/12),2)</f>
        <v>0</v>
      </c>
      <c r="J54" s="39" t="n">
        <f aca="false">ROUND(AD53*(1+N('My Debts'!$D$14)/12),2)</f>
        <v>0</v>
      </c>
      <c r="K54" s="39" t="n">
        <f aca="false">ROUND(AE53*(1+N('My Debts'!$D$15)/12),2)</f>
        <v>0</v>
      </c>
      <c r="L54" s="39" t="n">
        <f aca="false">MIN(N('My Debts'!$E$6),B54)</f>
        <v>0</v>
      </c>
      <c r="M54" s="39" t="n">
        <f aca="false">MIN(N('My Debts'!$E$7),C54)</f>
        <v>0</v>
      </c>
      <c r="N54" s="39" t="n">
        <f aca="false">MIN(N('My Debts'!$E$8),D54)</f>
        <v>0</v>
      </c>
      <c r="O54" s="39" t="n">
        <f aca="false">MIN(N('My Debts'!$E$9),E54)</f>
        <v>0</v>
      </c>
      <c r="P54" s="39" t="n">
        <f aca="false">MIN(N('My Debts'!$E$10),F54)</f>
        <v>0</v>
      </c>
      <c r="Q54" s="39" t="n">
        <f aca="false">MIN(N('My Debts'!$E$11),G54)</f>
        <v>0</v>
      </c>
      <c r="R54" s="39" t="n">
        <f aca="false">MIN(N('My Debts'!$E$12),H54)</f>
        <v>0</v>
      </c>
      <c r="S54" s="39" t="n">
        <f aca="false">MIN(N('My Debts'!$E$13),I54)</f>
        <v>0</v>
      </c>
      <c r="T54" s="39" t="n">
        <f aca="false">MIN(N('My Debts'!$E$14),J54)</f>
        <v>0</v>
      </c>
      <c r="U54" s="39" t="n">
        <f aca="false">MIN(N('My Debts'!$E$15),K54)</f>
        <v>0</v>
      </c>
      <c r="V54" s="39" t="n">
        <f aca="false">ROUND(B54-L54-MIN(B54-L54,MAX(0,$AF54-SUMPRODUCT(--($B$4:$K$4&lt;B$4),$B54:$K54-$L54:$U54))),2)</f>
        <v>0</v>
      </c>
      <c r="W54" s="39" t="n">
        <f aca="false">ROUND(C54-M54-MIN(C54-M54,MAX(0,$AF54-SUMPRODUCT(--($B$4:$K$4&lt;C$4),$B54:$K54-$L54:$U54))),2)</f>
        <v>0</v>
      </c>
      <c r="X54" s="39" t="n">
        <f aca="false">ROUND(D54-N54-MIN(D54-N54,MAX(0,$AF54-SUMPRODUCT(--($B$4:$K$4&lt;D$4),$B54:$K54-$L54:$U54))),2)</f>
        <v>0</v>
      </c>
      <c r="Y54" s="39" t="n">
        <f aca="false">ROUND(E54-O54-MIN(E54-O54,MAX(0,$AF54-SUMPRODUCT(--($B$4:$K$4&lt;E$4),$B54:$K54-$L54:$U54))),2)</f>
        <v>0</v>
      </c>
      <c r="Z54" s="39" t="n">
        <f aca="false">ROUND(F54-P54-MIN(F54-P54,MAX(0,$AF54-SUMPRODUCT(--($B$4:$K$4&lt;F$4),$B54:$K54-$L54:$U54))),2)</f>
        <v>0</v>
      </c>
      <c r="AA54" s="39" t="n">
        <f aca="false">ROUND(G54-Q54-MIN(G54-Q54,MAX(0,$AF54-SUMPRODUCT(--($B$4:$K$4&lt;G$4),$B54:$K54-$L54:$U54))),2)</f>
        <v>0</v>
      </c>
      <c r="AB54" s="39" t="n">
        <f aca="false">ROUND(H54-R54-MIN(H54-R54,MAX(0,$AF54-SUMPRODUCT(--($B$4:$K$4&lt;H$4),$B54:$K54-$L54:$U54))),2)</f>
        <v>0</v>
      </c>
      <c r="AC54" s="39" t="n">
        <f aca="false">ROUND(I54-S54-MIN(I54-S54,MAX(0,$AF54-SUMPRODUCT(--($B$4:$K$4&lt;I$4),$B54:$K54-$L54:$U54))),2)</f>
        <v>0</v>
      </c>
      <c r="AD54" s="39" t="n">
        <f aca="false">ROUND(J54-T54-MIN(J54-T54,MAX(0,$AF54-SUMPRODUCT(--($B$4:$K$4&lt;J$4),$B54:$K54-$L54:$U54))),2)</f>
        <v>0</v>
      </c>
      <c r="AE54" s="39" t="n">
        <f aca="false">ROUND(K54-U54-MIN(K54-U54,MAX(0,$AF54-SUMPRODUCT(--($B$4:$K$4&lt;K$4),$B54:$K54-$L54:$U54))),2)</f>
        <v>0</v>
      </c>
      <c r="AF54" s="39" t="n">
        <f aca="false">MAX(0,'Start Here'!$C$5-SUM($L54:$U54))</f>
        <v>1200</v>
      </c>
      <c r="AG54" s="39" t="n">
        <f aca="false">SUM(V54:AE54)</f>
        <v>0</v>
      </c>
      <c r="AH54" s="39" t="n">
        <f aca="false">SUM(B54:K54)-AG53</f>
        <v>0</v>
      </c>
    </row>
    <row r="55" customFormat="false" ht="15" hidden="false" customHeight="false" outlineLevel="0" collapsed="false">
      <c r="A55" s="40" t="n">
        <f aca="false">DATE(YEAR('Start Here'!$C$6),MONTH('Start Here'!$C$6)+48,1)</f>
        <v>47757</v>
      </c>
      <c r="B55" s="39" t="n">
        <f aca="false">ROUND(V54*(1+N('My Debts'!$D$6)/12),2)</f>
        <v>0</v>
      </c>
      <c r="C55" s="39" t="n">
        <f aca="false">ROUND(W54*(1+N('My Debts'!$D$7)/12),2)</f>
        <v>0</v>
      </c>
      <c r="D55" s="39" t="n">
        <f aca="false">ROUND(X54*(1+N('My Debts'!$D$8)/12),2)</f>
        <v>0</v>
      </c>
      <c r="E55" s="39" t="n">
        <f aca="false">ROUND(Y54*(1+N('My Debts'!$D$9)/12),2)</f>
        <v>0</v>
      </c>
      <c r="F55" s="39" t="n">
        <f aca="false">ROUND(Z54*(1+N('My Debts'!$D$10)/12),2)</f>
        <v>0</v>
      </c>
      <c r="G55" s="39" t="n">
        <f aca="false">ROUND(AA54*(1+N('My Debts'!$D$11)/12),2)</f>
        <v>0</v>
      </c>
      <c r="H55" s="39" t="n">
        <f aca="false">ROUND(AB54*(1+N('My Debts'!$D$12)/12),2)</f>
        <v>0</v>
      </c>
      <c r="I55" s="39" t="n">
        <f aca="false">ROUND(AC54*(1+N('My Debts'!$D$13)/12),2)</f>
        <v>0</v>
      </c>
      <c r="J55" s="39" t="n">
        <f aca="false">ROUND(AD54*(1+N('My Debts'!$D$14)/12),2)</f>
        <v>0</v>
      </c>
      <c r="K55" s="39" t="n">
        <f aca="false">ROUND(AE54*(1+N('My Debts'!$D$15)/12),2)</f>
        <v>0</v>
      </c>
      <c r="L55" s="39" t="n">
        <f aca="false">MIN(N('My Debts'!$E$6),B55)</f>
        <v>0</v>
      </c>
      <c r="M55" s="39" t="n">
        <f aca="false">MIN(N('My Debts'!$E$7),C55)</f>
        <v>0</v>
      </c>
      <c r="N55" s="39" t="n">
        <f aca="false">MIN(N('My Debts'!$E$8),D55)</f>
        <v>0</v>
      </c>
      <c r="O55" s="39" t="n">
        <f aca="false">MIN(N('My Debts'!$E$9),E55)</f>
        <v>0</v>
      </c>
      <c r="P55" s="39" t="n">
        <f aca="false">MIN(N('My Debts'!$E$10),F55)</f>
        <v>0</v>
      </c>
      <c r="Q55" s="39" t="n">
        <f aca="false">MIN(N('My Debts'!$E$11),G55)</f>
        <v>0</v>
      </c>
      <c r="R55" s="39" t="n">
        <f aca="false">MIN(N('My Debts'!$E$12),H55)</f>
        <v>0</v>
      </c>
      <c r="S55" s="39" t="n">
        <f aca="false">MIN(N('My Debts'!$E$13),I55)</f>
        <v>0</v>
      </c>
      <c r="T55" s="39" t="n">
        <f aca="false">MIN(N('My Debts'!$E$14),J55)</f>
        <v>0</v>
      </c>
      <c r="U55" s="39" t="n">
        <f aca="false">MIN(N('My Debts'!$E$15),K55)</f>
        <v>0</v>
      </c>
      <c r="V55" s="39" t="n">
        <f aca="false">ROUND(B55-L55-MIN(B55-L55,MAX(0,$AF55-SUMPRODUCT(--($B$4:$K$4&lt;B$4),$B55:$K55-$L55:$U55))),2)</f>
        <v>0</v>
      </c>
      <c r="W55" s="39" t="n">
        <f aca="false">ROUND(C55-M55-MIN(C55-M55,MAX(0,$AF55-SUMPRODUCT(--($B$4:$K$4&lt;C$4),$B55:$K55-$L55:$U55))),2)</f>
        <v>0</v>
      </c>
      <c r="X55" s="39" t="n">
        <f aca="false">ROUND(D55-N55-MIN(D55-N55,MAX(0,$AF55-SUMPRODUCT(--($B$4:$K$4&lt;D$4),$B55:$K55-$L55:$U55))),2)</f>
        <v>0</v>
      </c>
      <c r="Y55" s="39" t="n">
        <f aca="false">ROUND(E55-O55-MIN(E55-O55,MAX(0,$AF55-SUMPRODUCT(--($B$4:$K$4&lt;E$4),$B55:$K55-$L55:$U55))),2)</f>
        <v>0</v>
      </c>
      <c r="Z55" s="39" t="n">
        <f aca="false">ROUND(F55-P55-MIN(F55-P55,MAX(0,$AF55-SUMPRODUCT(--($B$4:$K$4&lt;F$4),$B55:$K55-$L55:$U55))),2)</f>
        <v>0</v>
      </c>
      <c r="AA55" s="39" t="n">
        <f aca="false">ROUND(G55-Q55-MIN(G55-Q55,MAX(0,$AF55-SUMPRODUCT(--($B$4:$K$4&lt;G$4),$B55:$K55-$L55:$U55))),2)</f>
        <v>0</v>
      </c>
      <c r="AB55" s="39" t="n">
        <f aca="false">ROUND(H55-R55-MIN(H55-R55,MAX(0,$AF55-SUMPRODUCT(--($B$4:$K$4&lt;H$4),$B55:$K55-$L55:$U55))),2)</f>
        <v>0</v>
      </c>
      <c r="AC55" s="39" t="n">
        <f aca="false">ROUND(I55-S55-MIN(I55-S55,MAX(0,$AF55-SUMPRODUCT(--($B$4:$K$4&lt;I$4),$B55:$K55-$L55:$U55))),2)</f>
        <v>0</v>
      </c>
      <c r="AD55" s="39" t="n">
        <f aca="false">ROUND(J55-T55-MIN(J55-T55,MAX(0,$AF55-SUMPRODUCT(--($B$4:$K$4&lt;J$4),$B55:$K55-$L55:$U55))),2)</f>
        <v>0</v>
      </c>
      <c r="AE55" s="39" t="n">
        <f aca="false">ROUND(K55-U55-MIN(K55-U55,MAX(0,$AF55-SUMPRODUCT(--($B$4:$K$4&lt;K$4),$B55:$K55-$L55:$U55))),2)</f>
        <v>0</v>
      </c>
      <c r="AF55" s="39" t="n">
        <f aca="false">MAX(0,'Start Here'!$C$5-SUM($L55:$U55))</f>
        <v>1200</v>
      </c>
      <c r="AG55" s="39" t="n">
        <f aca="false">SUM(V55:AE55)</f>
        <v>0</v>
      </c>
      <c r="AH55" s="39" t="n">
        <f aca="false">SUM(B55:K55)-AG54</f>
        <v>0</v>
      </c>
    </row>
    <row r="56" customFormat="false" ht="15" hidden="false" customHeight="false" outlineLevel="0" collapsed="false">
      <c r="A56" s="40" t="n">
        <f aca="false">DATE(YEAR('Start Here'!$C$6),MONTH('Start Here'!$C$6)+49,1)</f>
        <v>47788</v>
      </c>
      <c r="B56" s="39" t="n">
        <f aca="false">ROUND(V55*(1+N('My Debts'!$D$6)/12),2)</f>
        <v>0</v>
      </c>
      <c r="C56" s="39" t="n">
        <f aca="false">ROUND(W55*(1+N('My Debts'!$D$7)/12),2)</f>
        <v>0</v>
      </c>
      <c r="D56" s="39" t="n">
        <f aca="false">ROUND(X55*(1+N('My Debts'!$D$8)/12),2)</f>
        <v>0</v>
      </c>
      <c r="E56" s="39" t="n">
        <f aca="false">ROUND(Y55*(1+N('My Debts'!$D$9)/12),2)</f>
        <v>0</v>
      </c>
      <c r="F56" s="39" t="n">
        <f aca="false">ROUND(Z55*(1+N('My Debts'!$D$10)/12),2)</f>
        <v>0</v>
      </c>
      <c r="G56" s="39" t="n">
        <f aca="false">ROUND(AA55*(1+N('My Debts'!$D$11)/12),2)</f>
        <v>0</v>
      </c>
      <c r="H56" s="39" t="n">
        <f aca="false">ROUND(AB55*(1+N('My Debts'!$D$12)/12),2)</f>
        <v>0</v>
      </c>
      <c r="I56" s="39" t="n">
        <f aca="false">ROUND(AC55*(1+N('My Debts'!$D$13)/12),2)</f>
        <v>0</v>
      </c>
      <c r="J56" s="39" t="n">
        <f aca="false">ROUND(AD55*(1+N('My Debts'!$D$14)/12),2)</f>
        <v>0</v>
      </c>
      <c r="K56" s="39" t="n">
        <f aca="false">ROUND(AE55*(1+N('My Debts'!$D$15)/12),2)</f>
        <v>0</v>
      </c>
      <c r="L56" s="39" t="n">
        <f aca="false">MIN(N('My Debts'!$E$6),B56)</f>
        <v>0</v>
      </c>
      <c r="M56" s="39" t="n">
        <f aca="false">MIN(N('My Debts'!$E$7),C56)</f>
        <v>0</v>
      </c>
      <c r="N56" s="39" t="n">
        <f aca="false">MIN(N('My Debts'!$E$8),D56)</f>
        <v>0</v>
      </c>
      <c r="O56" s="39" t="n">
        <f aca="false">MIN(N('My Debts'!$E$9),E56)</f>
        <v>0</v>
      </c>
      <c r="P56" s="39" t="n">
        <f aca="false">MIN(N('My Debts'!$E$10),F56)</f>
        <v>0</v>
      </c>
      <c r="Q56" s="39" t="n">
        <f aca="false">MIN(N('My Debts'!$E$11),G56)</f>
        <v>0</v>
      </c>
      <c r="R56" s="39" t="n">
        <f aca="false">MIN(N('My Debts'!$E$12),H56)</f>
        <v>0</v>
      </c>
      <c r="S56" s="39" t="n">
        <f aca="false">MIN(N('My Debts'!$E$13),I56)</f>
        <v>0</v>
      </c>
      <c r="T56" s="39" t="n">
        <f aca="false">MIN(N('My Debts'!$E$14),J56)</f>
        <v>0</v>
      </c>
      <c r="U56" s="39" t="n">
        <f aca="false">MIN(N('My Debts'!$E$15),K56)</f>
        <v>0</v>
      </c>
      <c r="V56" s="39" t="n">
        <f aca="false">ROUND(B56-L56-MIN(B56-L56,MAX(0,$AF56-SUMPRODUCT(--($B$4:$K$4&lt;B$4),$B56:$K56-$L56:$U56))),2)</f>
        <v>0</v>
      </c>
      <c r="W56" s="39" t="n">
        <f aca="false">ROUND(C56-M56-MIN(C56-M56,MAX(0,$AF56-SUMPRODUCT(--($B$4:$K$4&lt;C$4),$B56:$K56-$L56:$U56))),2)</f>
        <v>0</v>
      </c>
      <c r="X56" s="39" t="n">
        <f aca="false">ROUND(D56-N56-MIN(D56-N56,MAX(0,$AF56-SUMPRODUCT(--($B$4:$K$4&lt;D$4),$B56:$K56-$L56:$U56))),2)</f>
        <v>0</v>
      </c>
      <c r="Y56" s="39" t="n">
        <f aca="false">ROUND(E56-O56-MIN(E56-O56,MAX(0,$AF56-SUMPRODUCT(--($B$4:$K$4&lt;E$4),$B56:$K56-$L56:$U56))),2)</f>
        <v>0</v>
      </c>
      <c r="Z56" s="39" t="n">
        <f aca="false">ROUND(F56-P56-MIN(F56-P56,MAX(0,$AF56-SUMPRODUCT(--($B$4:$K$4&lt;F$4),$B56:$K56-$L56:$U56))),2)</f>
        <v>0</v>
      </c>
      <c r="AA56" s="39" t="n">
        <f aca="false">ROUND(G56-Q56-MIN(G56-Q56,MAX(0,$AF56-SUMPRODUCT(--($B$4:$K$4&lt;G$4),$B56:$K56-$L56:$U56))),2)</f>
        <v>0</v>
      </c>
      <c r="AB56" s="39" t="n">
        <f aca="false">ROUND(H56-R56-MIN(H56-R56,MAX(0,$AF56-SUMPRODUCT(--($B$4:$K$4&lt;H$4),$B56:$K56-$L56:$U56))),2)</f>
        <v>0</v>
      </c>
      <c r="AC56" s="39" t="n">
        <f aca="false">ROUND(I56-S56-MIN(I56-S56,MAX(0,$AF56-SUMPRODUCT(--($B$4:$K$4&lt;I$4),$B56:$K56-$L56:$U56))),2)</f>
        <v>0</v>
      </c>
      <c r="AD56" s="39" t="n">
        <f aca="false">ROUND(J56-T56-MIN(J56-T56,MAX(0,$AF56-SUMPRODUCT(--($B$4:$K$4&lt;J$4),$B56:$K56-$L56:$U56))),2)</f>
        <v>0</v>
      </c>
      <c r="AE56" s="39" t="n">
        <f aca="false">ROUND(K56-U56-MIN(K56-U56,MAX(0,$AF56-SUMPRODUCT(--($B$4:$K$4&lt;K$4),$B56:$K56-$L56:$U56))),2)</f>
        <v>0</v>
      </c>
      <c r="AF56" s="39" t="n">
        <f aca="false">MAX(0,'Start Here'!$C$5-SUM($L56:$U56))</f>
        <v>1200</v>
      </c>
      <c r="AG56" s="39" t="n">
        <f aca="false">SUM(V56:AE56)</f>
        <v>0</v>
      </c>
      <c r="AH56" s="39" t="n">
        <f aca="false">SUM(B56:K56)-AG55</f>
        <v>0</v>
      </c>
    </row>
    <row r="57" customFormat="false" ht="15" hidden="false" customHeight="false" outlineLevel="0" collapsed="false">
      <c r="A57" s="40" t="n">
        <f aca="false">DATE(YEAR('Start Here'!$C$6),MONTH('Start Here'!$C$6)+50,1)</f>
        <v>47818</v>
      </c>
      <c r="B57" s="39" t="n">
        <f aca="false">ROUND(V56*(1+N('My Debts'!$D$6)/12),2)</f>
        <v>0</v>
      </c>
      <c r="C57" s="39" t="n">
        <f aca="false">ROUND(W56*(1+N('My Debts'!$D$7)/12),2)</f>
        <v>0</v>
      </c>
      <c r="D57" s="39" t="n">
        <f aca="false">ROUND(X56*(1+N('My Debts'!$D$8)/12),2)</f>
        <v>0</v>
      </c>
      <c r="E57" s="39" t="n">
        <f aca="false">ROUND(Y56*(1+N('My Debts'!$D$9)/12),2)</f>
        <v>0</v>
      </c>
      <c r="F57" s="39" t="n">
        <f aca="false">ROUND(Z56*(1+N('My Debts'!$D$10)/12),2)</f>
        <v>0</v>
      </c>
      <c r="G57" s="39" t="n">
        <f aca="false">ROUND(AA56*(1+N('My Debts'!$D$11)/12),2)</f>
        <v>0</v>
      </c>
      <c r="H57" s="39" t="n">
        <f aca="false">ROUND(AB56*(1+N('My Debts'!$D$12)/12),2)</f>
        <v>0</v>
      </c>
      <c r="I57" s="39" t="n">
        <f aca="false">ROUND(AC56*(1+N('My Debts'!$D$13)/12),2)</f>
        <v>0</v>
      </c>
      <c r="J57" s="39" t="n">
        <f aca="false">ROUND(AD56*(1+N('My Debts'!$D$14)/12),2)</f>
        <v>0</v>
      </c>
      <c r="K57" s="39" t="n">
        <f aca="false">ROUND(AE56*(1+N('My Debts'!$D$15)/12),2)</f>
        <v>0</v>
      </c>
      <c r="L57" s="39" t="n">
        <f aca="false">MIN(N('My Debts'!$E$6),B57)</f>
        <v>0</v>
      </c>
      <c r="M57" s="39" t="n">
        <f aca="false">MIN(N('My Debts'!$E$7),C57)</f>
        <v>0</v>
      </c>
      <c r="N57" s="39" t="n">
        <f aca="false">MIN(N('My Debts'!$E$8),D57)</f>
        <v>0</v>
      </c>
      <c r="O57" s="39" t="n">
        <f aca="false">MIN(N('My Debts'!$E$9),E57)</f>
        <v>0</v>
      </c>
      <c r="P57" s="39" t="n">
        <f aca="false">MIN(N('My Debts'!$E$10),F57)</f>
        <v>0</v>
      </c>
      <c r="Q57" s="39" t="n">
        <f aca="false">MIN(N('My Debts'!$E$11),G57)</f>
        <v>0</v>
      </c>
      <c r="R57" s="39" t="n">
        <f aca="false">MIN(N('My Debts'!$E$12),H57)</f>
        <v>0</v>
      </c>
      <c r="S57" s="39" t="n">
        <f aca="false">MIN(N('My Debts'!$E$13),I57)</f>
        <v>0</v>
      </c>
      <c r="T57" s="39" t="n">
        <f aca="false">MIN(N('My Debts'!$E$14),J57)</f>
        <v>0</v>
      </c>
      <c r="U57" s="39" t="n">
        <f aca="false">MIN(N('My Debts'!$E$15),K57)</f>
        <v>0</v>
      </c>
      <c r="V57" s="39" t="n">
        <f aca="false">ROUND(B57-L57-MIN(B57-L57,MAX(0,$AF57-SUMPRODUCT(--($B$4:$K$4&lt;B$4),$B57:$K57-$L57:$U57))),2)</f>
        <v>0</v>
      </c>
      <c r="W57" s="39" t="n">
        <f aca="false">ROUND(C57-M57-MIN(C57-M57,MAX(0,$AF57-SUMPRODUCT(--($B$4:$K$4&lt;C$4),$B57:$K57-$L57:$U57))),2)</f>
        <v>0</v>
      </c>
      <c r="X57" s="39" t="n">
        <f aca="false">ROUND(D57-N57-MIN(D57-N57,MAX(0,$AF57-SUMPRODUCT(--($B$4:$K$4&lt;D$4),$B57:$K57-$L57:$U57))),2)</f>
        <v>0</v>
      </c>
      <c r="Y57" s="39" t="n">
        <f aca="false">ROUND(E57-O57-MIN(E57-O57,MAX(0,$AF57-SUMPRODUCT(--($B$4:$K$4&lt;E$4),$B57:$K57-$L57:$U57))),2)</f>
        <v>0</v>
      </c>
      <c r="Z57" s="39" t="n">
        <f aca="false">ROUND(F57-P57-MIN(F57-P57,MAX(0,$AF57-SUMPRODUCT(--($B$4:$K$4&lt;F$4),$B57:$K57-$L57:$U57))),2)</f>
        <v>0</v>
      </c>
      <c r="AA57" s="39" t="n">
        <f aca="false">ROUND(G57-Q57-MIN(G57-Q57,MAX(0,$AF57-SUMPRODUCT(--($B$4:$K$4&lt;G$4),$B57:$K57-$L57:$U57))),2)</f>
        <v>0</v>
      </c>
      <c r="AB57" s="39" t="n">
        <f aca="false">ROUND(H57-R57-MIN(H57-R57,MAX(0,$AF57-SUMPRODUCT(--($B$4:$K$4&lt;H$4),$B57:$K57-$L57:$U57))),2)</f>
        <v>0</v>
      </c>
      <c r="AC57" s="39" t="n">
        <f aca="false">ROUND(I57-S57-MIN(I57-S57,MAX(0,$AF57-SUMPRODUCT(--($B$4:$K$4&lt;I$4),$B57:$K57-$L57:$U57))),2)</f>
        <v>0</v>
      </c>
      <c r="AD57" s="39" t="n">
        <f aca="false">ROUND(J57-T57-MIN(J57-T57,MAX(0,$AF57-SUMPRODUCT(--($B$4:$K$4&lt;J$4),$B57:$K57-$L57:$U57))),2)</f>
        <v>0</v>
      </c>
      <c r="AE57" s="39" t="n">
        <f aca="false">ROUND(K57-U57-MIN(K57-U57,MAX(0,$AF57-SUMPRODUCT(--($B$4:$K$4&lt;K$4),$B57:$K57-$L57:$U57))),2)</f>
        <v>0</v>
      </c>
      <c r="AF57" s="39" t="n">
        <f aca="false">MAX(0,'Start Here'!$C$5-SUM($L57:$U57))</f>
        <v>1200</v>
      </c>
      <c r="AG57" s="39" t="n">
        <f aca="false">SUM(V57:AE57)</f>
        <v>0</v>
      </c>
      <c r="AH57" s="39" t="n">
        <f aca="false">SUM(B57:K57)-AG56</f>
        <v>0</v>
      </c>
    </row>
    <row r="58" customFormat="false" ht="15" hidden="false" customHeight="false" outlineLevel="0" collapsed="false">
      <c r="A58" s="40" t="n">
        <f aca="false">DATE(YEAR('Start Here'!$C$6),MONTH('Start Here'!$C$6)+51,1)</f>
        <v>47849</v>
      </c>
      <c r="B58" s="39" t="n">
        <f aca="false">ROUND(V57*(1+N('My Debts'!$D$6)/12),2)</f>
        <v>0</v>
      </c>
      <c r="C58" s="39" t="n">
        <f aca="false">ROUND(W57*(1+N('My Debts'!$D$7)/12),2)</f>
        <v>0</v>
      </c>
      <c r="D58" s="39" t="n">
        <f aca="false">ROUND(X57*(1+N('My Debts'!$D$8)/12),2)</f>
        <v>0</v>
      </c>
      <c r="E58" s="39" t="n">
        <f aca="false">ROUND(Y57*(1+N('My Debts'!$D$9)/12),2)</f>
        <v>0</v>
      </c>
      <c r="F58" s="39" t="n">
        <f aca="false">ROUND(Z57*(1+N('My Debts'!$D$10)/12),2)</f>
        <v>0</v>
      </c>
      <c r="G58" s="39" t="n">
        <f aca="false">ROUND(AA57*(1+N('My Debts'!$D$11)/12),2)</f>
        <v>0</v>
      </c>
      <c r="H58" s="39" t="n">
        <f aca="false">ROUND(AB57*(1+N('My Debts'!$D$12)/12),2)</f>
        <v>0</v>
      </c>
      <c r="I58" s="39" t="n">
        <f aca="false">ROUND(AC57*(1+N('My Debts'!$D$13)/12),2)</f>
        <v>0</v>
      </c>
      <c r="J58" s="39" t="n">
        <f aca="false">ROUND(AD57*(1+N('My Debts'!$D$14)/12),2)</f>
        <v>0</v>
      </c>
      <c r="K58" s="39" t="n">
        <f aca="false">ROUND(AE57*(1+N('My Debts'!$D$15)/12),2)</f>
        <v>0</v>
      </c>
      <c r="L58" s="39" t="n">
        <f aca="false">MIN(N('My Debts'!$E$6),B58)</f>
        <v>0</v>
      </c>
      <c r="M58" s="39" t="n">
        <f aca="false">MIN(N('My Debts'!$E$7),C58)</f>
        <v>0</v>
      </c>
      <c r="N58" s="39" t="n">
        <f aca="false">MIN(N('My Debts'!$E$8),D58)</f>
        <v>0</v>
      </c>
      <c r="O58" s="39" t="n">
        <f aca="false">MIN(N('My Debts'!$E$9),E58)</f>
        <v>0</v>
      </c>
      <c r="P58" s="39" t="n">
        <f aca="false">MIN(N('My Debts'!$E$10),F58)</f>
        <v>0</v>
      </c>
      <c r="Q58" s="39" t="n">
        <f aca="false">MIN(N('My Debts'!$E$11),G58)</f>
        <v>0</v>
      </c>
      <c r="R58" s="39" t="n">
        <f aca="false">MIN(N('My Debts'!$E$12),H58)</f>
        <v>0</v>
      </c>
      <c r="S58" s="39" t="n">
        <f aca="false">MIN(N('My Debts'!$E$13),I58)</f>
        <v>0</v>
      </c>
      <c r="T58" s="39" t="n">
        <f aca="false">MIN(N('My Debts'!$E$14),J58)</f>
        <v>0</v>
      </c>
      <c r="U58" s="39" t="n">
        <f aca="false">MIN(N('My Debts'!$E$15),K58)</f>
        <v>0</v>
      </c>
      <c r="V58" s="39" t="n">
        <f aca="false">ROUND(B58-L58-MIN(B58-L58,MAX(0,$AF58-SUMPRODUCT(--($B$4:$K$4&lt;B$4),$B58:$K58-$L58:$U58))),2)</f>
        <v>0</v>
      </c>
      <c r="W58" s="39" t="n">
        <f aca="false">ROUND(C58-M58-MIN(C58-M58,MAX(0,$AF58-SUMPRODUCT(--($B$4:$K$4&lt;C$4),$B58:$K58-$L58:$U58))),2)</f>
        <v>0</v>
      </c>
      <c r="X58" s="39" t="n">
        <f aca="false">ROUND(D58-N58-MIN(D58-N58,MAX(0,$AF58-SUMPRODUCT(--($B$4:$K$4&lt;D$4),$B58:$K58-$L58:$U58))),2)</f>
        <v>0</v>
      </c>
      <c r="Y58" s="39" t="n">
        <f aca="false">ROUND(E58-O58-MIN(E58-O58,MAX(0,$AF58-SUMPRODUCT(--($B$4:$K$4&lt;E$4),$B58:$K58-$L58:$U58))),2)</f>
        <v>0</v>
      </c>
      <c r="Z58" s="39" t="n">
        <f aca="false">ROUND(F58-P58-MIN(F58-P58,MAX(0,$AF58-SUMPRODUCT(--($B$4:$K$4&lt;F$4),$B58:$K58-$L58:$U58))),2)</f>
        <v>0</v>
      </c>
      <c r="AA58" s="39" t="n">
        <f aca="false">ROUND(G58-Q58-MIN(G58-Q58,MAX(0,$AF58-SUMPRODUCT(--($B$4:$K$4&lt;G$4),$B58:$K58-$L58:$U58))),2)</f>
        <v>0</v>
      </c>
      <c r="AB58" s="39" t="n">
        <f aca="false">ROUND(H58-R58-MIN(H58-R58,MAX(0,$AF58-SUMPRODUCT(--($B$4:$K$4&lt;H$4),$B58:$K58-$L58:$U58))),2)</f>
        <v>0</v>
      </c>
      <c r="AC58" s="39" t="n">
        <f aca="false">ROUND(I58-S58-MIN(I58-S58,MAX(0,$AF58-SUMPRODUCT(--($B$4:$K$4&lt;I$4),$B58:$K58-$L58:$U58))),2)</f>
        <v>0</v>
      </c>
      <c r="AD58" s="39" t="n">
        <f aca="false">ROUND(J58-T58-MIN(J58-T58,MAX(0,$AF58-SUMPRODUCT(--($B$4:$K$4&lt;J$4),$B58:$K58-$L58:$U58))),2)</f>
        <v>0</v>
      </c>
      <c r="AE58" s="39" t="n">
        <f aca="false">ROUND(K58-U58-MIN(K58-U58,MAX(0,$AF58-SUMPRODUCT(--($B$4:$K$4&lt;K$4),$B58:$K58-$L58:$U58))),2)</f>
        <v>0</v>
      </c>
      <c r="AF58" s="39" t="n">
        <f aca="false">MAX(0,'Start Here'!$C$5-SUM($L58:$U58))</f>
        <v>1200</v>
      </c>
      <c r="AG58" s="39" t="n">
        <f aca="false">SUM(V58:AE58)</f>
        <v>0</v>
      </c>
      <c r="AH58" s="39" t="n">
        <f aca="false">SUM(B58:K58)-AG57</f>
        <v>0</v>
      </c>
    </row>
    <row r="59" customFormat="false" ht="15" hidden="false" customHeight="false" outlineLevel="0" collapsed="false">
      <c r="A59" s="40" t="n">
        <f aca="false">DATE(YEAR('Start Here'!$C$6),MONTH('Start Here'!$C$6)+52,1)</f>
        <v>47880</v>
      </c>
      <c r="B59" s="39" t="n">
        <f aca="false">ROUND(V58*(1+N('My Debts'!$D$6)/12),2)</f>
        <v>0</v>
      </c>
      <c r="C59" s="39" t="n">
        <f aca="false">ROUND(W58*(1+N('My Debts'!$D$7)/12),2)</f>
        <v>0</v>
      </c>
      <c r="D59" s="39" t="n">
        <f aca="false">ROUND(X58*(1+N('My Debts'!$D$8)/12),2)</f>
        <v>0</v>
      </c>
      <c r="E59" s="39" t="n">
        <f aca="false">ROUND(Y58*(1+N('My Debts'!$D$9)/12),2)</f>
        <v>0</v>
      </c>
      <c r="F59" s="39" t="n">
        <f aca="false">ROUND(Z58*(1+N('My Debts'!$D$10)/12),2)</f>
        <v>0</v>
      </c>
      <c r="G59" s="39" t="n">
        <f aca="false">ROUND(AA58*(1+N('My Debts'!$D$11)/12),2)</f>
        <v>0</v>
      </c>
      <c r="H59" s="39" t="n">
        <f aca="false">ROUND(AB58*(1+N('My Debts'!$D$12)/12),2)</f>
        <v>0</v>
      </c>
      <c r="I59" s="39" t="n">
        <f aca="false">ROUND(AC58*(1+N('My Debts'!$D$13)/12),2)</f>
        <v>0</v>
      </c>
      <c r="J59" s="39" t="n">
        <f aca="false">ROUND(AD58*(1+N('My Debts'!$D$14)/12),2)</f>
        <v>0</v>
      </c>
      <c r="K59" s="39" t="n">
        <f aca="false">ROUND(AE58*(1+N('My Debts'!$D$15)/12),2)</f>
        <v>0</v>
      </c>
      <c r="L59" s="39" t="n">
        <f aca="false">MIN(N('My Debts'!$E$6),B59)</f>
        <v>0</v>
      </c>
      <c r="M59" s="39" t="n">
        <f aca="false">MIN(N('My Debts'!$E$7),C59)</f>
        <v>0</v>
      </c>
      <c r="N59" s="39" t="n">
        <f aca="false">MIN(N('My Debts'!$E$8),D59)</f>
        <v>0</v>
      </c>
      <c r="O59" s="39" t="n">
        <f aca="false">MIN(N('My Debts'!$E$9),E59)</f>
        <v>0</v>
      </c>
      <c r="P59" s="39" t="n">
        <f aca="false">MIN(N('My Debts'!$E$10),F59)</f>
        <v>0</v>
      </c>
      <c r="Q59" s="39" t="n">
        <f aca="false">MIN(N('My Debts'!$E$11),G59)</f>
        <v>0</v>
      </c>
      <c r="R59" s="39" t="n">
        <f aca="false">MIN(N('My Debts'!$E$12),H59)</f>
        <v>0</v>
      </c>
      <c r="S59" s="39" t="n">
        <f aca="false">MIN(N('My Debts'!$E$13),I59)</f>
        <v>0</v>
      </c>
      <c r="T59" s="39" t="n">
        <f aca="false">MIN(N('My Debts'!$E$14),J59)</f>
        <v>0</v>
      </c>
      <c r="U59" s="39" t="n">
        <f aca="false">MIN(N('My Debts'!$E$15),K59)</f>
        <v>0</v>
      </c>
      <c r="V59" s="39" t="n">
        <f aca="false">ROUND(B59-L59-MIN(B59-L59,MAX(0,$AF59-SUMPRODUCT(--($B$4:$K$4&lt;B$4),$B59:$K59-$L59:$U59))),2)</f>
        <v>0</v>
      </c>
      <c r="W59" s="39" t="n">
        <f aca="false">ROUND(C59-M59-MIN(C59-M59,MAX(0,$AF59-SUMPRODUCT(--($B$4:$K$4&lt;C$4),$B59:$K59-$L59:$U59))),2)</f>
        <v>0</v>
      </c>
      <c r="X59" s="39" t="n">
        <f aca="false">ROUND(D59-N59-MIN(D59-N59,MAX(0,$AF59-SUMPRODUCT(--($B$4:$K$4&lt;D$4),$B59:$K59-$L59:$U59))),2)</f>
        <v>0</v>
      </c>
      <c r="Y59" s="39" t="n">
        <f aca="false">ROUND(E59-O59-MIN(E59-O59,MAX(0,$AF59-SUMPRODUCT(--($B$4:$K$4&lt;E$4),$B59:$K59-$L59:$U59))),2)</f>
        <v>0</v>
      </c>
      <c r="Z59" s="39" t="n">
        <f aca="false">ROUND(F59-P59-MIN(F59-P59,MAX(0,$AF59-SUMPRODUCT(--($B$4:$K$4&lt;F$4),$B59:$K59-$L59:$U59))),2)</f>
        <v>0</v>
      </c>
      <c r="AA59" s="39" t="n">
        <f aca="false">ROUND(G59-Q59-MIN(G59-Q59,MAX(0,$AF59-SUMPRODUCT(--($B$4:$K$4&lt;G$4),$B59:$K59-$L59:$U59))),2)</f>
        <v>0</v>
      </c>
      <c r="AB59" s="39" t="n">
        <f aca="false">ROUND(H59-R59-MIN(H59-R59,MAX(0,$AF59-SUMPRODUCT(--($B$4:$K$4&lt;H$4),$B59:$K59-$L59:$U59))),2)</f>
        <v>0</v>
      </c>
      <c r="AC59" s="39" t="n">
        <f aca="false">ROUND(I59-S59-MIN(I59-S59,MAX(0,$AF59-SUMPRODUCT(--($B$4:$K$4&lt;I$4),$B59:$K59-$L59:$U59))),2)</f>
        <v>0</v>
      </c>
      <c r="AD59" s="39" t="n">
        <f aca="false">ROUND(J59-T59-MIN(J59-T59,MAX(0,$AF59-SUMPRODUCT(--($B$4:$K$4&lt;J$4),$B59:$K59-$L59:$U59))),2)</f>
        <v>0</v>
      </c>
      <c r="AE59" s="39" t="n">
        <f aca="false">ROUND(K59-U59-MIN(K59-U59,MAX(0,$AF59-SUMPRODUCT(--($B$4:$K$4&lt;K$4),$B59:$K59-$L59:$U59))),2)</f>
        <v>0</v>
      </c>
      <c r="AF59" s="39" t="n">
        <f aca="false">MAX(0,'Start Here'!$C$5-SUM($L59:$U59))</f>
        <v>1200</v>
      </c>
      <c r="AG59" s="39" t="n">
        <f aca="false">SUM(V59:AE59)</f>
        <v>0</v>
      </c>
      <c r="AH59" s="39" t="n">
        <f aca="false">SUM(B59:K59)-AG58</f>
        <v>0</v>
      </c>
    </row>
    <row r="60" customFormat="false" ht="15" hidden="false" customHeight="false" outlineLevel="0" collapsed="false">
      <c r="A60" s="40" t="n">
        <f aca="false">DATE(YEAR('Start Here'!$C$6),MONTH('Start Here'!$C$6)+53,1)</f>
        <v>47908</v>
      </c>
      <c r="B60" s="39" t="n">
        <f aca="false">ROUND(V59*(1+N('My Debts'!$D$6)/12),2)</f>
        <v>0</v>
      </c>
      <c r="C60" s="39" t="n">
        <f aca="false">ROUND(W59*(1+N('My Debts'!$D$7)/12),2)</f>
        <v>0</v>
      </c>
      <c r="D60" s="39" t="n">
        <f aca="false">ROUND(X59*(1+N('My Debts'!$D$8)/12),2)</f>
        <v>0</v>
      </c>
      <c r="E60" s="39" t="n">
        <f aca="false">ROUND(Y59*(1+N('My Debts'!$D$9)/12),2)</f>
        <v>0</v>
      </c>
      <c r="F60" s="39" t="n">
        <f aca="false">ROUND(Z59*(1+N('My Debts'!$D$10)/12),2)</f>
        <v>0</v>
      </c>
      <c r="G60" s="39" t="n">
        <f aca="false">ROUND(AA59*(1+N('My Debts'!$D$11)/12),2)</f>
        <v>0</v>
      </c>
      <c r="H60" s="39" t="n">
        <f aca="false">ROUND(AB59*(1+N('My Debts'!$D$12)/12),2)</f>
        <v>0</v>
      </c>
      <c r="I60" s="39" t="n">
        <f aca="false">ROUND(AC59*(1+N('My Debts'!$D$13)/12),2)</f>
        <v>0</v>
      </c>
      <c r="J60" s="39" t="n">
        <f aca="false">ROUND(AD59*(1+N('My Debts'!$D$14)/12),2)</f>
        <v>0</v>
      </c>
      <c r="K60" s="39" t="n">
        <f aca="false">ROUND(AE59*(1+N('My Debts'!$D$15)/12),2)</f>
        <v>0</v>
      </c>
      <c r="L60" s="39" t="n">
        <f aca="false">MIN(N('My Debts'!$E$6),B60)</f>
        <v>0</v>
      </c>
      <c r="M60" s="39" t="n">
        <f aca="false">MIN(N('My Debts'!$E$7),C60)</f>
        <v>0</v>
      </c>
      <c r="N60" s="39" t="n">
        <f aca="false">MIN(N('My Debts'!$E$8),D60)</f>
        <v>0</v>
      </c>
      <c r="O60" s="39" t="n">
        <f aca="false">MIN(N('My Debts'!$E$9),E60)</f>
        <v>0</v>
      </c>
      <c r="P60" s="39" t="n">
        <f aca="false">MIN(N('My Debts'!$E$10),F60)</f>
        <v>0</v>
      </c>
      <c r="Q60" s="39" t="n">
        <f aca="false">MIN(N('My Debts'!$E$11),G60)</f>
        <v>0</v>
      </c>
      <c r="R60" s="39" t="n">
        <f aca="false">MIN(N('My Debts'!$E$12),H60)</f>
        <v>0</v>
      </c>
      <c r="S60" s="39" t="n">
        <f aca="false">MIN(N('My Debts'!$E$13),I60)</f>
        <v>0</v>
      </c>
      <c r="T60" s="39" t="n">
        <f aca="false">MIN(N('My Debts'!$E$14),J60)</f>
        <v>0</v>
      </c>
      <c r="U60" s="39" t="n">
        <f aca="false">MIN(N('My Debts'!$E$15),K60)</f>
        <v>0</v>
      </c>
      <c r="V60" s="39" t="n">
        <f aca="false">ROUND(B60-L60-MIN(B60-L60,MAX(0,$AF60-SUMPRODUCT(--($B$4:$K$4&lt;B$4),$B60:$K60-$L60:$U60))),2)</f>
        <v>0</v>
      </c>
      <c r="W60" s="39" t="n">
        <f aca="false">ROUND(C60-M60-MIN(C60-M60,MAX(0,$AF60-SUMPRODUCT(--($B$4:$K$4&lt;C$4),$B60:$K60-$L60:$U60))),2)</f>
        <v>0</v>
      </c>
      <c r="X60" s="39" t="n">
        <f aca="false">ROUND(D60-N60-MIN(D60-N60,MAX(0,$AF60-SUMPRODUCT(--($B$4:$K$4&lt;D$4),$B60:$K60-$L60:$U60))),2)</f>
        <v>0</v>
      </c>
      <c r="Y60" s="39" t="n">
        <f aca="false">ROUND(E60-O60-MIN(E60-O60,MAX(0,$AF60-SUMPRODUCT(--($B$4:$K$4&lt;E$4),$B60:$K60-$L60:$U60))),2)</f>
        <v>0</v>
      </c>
      <c r="Z60" s="39" t="n">
        <f aca="false">ROUND(F60-P60-MIN(F60-P60,MAX(0,$AF60-SUMPRODUCT(--($B$4:$K$4&lt;F$4),$B60:$K60-$L60:$U60))),2)</f>
        <v>0</v>
      </c>
      <c r="AA60" s="39" t="n">
        <f aca="false">ROUND(G60-Q60-MIN(G60-Q60,MAX(0,$AF60-SUMPRODUCT(--($B$4:$K$4&lt;G$4),$B60:$K60-$L60:$U60))),2)</f>
        <v>0</v>
      </c>
      <c r="AB60" s="39" t="n">
        <f aca="false">ROUND(H60-R60-MIN(H60-R60,MAX(0,$AF60-SUMPRODUCT(--($B$4:$K$4&lt;H$4),$B60:$K60-$L60:$U60))),2)</f>
        <v>0</v>
      </c>
      <c r="AC60" s="39" t="n">
        <f aca="false">ROUND(I60-S60-MIN(I60-S60,MAX(0,$AF60-SUMPRODUCT(--($B$4:$K$4&lt;I$4),$B60:$K60-$L60:$U60))),2)</f>
        <v>0</v>
      </c>
      <c r="AD60" s="39" t="n">
        <f aca="false">ROUND(J60-T60-MIN(J60-T60,MAX(0,$AF60-SUMPRODUCT(--($B$4:$K$4&lt;J$4),$B60:$K60-$L60:$U60))),2)</f>
        <v>0</v>
      </c>
      <c r="AE60" s="39" t="n">
        <f aca="false">ROUND(K60-U60-MIN(K60-U60,MAX(0,$AF60-SUMPRODUCT(--($B$4:$K$4&lt;K$4),$B60:$K60-$L60:$U60))),2)</f>
        <v>0</v>
      </c>
      <c r="AF60" s="39" t="n">
        <f aca="false">MAX(0,'Start Here'!$C$5-SUM($L60:$U60))</f>
        <v>1200</v>
      </c>
      <c r="AG60" s="39" t="n">
        <f aca="false">SUM(V60:AE60)</f>
        <v>0</v>
      </c>
      <c r="AH60" s="39" t="n">
        <f aca="false">SUM(B60:K60)-AG59</f>
        <v>0</v>
      </c>
    </row>
    <row r="61" customFormat="false" ht="15" hidden="false" customHeight="false" outlineLevel="0" collapsed="false">
      <c r="A61" s="40" t="n">
        <f aca="false">DATE(YEAR('Start Here'!$C$6),MONTH('Start Here'!$C$6)+54,1)</f>
        <v>47939</v>
      </c>
      <c r="B61" s="39" t="n">
        <f aca="false">ROUND(V60*(1+N('My Debts'!$D$6)/12),2)</f>
        <v>0</v>
      </c>
      <c r="C61" s="39" t="n">
        <f aca="false">ROUND(W60*(1+N('My Debts'!$D$7)/12),2)</f>
        <v>0</v>
      </c>
      <c r="D61" s="39" t="n">
        <f aca="false">ROUND(X60*(1+N('My Debts'!$D$8)/12),2)</f>
        <v>0</v>
      </c>
      <c r="E61" s="39" t="n">
        <f aca="false">ROUND(Y60*(1+N('My Debts'!$D$9)/12),2)</f>
        <v>0</v>
      </c>
      <c r="F61" s="39" t="n">
        <f aca="false">ROUND(Z60*(1+N('My Debts'!$D$10)/12),2)</f>
        <v>0</v>
      </c>
      <c r="G61" s="39" t="n">
        <f aca="false">ROUND(AA60*(1+N('My Debts'!$D$11)/12),2)</f>
        <v>0</v>
      </c>
      <c r="H61" s="39" t="n">
        <f aca="false">ROUND(AB60*(1+N('My Debts'!$D$12)/12),2)</f>
        <v>0</v>
      </c>
      <c r="I61" s="39" t="n">
        <f aca="false">ROUND(AC60*(1+N('My Debts'!$D$13)/12),2)</f>
        <v>0</v>
      </c>
      <c r="J61" s="39" t="n">
        <f aca="false">ROUND(AD60*(1+N('My Debts'!$D$14)/12),2)</f>
        <v>0</v>
      </c>
      <c r="K61" s="39" t="n">
        <f aca="false">ROUND(AE60*(1+N('My Debts'!$D$15)/12),2)</f>
        <v>0</v>
      </c>
      <c r="L61" s="39" t="n">
        <f aca="false">MIN(N('My Debts'!$E$6),B61)</f>
        <v>0</v>
      </c>
      <c r="M61" s="39" t="n">
        <f aca="false">MIN(N('My Debts'!$E$7),C61)</f>
        <v>0</v>
      </c>
      <c r="N61" s="39" t="n">
        <f aca="false">MIN(N('My Debts'!$E$8),D61)</f>
        <v>0</v>
      </c>
      <c r="O61" s="39" t="n">
        <f aca="false">MIN(N('My Debts'!$E$9),E61)</f>
        <v>0</v>
      </c>
      <c r="P61" s="39" t="n">
        <f aca="false">MIN(N('My Debts'!$E$10),F61)</f>
        <v>0</v>
      </c>
      <c r="Q61" s="39" t="n">
        <f aca="false">MIN(N('My Debts'!$E$11),G61)</f>
        <v>0</v>
      </c>
      <c r="R61" s="39" t="n">
        <f aca="false">MIN(N('My Debts'!$E$12),H61)</f>
        <v>0</v>
      </c>
      <c r="S61" s="39" t="n">
        <f aca="false">MIN(N('My Debts'!$E$13),I61)</f>
        <v>0</v>
      </c>
      <c r="T61" s="39" t="n">
        <f aca="false">MIN(N('My Debts'!$E$14),J61)</f>
        <v>0</v>
      </c>
      <c r="U61" s="39" t="n">
        <f aca="false">MIN(N('My Debts'!$E$15),K61)</f>
        <v>0</v>
      </c>
      <c r="V61" s="39" t="n">
        <f aca="false">ROUND(B61-L61-MIN(B61-L61,MAX(0,$AF61-SUMPRODUCT(--($B$4:$K$4&lt;B$4),$B61:$K61-$L61:$U61))),2)</f>
        <v>0</v>
      </c>
      <c r="W61" s="39" t="n">
        <f aca="false">ROUND(C61-M61-MIN(C61-M61,MAX(0,$AF61-SUMPRODUCT(--($B$4:$K$4&lt;C$4),$B61:$K61-$L61:$U61))),2)</f>
        <v>0</v>
      </c>
      <c r="X61" s="39" t="n">
        <f aca="false">ROUND(D61-N61-MIN(D61-N61,MAX(0,$AF61-SUMPRODUCT(--($B$4:$K$4&lt;D$4),$B61:$K61-$L61:$U61))),2)</f>
        <v>0</v>
      </c>
      <c r="Y61" s="39" t="n">
        <f aca="false">ROUND(E61-O61-MIN(E61-O61,MAX(0,$AF61-SUMPRODUCT(--($B$4:$K$4&lt;E$4),$B61:$K61-$L61:$U61))),2)</f>
        <v>0</v>
      </c>
      <c r="Z61" s="39" t="n">
        <f aca="false">ROUND(F61-P61-MIN(F61-P61,MAX(0,$AF61-SUMPRODUCT(--($B$4:$K$4&lt;F$4),$B61:$K61-$L61:$U61))),2)</f>
        <v>0</v>
      </c>
      <c r="AA61" s="39" t="n">
        <f aca="false">ROUND(G61-Q61-MIN(G61-Q61,MAX(0,$AF61-SUMPRODUCT(--($B$4:$K$4&lt;G$4),$B61:$K61-$L61:$U61))),2)</f>
        <v>0</v>
      </c>
      <c r="AB61" s="39" t="n">
        <f aca="false">ROUND(H61-R61-MIN(H61-R61,MAX(0,$AF61-SUMPRODUCT(--($B$4:$K$4&lt;H$4),$B61:$K61-$L61:$U61))),2)</f>
        <v>0</v>
      </c>
      <c r="AC61" s="39" t="n">
        <f aca="false">ROUND(I61-S61-MIN(I61-S61,MAX(0,$AF61-SUMPRODUCT(--($B$4:$K$4&lt;I$4),$B61:$K61-$L61:$U61))),2)</f>
        <v>0</v>
      </c>
      <c r="AD61" s="39" t="n">
        <f aca="false">ROUND(J61-T61-MIN(J61-T61,MAX(0,$AF61-SUMPRODUCT(--($B$4:$K$4&lt;J$4),$B61:$K61-$L61:$U61))),2)</f>
        <v>0</v>
      </c>
      <c r="AE61" s="39" t="n">
        <f aca="false">ROUND(K61-U61-MIN(K61-U61,MAX(0,$AF61-SUMPRODUCT(--($B$4:$K$4&lt;K$4),$B61:$K61-$L61:$U61))),2)</f>
        <v>0</v>
      </c>
      <c r="AF61" s="39" t="n">
        <f aca="false">MAX(0,'Start Here'!$C$5-SUM($L61:$U61))</f>
        <v>1200</v>
      </c>
      <c r="AG61" s="39" t="n">
        <f aca="false">SUM(V61:AE61)</f>
        <v>0</v>
      </c>
      <c r="AH61" s="39" t="n">
        <f aca="false">SUM(B61:K61)-AG60</f>
        <v>0</v>
      </c>
    </row>
    <row r="62" customFormat="false" ht="15" hidden="false" customHeight="false" outlineLevel="0" collapsed="false">
      <c r="A62" s="40" t="n">
        <f aca="false">DATE(YEAR('Start Here'!$C$6),MONTH('Start Here'!$C$6)+55,1)</f>
        <v>47969</v>
      </c>
      <c r="B62" s="39" t="n">
        <f aca="false">ROUND(V61*(1+N('My Debts'!$D$6)/12),2)</f>
        <v>0</v>
      </c>
      <c r="C62" s="39" t="n">
        <f aca="false">ROUND(W61*(1+N('My Debts'!$D$7)/12),2)</f>
        <v>0</v>
      </c>
      <c r="D62" s="39" t="n">
        <f aca="false">ROUND(X61*(1+N('My Debts'!$D$8)/12),2)</f>
        <v>0</v>
      </c>
      <c r="E62" s="39" t="n">
        <f aca="false">ROUND(Y61*(1+N('My Debts'!$D$9)/12),2)</f>
        <v>0</v>
      </c>
      <c r="F62" s="39" t="n">
        <f aca="false">ROUND(Z61*(1+N('My Debts'!$D$10)/12),2)</f>
        <v>0</v>
      </c>
      <c r="G62" s="39" t="n">
        <f aca="false">ROUND(AA61*(1+N('My Debts'!$D$11)/12),2)</f>
        <v>0</v>
      </c>
      <c r="H62" s="39" t="n">
        <f aca="false">ROUND(AB61*(1+N('My Debts'!$D$12)/12),2)</f>
        <v>0</v>
      </c>
      <c r="I62" s="39" t="n">
        <f aca="false">ROUND(AC61*(1+N('My Debts'!$D$13)/12),2)</f>
        <v>0</v>
      </c>
      <c r="J62" s="39" t="n">
        <f aca="false">ROUND(AD61*(1+N('My Debts'!$D$14)/12),2)</f>
        <v>0</v>
      </c>
      <c r="K62" s="39" t="n">
        <f aca="false">ROUND(AE61*(1+N('My Debts'!$D$15)/12),2)</f>
        <v>0</v>
      </c>
      <c r="L62" s="39" t="n">
        <f aca="false">MIN(N('My Debts'!$E$6),B62)</f>
        <v>0</v>
      </c>
      <c r="M62" s="39" t="n">
        <f aca="false">MIN(N('My Debts'!$E$7),C62)</f>
        <v>0</v>
      </c>
      <c r="N62" s="39" t="n">
        <f aca="false">MIN(N('My Debts'!$E$8),D62)</f>
        <v>0</v>
      </c>
      <c r="O62" s="39" t="n">
        <f aca="false">MIN(N('My Debts'!$E$9),E62)</f>
        <v>0</v>
      </c>
      <c r="P62" s="39" t="n">
        <f aca="false">MIN(N('My Debts'!$E$10),F62)</f>
        <v>0</v>
      </c>
      <c r="Q62" s="39" t="n">
        <f aca="false">MIN(N('My Debts'!$E$11),G62)</f>
        <v>0</v>
      </c>
      <c r="R62" s="39" t="n">
        <f aca="false">MIN(N('My Debts'!$E$12),H62)</f>
        <v>0</v>
      </c>
      <c r="S62" s="39" t="n">
        <f aca="false">MIN(N('My Debts'!$E$13),I62)</f>
        <v>0</v>
      </c>
      <c r="T62" s="39" t="n">
        <f aca="false">MIN(N('My Debts'!$E$14),J62)</f>
        <v>0</v>
      </c>
      <c r="U62" s="39" t="n">
        <f aca="false">MIN(N('My Debts'!$E$15),K62)</f>
        <v>0</v>
      </c>
      <c r="V62" s="39" t="n">
        <f aca="false">ROUND(B62-L62-MIN(B62-L62,MAX(0,$AF62-SUMPRODUCT(--($B$4:$K$4&lt;B$4),$B62:$K62-$L62:$U62))),2)</f>
        <v>0</v>
      </c>
      <c r="W62" s="39" t="n">
        <f aca="false">ROUND(C62-M62-MIN(C62-M62,MAX(0,$AF62-SUMPRODUCT(--($B$4:$K$4&lt;C$4),$B62:$K62-$L62:$U62))),2)</f>
        <v>0</v>
      </c>
      <c r="X62" s="39" t="n">
        <f aca="false">ROUND(D62-N62-MIN(D62-N62,MAX(0,$AF62-SUMPRODUCT(--($B$4:$K$4&lt;D$4),$B62:$K62-$L62:$U62))),2)</f>
        <v>0</v>
      </c>
      <c r="Y62" s="39" t="n">
        <f aca="false">ROUND(E62-O62-MIN(E62-O62,MAX(0,$AF62-SUMPRODUCT(--($B$4:$K$4&lt;E$4),$B62:$K62-$L62:$U62))),2)</f>
        <v>0</v>
      </c>
      <c r="Z62" s="39" t="n">
        <f aca="false">ROUND(F62-P62-MIN(F62-P62,MAX(0,$AF62-SUMPRODUCT(--($B$4:$K$4&lt;F$4),$B62:$K62-$L62:$U62))),2)</f>
        <v>0</v>
      </c>
      <c r="AA62" s="39" t="n">
        <f aca="false">ROUND(G62-Q62-MIN(G62-Q62,MAX(0,$AF62-SUMPRODUCT(--($B$4:$K$4&lt;G$4),$B62:$K62-$L62:$U62))),2)</f>
        <v>0</v>
      </c>
      <c r="AB62" s="39" t="n">
        <f aca="false">ROUND(H62-R62-MIN(H62-R62,MAX(0,$AF62-SUMPRODUCT(--($B$4:$K$4&lt;H$4),$B62:$K62-$L62:$U62))),2)</f>
        <v>0</v>
      </c>
      <c r="AC62" s="39" t="n">
        <f aca="false">ROUND(I62-S62-MIN(I62-S62,MAX(0,$AF62-SUMPRODUCT(--($B$4:$K$4&lt;I$4),$B62:$K62-$L62:$U62))),2)</f>
        <v>0</v>
      </c>
      <c r="AD62" s="39" t="n">
        <f aca="false">ROUND(J62-T62-MIN(J62-T62,MAX(0,$AF62-SUMPRODUCT(--($B$4:$K$4&lt;J$4),$B62:$K62-$L62:$U62))),2)</f>
        <v>0</v>
      </c>
      <c r="AE62" s="39" t="n">
        <f aca="false">ROUND(K62-U62-MIN(K62-U62,MAX(0,$AF62-SUMPRODUCT(--($B$4:$K$4&lt;K$4),$B62:$K62-$L62:$U62))),2)</f>
        <v>0</v>
      </c>
      <c r="AF62" s="39" t="n">
        <f aca="false">MAX(0,'Start Here'!$C$5-SUM($L62:$U62))</f>
        <v>1200</v>
      </c>
      <c r="AG62" s="39" t="n">
        <f aca="false">SUM(V62:AE62)</f>
        <v>0</v>
      </c>
      <c r="AH62" s="39" t="n">
        <f aca="false">SUM(B62:K62)-AG61</f>
        <v>0</v>
      </c>
    </row>
    <row r="63" customFormat="false" ht="15" hidden="false" customHeight="false" outlineLevel="0" collapsed="false">
      <c r="A63" s="40" t="n">
        <f aca="false">DATE(YEAR('Start Here'!$C$6),MONTH('Start Here'!$C$6)+56,1)</f>
        <v>48000</v>
      </c>
      <c r="B63" s="39" t="n">
        <f aca="false">ROUND(V62*(1+N('My Debts'!$D$6)/12),2)</f>
        <v>0</v>
      </c>
      <c r="C63" s="39" t="n">
        <f aca="false">ROUND(W62*(1+N('My Debts'!$D$7)/12),2)</f>
        <v>0</v>
      </c>
      <c r="D63" s="39" t="n">
        <f aca="false">ROUND(X62*(1+N('My Debts'!$D$8)/12),2)</f>
        <v>0</v>
      </c>
      <c r="E63" s="39" t="n">
        <f aca="false">ROUND(Y62*(1+N('My Debts'!$D$9)/12),2)</f>
        <v>0</v>
      </c>
      <c r="F63" s="39" t="n">
        <f aca="false">ROUND(Z62*(1+N('My Debts'!$D$10)/12),2)</f>
        <v>0</v>
      </c>
      <c r="G63" s="39" t="n">
        <f aca="false">ROUND(AA62*(1+N('My Debts'!$D$11)/12),2)</f>
        <v>0</v>
      </c>
      <c r="H63" s="39" t="n">
        <f aca="false">ROUND(AB62*(1+N('My Debts'!$D$12)/12),2)</f>
        <v>0</v>
      </c>
      <c r="I63" s="39" t="n">
        <f aca="false">ROUND(AC62*(1+N('My Debts'!$D$13)/12),2)</f>
        <v>0</v>
      </c>
      <c r="J63" s="39" t="n">
        <f aca="false">ROUND(AD62*(1+N('My Debts'!$D$14)/12),2)</f>
        <v>0</v>
      </c>
      <c r="K63" s="39" t="n">
        <f aca="false">ROUND(AE62*(1+N('My Debts'!$D$15)/12),2)</f>
        <v>0</v>
      </c>
      <c r="L63" s="39" t="n">
        <f aca="false">MIN(N('My Debts'!$E$6),B63)</f>
        <v>0</v>
      </c>
      <c r="M63" s="39" t="n">
        <f aca="false">MIN(N('My Debts'!$E$7),C63)</f>
        <v>0</v>
      </c>
      <c r="N63" s="39" t="n">
        <f aca="false">MIN(N('My Debts'!$E$8),D63)</f>
        <v>0</v>
      </c>
      <c r="O63" s="39" t="n">
        <f aca="false">MIN(N('My Debts'!$E$9),E63)</f>
        <v>0</v>
      </c>
      <c r="P63" s="39" t="n">
        <f aca="false">MIN(N('My Debts'!$E$10),F63)</f>
        <v>0</v>
      </c>
      <c r="Q63" s="39" t="n">
        <f aca="false">MIN(N('My Debts'!$E$11),G63)</f>
        <v>0</v>
      </c>
      <c r="R63" s="39" t="n">
        <f aca="false">MIN(N('My Debts'!$E$12),H63)</f>
        <v>0</v>
      </c>
      <c r="S63" s="39" t="n">
        <f aca="false">MIN(N('My Debts'!$E$13),I63)</f>
        <v>0</v>
      </c>
      <c r="T63" s="39" t="n">
        <f aca="false">MIN(N('My Debts'!$E$14),J63)</f>
        <v>0</v>
      </c>
      <c r="U63" s="39" t="n">
        <f aca="false">MIN(N('My Debts'!$E$15),K63)</f>
        <v>0</v>
      </c>
      <c r="V63" s="39" t="n">
        <f aca="false">ROUND(B63-L63-MIN(B63-L63,MAX(0,$AF63-SUMPRODUCT(--($B$4:$K$4&lt;B$4),$B63:$K63-$L63:$U63))),2)</f>
        <v>0</v>
      </c>
      <c r="W63" s="39" t="n">
        <f aca="false">ROUND(C63-M63-MIN(C63-M63,MAX(0,$AF63-SUMPRODUCT(--($B$4:$K$4&lt;C$4),$B63:$K63-$L63:$U63))),2)</f>
        <v>0</v>
      </c>
      <c r="X63" s="39" t="n">
        <f aca="false">ROUND(D63-N63-MIN(D63-N63,MAX(0,$AF63-SUMPRODUCT(--($B$4:$K$4&lt;D$4),$B63:$K63-$L63:$U63))),2)</f>
        <v>0</v>
      </c>
      <c r="Y63" s="39" t="n">
        <f aca="false">ROUND(E63-O63-MIN(E63-O63,MAX(0,$AF63-SUMPRODUCT(--($B$4:$K$4&lt;E$4),$B63:$K63-$L63:$U63))),2)</f>
        <v>0</v>
      </c>
      <c r="Z63" s="39" t="n">
        <f aca="false">ROUND(F63-P63-MIN(F63-P63,MAX(0,$AF63-SUMPRODUCT(--($B$4:$K$4&lt;F$4),$B63:$K63-$L63:$U63))),2)</f>
        <v>0</v>
      </c>
      <c r="AA63" s="39" t="n">
        <f aca="false">ROUND(G63-Q63-MIN(G63-Q63,MAX(0,$AF63-SUMPRODUCT(--($B$4:$K$4&lt;G$4),$B63:$K63-$L63:$U63))),2)</f>
        <v>0</v>
      </c>
      <c r="AB63" s="39" t="n">
        <f aca="false">ROUND(H63-R63-MIN(H63-R63,MAX(0,$AF63-SUMPRODUCT(--($B$4:$K$4&lt;H$4),$B63:$K63-$L63:$U63))),2)</f>
        <v>0</v>
      </c>
      <c r="AC63" s="39" t="n">
        <f aca="false">ROUND(I63-S63-MIN(I63-S63,MAX(0,$AF63-SUMPRODUCT(--($B$4:$K$4&lt;I$4),$B63:$K63-$L63:$U63))),2)</f>
        <v>0</v>
      </c>
      <c r="AD63" s="39" t="n">
        <f aca="false">ROUND(J63-T63-MIN(J63-T63,MAX(0,$AF63-SUMPRODUCT(--($B$4:$K$4&lt;J$4),$B63:$K63-$L63:$U63))),2)</f>
        <v>0</v>
      </c>
      <c r="AE63" s="39" t="n">
        <f aca="false">ROUND(K63-U63-MIN(K63-U63,MAX(0,$AF63-SUMPRODUCT(--($B$4:$K$4&lt;K$4),$B63:$K63-$L63:$U63))),2)</f>
        <v>0</v>
      </c>
      <c r="AF63" s="39" t="n">
        <f aca="false">MAX(0,'Start Here'!$C$5-SUM($L63:$U63))</f>
        <v>1200</v>
      </c>
      <c r="AG63" s="39" t="n">
        <f aca="false">SUM(V63:AE63)</f>
        <v>0</v>
      </c>
      <c r="AH63" s="39" t="n">
        <f aca="false">SUM(B63:K63)-AG62</f>
        <v>0</v>
      </c>
    </row>
    <row r="64" customFormat="false" ht="15" hidden="false" customHeight="false" outlineLevel="0" collapsed="false">
      <c r="A64" s="40" t="n">
        <f aca="false">DATE(YEAR('Start Here'!$C$6),MONTH('Start Here'!$C$6)+57,1)</f>
        <v>48030</v>
      </c>
      <c r="B64" s="39" t="n">
        <f aca="false">ROUND(V63*(1+N('My Debts'!$D$6)/12),2)</f>
        <v>0</v>
      </c>
      <c r="C64" s="39" t="n">
        <f aca="false">ROUND(W63*(1+N('My Debts'!$D$7)/12),2)</f>
        <v>0</v>
      </c>
      <c r="D64" s="39" t="n">
        <f aca="false">ROUND(X63*(1+N('My Debts'!$D$8)/12),2)</f>
        <v>0</v>
      </c>
      <c r="E64" s="39" t="n">
        <f aca="false">ROUND(Y63*(1+N('My Debts'!$D$9)/12),2)</f>
        <v>0</v>
      </c>
      <c r="F64" s="39" t="n">
        <f aca="false">ROUND(Z63*(1+N('My Debts'!$D$10)/12),2)</f>
        <v>0</v>
      </c>
      <c r="G64" s="39" t="n">
        <f aca="false">ROUND(AA63*(1+N('My Debts'!$D$11)/12),2)</f>
        <v>0</v>
      </c>
      <c r="H64" s="39" t="n">
        <f aca="false">ROUND(AB63*(1+N('My Debts'!$D$12)/12),2)</f>
        <v>0</v>
      </c>
      <c r="I64" s="39" t="n">
        <f aca="false">ROUND(AC63*(1+N('My Debts'!$D$13)/12),2)</f>
        <v>0</v>
      </c>
      <c r="J64" s="39" t="n">
        <f aca="false">ROUND(AD63*(1+N('My Debts'!$D$14)/12),2)</f>
        <v>0</v>
      </c>
      <c r="K64" s="39" t="n">
        <f aca="false">ROUND(AE63*(1+N('My Debts'!$D$15)/12),2)</f>
        <v>0</v>
      </c>
      <c r="L64" s="39" t="n">
        <f aca="false">MIN(N('My Debts'!$E$6),B64)</f>
        <v>0</v>
      </c>
      <c r="M64" s="39" t="n">
        <f aca="false">MIN(N('My Debts'!$E$7),C64)</f>
        <v>0</v>
      </c>
      <c r="N64" s="39" t="n">
        <f aca="false">MIN(N('My Debts'!$E$8),D64)</f>
        <v>0</v>
      </c>
      <c r="O64" s="39" t="n">
        <f aca="false">MIN(N('My Debts'!$E$9),E64)</f>
        <v>0</v>
      </c>
      <c r="P64" s="39" t="n">
        <f aca="false">MIN(N('My Debts'!$E$10),F64)</f>
        <v>0</v>
      </c>
      <c r="Q64" s="39" t="n">
        <f aca="false">MIN(N('My Debts'!$E$11),G64)</f>
        <v>0</v>
      </c>
      <c r="R64" s="39" t="n">
        <f aca="false">MIN(N('My Debts'!$E$12),H64)</f>
        <v>0</v>
      </c>
      <c r="S64" s="39" t="n">
        <f aca="false">MIN(N('My Debts'!$E$13),I64)</f>
        <v>0</v>
      </c>
      <c r="T64" s="39" t="n">
        <f aca="false">MIN(N('My Debts'!$E$14),J64)</f>
        <v>0</v>
      </c>
      <c r="U64" s="39" t="n">
        <f aca="false">MIN(N('My Debts'!$E$15),K64)</f>
        <v>0</v>
      </c>
      <c r="V64" s="39" t="n">
        <f aca="false">ROUND(B64-L64-MIN(B64-L64,MAX(0,$AF64-SUMPRODUCT(--($B$4:$K$4&lt;B$4),$B64:$K64-$L64:$U64))),2)</f>
        <v>0</v>
      </c>
      <c r="W64" s="39" t="n">
        <f aca="false">ROUND(C64-M64-MIN(C64-M64,MAX(0,$AF64-SUMPRODUCT(--($B$4:$K$4&lt;C$4),$B64:$K64-$L64:$U64))),2)</f>
        <v>0</v>
      </c>
      <c r="X64" s="39" t="n">
        <f aca="false">ROUND(D64-N64-MIN(D64-N64,MAX(0,$AF64-SUMPRODUCT(--($B$4:$K$4&lt;D$4),$B64:$K64-$L64:$U64))),2)</f>
        <v>0</v>
      </c>
      <c r="Y64" s="39" t="n">
        <f aca="false">ROUND(E64-O64-MIN(E64-O64,MAX(0,$AF64-SUMPRODUCT(--($B$4:$K$4&lt;E$4),$B64:$K64-$L64:$U64))),2)</f>
        <v>0</v>
      </c>
      <c r="Z64" s="39" t="n">
        <f aca="false">ROUND(F64-P64-MIN(F64-P64,MAX(0,$AF64-SUMPRODUCT(--($B$4:$K$4&lt;F$4),$B64:$K64-$L64:$U64))),2)</f>
        <v>0</v>
      </c>
      <c r="AA64" s="39" t="n">
        <f aca="false">ROUND(G64-Q64-MIN(G64-Q64,MAX(0,$AF64-SUMPRODUCT(--($B$4:$K$4&lt;G$4),$B64:$K64-$L64:$U64))),2)</f>
        <v>0</v>
      </c>
      <c r="AB64" s="39" t="n">
        <f aca="false">ROUND(H64-R64-MIN(H64-R64,MAX(0,$AF64-SUMPRODUCT(--($B$4:$K$4&lt;H$4),$B64:$K64-$L64:$U64))),2)</f>
        <v>0</v>
      </c>
      <c r="AC64" s="39" t="n">
        <f aca="false">ROUND(I64-S64-MIN(I64-S64,MAX(0,$AF64-SUMPRODUCT(--($B$4:$K$4&lt;I$4),$B64:$K64-$L64:$U64))),2)</f>
        <v>0</v>
      </c>
      <c r="AD64" s="39" t="n">
        <f aca="false">ROUND(J64-T64-MIN(J64-T64,MAX(0,$AF64-SUMPRODUCT(--($B$4:$K$4&lt;J$4),$B64:$K64-$L64:$U64))),2)</f>
        <v>0</v>
      </c>
      <c r="AE64" s="39" t="n">
        <f aca="false">ROUND(K64-U64-MIN(K64-U64,MAX(0,$AF64-SUMPRODUCT(--($B$4:$K$4&lt;K$4),$B64:$K64-$L64:$U64))),2)</f>
        <v>0</v>
      </c>
      <c r="AF64" s="39" t="n">
        <f aca="false">MAX(0,'Start Here'!$C$5-SUM($L64:$U64))</f>
        <v>1200</v>
      </c>
      <c r="AG64" s="39" t="n">
        <f aca="false">SUM(V64:AE64)</f>
        <v>0</v>
      </c>
      <c r="AH64" s="39" t="n">
        <f aca="false">SUM(B64:K64)-AG63</f>
        <v>0</v>
      </c>
    </row>
    <row r="65" customFormat="false" ht="15" hidden="false" customHeight="false" outlineLevel="0" collapsed="false">
      <c r="A65" s="40" t="n">
        <f aca="false">DATE(YEAR('Start Here'!$C$6),MONTH('Start Here'!$C$6)+58,1)</f>
        <v>48061</v>
      </c>
      <c r="B65" s="39" t="n">
        <f aca="false">ROUND(V64*(1+N('My Debts'!$D$6)/12),2)</f>
        <v>0</v>
      </c>
      <c r="C65" s="39" t="n">
        <f aca="false">ROUND(W64*(1+N('My Debts'!$D$7)/12),2)</f>
        <v>0</v>
      </c>
      <c r="D65" s="39" t="n">
        <f aca="false">ROUND(X64*(1+N('My Debts'!$D$8)/12),2)</f>
        <v>0</v>
      </c>
      <c r="E65" s="39" t="n">
        <f aca="false">ROUND(Y64*(1+N('My Debts'!$D$9)/12),2)</f>
        <v>0</v>
      </c>
      <c r="F65" s="39" t="n">
        <f aca="false">ROUND(Z64*(1+N('My Debts'!$D$10)/12),2)</f>
        <v>0</v>
      </c>
      <c r="G65" s="39" t="n">
        <f aca="false">ROUND(AA64*(1+N('My Debts'!$D$11)/12),2)</f>
        <v>0</v>
      </c>
      <c r="H65" s="39" t="n">
        <f aca="false">ROUND(AB64*(1+N('My Debts'!$D$12)/12),2)</f>
        <v>0</v>
      </c>
      <c r="I65" s="39" t="n">
        <f aca="false">ROUND(AC64*(1+N('My Debts'!$D$13)/12),2)</f>
        <v>0</v>
      </c>
      <c r="J65" s="39" t="n">
        <f aca="false">ROUND(AD64*(1+N('My Debts'!$D$14)/12),2)</f>
        <v>0</v>
      </c>
      <c r="K65" s="39" t="n">
        <f aca="false">ROUND(AE64*(1+N('My Debts'!$D$15)/12),2)</f>
        <v>0</v>
      </c>
      <c r="L65" s="39" t="n">
        <f aca="false">MIN(N('My Debts'!$E$6),B65)</f>
        <v>0</v>
      </c>
      <c r="M65" s="39" t="n">
        <f aca="false">MIN(N('My Debts'!$E$7),C65)</f>
        <v>0</v>
      </c>
      <c r="N65" s="39" t="n">
        <f aca="false">MIN(N('My Debts'!$E$8),D65)</f>
        <v>0</v>
      </c>
      <c r="O65" s="39" t="n">
        <f aca="false">MIN(N('My Debts'!$E$9),E65)</f>
        <v>0</v>
      </c>
      <c r="P65" s="39" t="n">
        <f aca="false">MIN(N('My Debts'!$E$10),F65)</f>
        <v>0</v>
      </c>
      <c r="Q65" s="39" t="n">
        <f aca="false">MIN(N('My Debts'!$E$11),G65)</f>
        <v>0</v>
      </c>
      <c r="R65" s="39" t="n">
        <f aca="false">MIN(N('My Debts'!$E$12),H65)</f>
        <v>0</v>
      </c>
      <c r="S65" s="39" t="n">
        <f aca="false">MIN(N('My Debts'!$E$13),I65)</f>
        <v>0</v>
      </c>
      <c r="T65" s="39" t="n">
        <f aca="false">MIN(N('My Debts'!$E$14),J65)</f>
        <v>0</v>
      </c>
      <c r="U65" s="39" t="n">
        <f aca="false">MIN(N('My Debts'!$E$15),K65)</f>
        <v>0</v>
      </c>
      <c r="V65" s="39" t="n">
        <f aca="false">ROUND(B65-L65-MIN(B65-L65,MAX(0,$AF65-SUMPRODUCT(--($B$4:$K$4&lt;B$4),$B65:$K65-$L65:$U65))),2)</f>
        <v>0</v>
      </c>
      <c r="W65" s="39" t="n">
        <f aca="false">ROUND(C65-M65-MIN(C65-M65,MAX(0,$AF65-SUMPRODUCT(--($B$4:$K$4&lt;C$4),$B65:$K65-$L65:$U65))),2)</f>
        <v>0</v>
      </c>
      <c r="X65" s="39" t="n">
        <f aca="false">ROUND(D65-N65-MIN(D65-N65,MAX(0,$AF65-SUMPRODUCT(--($B$4:$K$4&lt;D$4),$B65:$K65-$L65:$U65))),2)</f>
        <v>0</v>
      </c>
      <c r="Y65" s="39" t="n">
        <f aca="false">ROUND(E65-O65-MIN(E65-O65,MAX(0,$AF65-SUMPRODUCT(--($B$4:$K$4&lt;E$4),$B65:$K65-$L65:$U65))),2)</f>
        <v>0</v>
      </c>
      <c r="Z65" s="39" t="n">
        <f aca="false">ROUND(F65-P65-MIN(F65-P65,MAX(0,$AF65-SUMPRODUCT(--($B$4:$K$4&lt;F$4),$B65:$K65-$L65:$U65))),2)</f>
        <v>0</v>
      </c>
      <c r="AA65" s="39" t="n">
        <f aca="false">ROUND(G65-Q65-MIN(G65-Q65,MAX(0,$AF65-SUMPRODUCT(--($B$4:$K$4&lt;G$4),$B65:$K65-$L65:$U65))),2)</f>
        <v>0</v>
      </c>
      <c r="AB65" s="39" t="n">
        <f aca="false">ROUND(H65-R65-MIN(H65-R65,MAX(0,$AF65-SUMPRODUCT(--($B$4:$K$4&lt;H$4),$B65:$K65-$L65:$U65))),2)</f>
        <v>0</v>
      </c>
      <c r="AC65" s="39" t="n">
        <f aca="false">ROUND(I65-S65-MIN(I65-S65,MAX(0,$AF65-SUMPRODUCT(--($B$4:$K$4&lt;I$4),$B65:$K65-$L65:$U65))),2)</f>
        <v>0</v>
      </c>
      <c r="AD65" s="39" t="n">
        <f aca="false">ROUND(J65-T65-MIN(J65-T65,MAX(0,$AF65-SUMPRODUCT(--($B$4:$K$4&lt;J$4),$B65:$K65-$L65:$U65))),2)</f>
        <v>0</v>
      </c>
      <c r="AE65" s="39" t="n">
        <f aca="false">ROUND(K65-U65-MIN(K65-U65,MAX(0,$AF65-SUMPRODUCT(--($B$4:$K$4&lt;K$4),$B65:$K65-$L65:$U65))),2)</f>
        <v>0</v>
      </c>
      <c r="AF65" s="39" t="n">
        <f aca="false">MAX(0,'Start Here'!$C$5-SUM($L65:$U65))</f>
        <v>1200</v>
      </c>
      <c r="AG65" s="39" t="n">
        <f aca="false">SUM(V65:AE65)</f>
        <v>0</v>
      </c>
      <c r="AH65" s="39" t="n">
        <f aca="false">SUM(B65:K65)-AG64</f>
        <v>0</v>
      </c>
    </row>
    <row r="66" customFormat="false" ht="15" hidden="false" customHeight="false" outlineLevel="0" collapsed="false">
      <c r="A66" s="40" t="n">
        <f aca="false">DATE(YEAR('Start Here'!$C$6),MONTH('Start Here'!$C$6)+59,1)</f>
        <v>48092</v>
      </c>
      <c r="B66" s="39" t="n">
        <f aca="false">ROUND(V65*(1+N('My Debts'!$D$6)/12),2)</f>
        <v>0</v>
      </c>
      <c r="C66" s="39" t="n">
        <f aca="false">ROUND(W65*(1+N('My Debts'!$D$7)/12),2)</f>
        <v>0</v>
      </c>
      <c r="D66" s="39" t="n">
        <f aca="false">ROUND(X65*(1+N('My Debts'!$D$8)/12),2)</f>
        <v>0</v>
      </c>
      <c r="E66" s="39" t="n">
        <f aca="false">ROUND(Y65*(1+N('My Debts'!$D$9)/12),2)</f>
        <v>0</v>
      </c>
      <c r="F66" s="39" t="n">
        <f aca="false">ROUND(Z65*(1+N('My Debts'!$D$10)/12),2)</f>
        <v>0</v>
      </c>
      <c r="G66" s="39" t="n">
        <f aca="false">ROUND(AA65*(1+N('My Debts'!$D$11)/12),2)</f>
        <v>0</v>
      </c>
      <c r="H66" s="39" t="n">
        <f aca="false">ROUND(AB65*(1+N('My Debts'!$D$12)/12),2)</f>
        <v>0</v>
      </c>
      <c r="I66" s="39" t="n">
        <f aca="false">ROUND(AC65*(1+N('My Debts'!$D$13)/12),2)</f>
        <v>0</v>
      </c>
      <c r="J66" s="39" t="n">
        <f aca="false">ROUND(AD65*(1+N('My Debts'!$D$14)/12),2)</f>
        <v>0</v>
      </c>
      <c r="K66" s="39" t="n">
        <f aca="false">ROUND(AE65*(1+N('My Debts'!$D$15)/12),2)</f>
        <v>0</v>
      </c>
      <c r="L66" s="39" t="n">
        <f aca="false">MIN(N('My Debts'!$E$6),B66)</f>
        <v>0</v>
      </c>
      <c r="M66" s="39" t="n">
        <f aca="false">MIN(N('My Debts'!$E$7),C66)</f>
        <v>0</v>
      </c>
      <c r="N66" s="39" t="n">
        <f aca="false">MIN(N('My Debts'!$E$8),D66)</f>
        <v>0</v>
      </c>
      <c r="O66" s="39" t="n">
        <f aca="false">MIN(N('My Debts'!$E$9),E66)</f>
        <v>0</v>
      </c>
      <c r="P66" s="39" t="n">
        <f aca="false">MIN(N('My Debts'!$E$10),F66)</f>
        <v>0</v>
      </c>
      <c r="Q66" s="39" t="n">
        <f aca="false">MIN(N('My Debts'!$E$11),G66)</f>
        <v>0</v>
      </c>
      <c r="R66" s="39" t="n">
        <f aca="false">MIN(N('My Debts'!$E$12),H66)</f>
        <v>0</v>
      </c>
      <c r="S66" s="39" t="n">
        <f aca="false">MIN(N('My Debts'!$E$13),I66)</f>
        <v>0</v>
      </c>
      <c r="T66" s="39" t="n">
        <f aca="false">MIN(N('My Debts'!$E$14),J66)</f>
        <v>0</v>
      </c>
      <c r="U66" s="39" t="n">
        <f aca="false">MIN(N('My Debts'!$E$15),K66)</f>
        <v>0</v>
      </c>
      <c r="V66" s="39" t="n">
        <f aca="false">ROUND(B66-L66-MIN(B66-L66,MAX(0,$AF66-SUMPRODUCT(--($B$4:$K$4&lt;B$4),$B66:$K66-$L66:$U66))),2)</f>
        <v>0</v>
      </c>
      <c r="W66" s="39" t="n">
        <f aca="false">ROUND(C66-M66-MIN(C66-M66,MAX(0,$AF66-SUMPRODUCT(--($B$4:$K$4&lt;C$4),$B66:$K66-$L66:$U66))),2)</f>
        <v>0</v>
      </c>
      <c r="X66" s="39" t="n">
        <f aca="false">ROUND(D66-N66-MIN(D66-N66,MAX(0,$AF66-SUMPRODUCT(--($B$4:$K$4&lt;D$4),$B66:$K66-$L66:$U66))),2)</f>
        <v>0</v>
      </c>
      <c r="Y66" s="39" t="n">
        <f aca="false">ROUND(E66-O66-MIN(E66-O66,MAX(0,$AF66-SUMPRODUCT(--($B$4:$K$4&lt;E$4),$B66:$K66-$L66:$U66))),2)</f>
        <v>0</v>
      </c>
      <c r="Z66" s="39" t="n">
        <f aca="false">ROUND(F66-P66-MIN(F66-P66,MAX(0,$AF66-SUMPRODUCT(--($B$4:$K$4&lt;F$4),$B66:$K66-$L66:$U66))),2)</f>
        <v>0</v>
      </c>
      <c r="AA66" s="39" t="n">
        <f aca="false">ROUND(G66-Q66-MIN(G66-Q66,MAX(0,$AF66-SUMPRODUCT(--($B$4:$K$4&lt;G$4),$B66:$K66-$L66:$U66))),2)</f>
        <v>0</v>
      </c>
      <c r="AB66" s="39" t="n">
        <f aca="false">ROUND(H66-R66-MIN(H66-R66,MAX(0,$AF66-SUMPRODUCT(--($B$4:$K$4&lt;H$4),$B66:$K66-$L66:$U66))),2)</f>
        <v>0</v>
      </c>
      <c r="AC66" s="39" t="n">
        <f aca="false">ROUND(I66-S66-MIN(I66-S66,MAX(0,$AF66-SUMPRODUCT(--($B$4:$K$4&lt;I$4),$B66:$K66-$L66:$U66))),2)</f>
        <v>0</v>
      </c>
      <c r="AD66" s="39" t="n">
        <f aca="false">ROUND(J66-T66-MIN(J66-T66,MAX(0,$AF66-SUMPRODUCT(--($B$4:$K$4&lt;J$4),$B66:$K66-$L66:$U66))),2)</f>
        <v>0</v>
      </c>
      <c r="AE66" s="39" t="n">
        <f aca="false">ROUND(K66-U66-MIN(K66-U66,MAX(0,$AF66-SUMPRODUCT(--($B$4:$K$4&lt;K$4),$B66:$K66-$L66:$U66))),2)</f>
        <v>0</v>
      </c>
      <c r="AF66" s="39" t="n">
        <f aca="false">MAX(0,'Start Here'!$C$5-SUM($L66:$U66))</f>
        <v>1200</v>
      </c>
      <c r="AG66" s="39" t="n">
        <f aca="false">SUM(V66:AE66)</f>
        <v>0</v>
      </c>
      <c r="AH66" s="39" t="n">
        <f aca="false">SUM(B66:K66)-AG65</f>
        <v>0</v>
      </c>
    </row>
    <row r="67" customFormat="false" ht="15" hidden="false" customHeight="false" outlineLevel="0" collapsed="false">
      <c r="A67" s="40" t="n">
        <f aca="false">DATE(YEAR('Start Here'!$C$6),MONTH('Start Here'!$C$6)+60,1)</f>
        <v>48122</v>
      </c>
      <c r="B67" s="39" t="n">
        <f aca="false">ROUND(V66*(1+N('My Debts'!$D$6)/12),2)</f>
        <v>0</v>
      </c>
      <c r="C67" s="39" t="n">
        <f aca="false">ROUND(W66*(1+N('My Debts'!$D$7)/12),2)</f>
        <v>0</v>
      </c>
      <c r="D67" s="39" t="n">
        <f aca="false">ROUND(X66*(1+N('My Debts'!$D$8)/12),2)</f>
        <v>0</v>
      </c>
      <c r="E67" s="39" t="n">
        <f aca="false">ROUND(Y66*(1+N('My Debts'!$D$9)/12),2)</f>
        <v>0</v>
      </c>
      <c r="F67" s="39" t="n">
        <f aca="false">ROUND(Z66*(1+N('My Debts'!$D$10)/12),2)</f>
        <v>0</v>
      </c>
      <c r="G67" s="39" t="n">
        <f aca="false">ROUND(AA66*(1+N('My Debts'!$D$11)/12),2)</f>
        <v>0</v>
      </c>
      <c r="H67" s="39" t="n">
        <f aca="false">ROUND(AB66*(1+N('My Debts'!$D$12)/12),2)</f>
        <v>0</v>
      </c>
      <c r="I67" s="39" t="n">
        <f aca="false">ROUND(AC66*(1+N('My Debts'!$D$13)/12),2)</f>
        <v>0</v>
      </c>
      <c r="J67" s="39" t="n">
        <f aca="false">ROUND(AD66*(1+N('My Debts'!$D$14)/12),2)</f>
        <v>0</v>
      </c>
      <c r="K67" s="39" t="n">
        <f aca="false">ROUND(AE66*(1+N('My Debts'!$D$15)/12),2)</f>
        <v>0</v>
      </c>
      <c r="L67" s="39" t="n">
        <f aca="false">MIN(N('My Debts'!$E$6),B67)</f>
        <v>0</v>
      </c>
      <c r="M67" s="39" t="n">
        <f aca="false">MIN(N('My Debts'!$E$7),C67)</f>
        <v>0</v>
      </c>
      <c r="N67" s="39" t="n">
        <f aca="false">MIN(N('My Debts'!$E$8),D67)</f>
        <v>0</v>
      </c>
      <c r="O67" s="39" t="n">
        <f aca="false">MIN(N('My Debts'!$E$9),E67)</f>
        <v>0</v>
      </c>
      <c r="P67" s="39" t="n">
        <f aca="false">MIN(N('My Debts'!$E$10),F67)</f>
        <v>0</v>
      </c>
      <c r="Q67" s="39" t="n">
        <f aca="false">MIN(N('My Debts'!$E$11),G67)</f>
        <v>0</v>
      </c>
      <c r="R67" s="39" t="n">
        <f aca="false">MIN(N('My Debts'!$E$12),H67)</f>
        <v>0</v>
      </c>
      <c r="S67" s="39" t="n">
        <f aca="false">MIN(N('My Debts'!$E$13),I67)</f>
        <v>0</v>
      </c>
      <c r="T67" s="39" t="n">
        <f aca="false">MIN(N('My Debts'!$E$14),J67)</f>
        <v>0</v>
      </c>
      <c r="U67" s="39" t="n">
        <f aca="false">MIN(N('My Debts'!$E$15),K67)</f>
        <v>0</v>
      </c>
      <c r="V67" s="39" t="n">
        <f aca="false">ROUND(B67-L67-MIN(B67-L67,MAX(0,$AF67-SUMPRODUCT(--($B$4:$K$4&lt;B$4),$B67:$K67-$L67:$U67))),2)</f>
        <v>0</v>
      </c>
      <c r="W67" s="39" t="n">
        <f aca="false">ROUND(C67-M67-MIN(C67-M67,MAX(0,$AF67-SUMPRODUCT(--($B$4:$K$4&lt;C$4),$B67:$K67-$L67:$U67))),2)</f>
        <v>0</v>
      </c>
      <c r="X67" s="39" t="n">
        <f aca="false">ROUND(D67-N67-MIN(D67-N67,MAX(0,$AF67-SUMPRODUCT(--($B$4:$K$4&lt;D$4),$B67:$K67-$L67:$U67))),2)</f>
        <v>0</v>
      </c>
      <c r="Y67" s="39" t="n">
        <f aca="false">ROUND(E67-O67-MIN(E67-O67,MAX(0,$AF67-SUMPRODUCT(--($B$4:$K$4&lt;E$4),$B67:$K67-$L67:$U67))),2)</f>
        <v>0</v>
      </c>
      <c r="Z67" s="39" t="n">
        <f aca="false">ROUND(F67-P67-MIN(F67-P67,MAX(0,$AF67-SUMPRODUCT(--($B$4:$K$4&lt;F$4),$B67:$K67-$L67:$U67))),2)</f>
        <v>0</v>
      </c>
      <c r="AA67" s="39" t="n">
        <f aca="false">ROUND(G67-Q67-MIN(G67-Q67,MAX(0,$AF67-SUMPRODUCT(--($B$4:$K$4&lt;G$4),$B67:$K67-$L67:$U67))),2)</f>
        <v>0</v>
      </c>
      <c r="AB67" s="39" t="n">
        <f aca="false">ROUND(H67-R67-MIN(H67-R67,MAX(0,$AF67-SUMPRODUCT(--($B$4:$K$4&lt;H$4),$B67:$K67-$L67:$U67))),2)</f>
        <v>0</v>
      </c>
      <c r="AC67" s="39" t="n">
        <f aca="false">ROUND(I67-S67-MIN(I67-S67,MAX(0,$AF67-SUMPRODUCT(--($B$4:$K$4&lt;I$4),$B67:$K67-$L67:$U67))),2)</f>
        <v>0</v>
      </c>
      <c r="AD67" s="39" t="n">
        <f aca="false">ROUND(J67-T67-MIN(J67-T67,MAX(0,$AF67-SUMPRODUCT(--($B$4:$K$4&lt;J$4),$B67:$K67-$L67:$U67))),2)</f>
        <v>0</v>
      </c>
      <c r="AE67" s="39" t="n">
        <f aca="false">ROUND(K67-U67-MIN(K67-U67,MAX(0,$AF67-SUMPRODUCT(--($B$4:$K$4&lt;K$4),$B67:$K67-$L67:$U67))),2)</f>
        <v>0</v>
      </c>
      <c r="AF67" s="39" t="n">
        <f aca="false">MAX(0,'Start Here'!$C$5-SUM($L67:$U67))</f>
        <v>1200</v>
      </c>
      <c r="AG67" s="39" t="n">
        <f aca="false">SUM(V67:AE67)</f>
        <v>0</v>
      </c>
      <c r="AH67" s="39" t="n">
        <f aca="false">SUM(B67:K67)-AG66</f>
        <v>0</v>
      </c>
    </row>
    <row r="68" customFormat="false" ht="15" hidden="false" customHeight="false" outlineLevel="0" collapsed="false">
      <c r="A68" s="40" t="n">
        <f aca="false">DATE(YEAR('Start Here'!$C$6),MONTH('Start Here'!$C$6)+61,1)</f>
        <v>48153</v>
      </c>
      <c r="B68" s="39" t="n">
        <f aca="false">ROUND(V67*(1+N('My Debts'!$D$6)/12),2)</f>
        <v>0</v>
      </c>
      <c r="C68" s="39" t="n">
        <f aca="false">ROUND(W67*(1+N('My Debts'!$D$7)/12),2)</f>
        <v>0</v>
      </c>
      <c r="D68" s="39" t="n">
        <f aca="false">ROUND(X67*(1+N('My Debts'!$D$8)/12),2)</f>
        <v>0</v>
      </c>
      <c r="E68" s="39" t="n">
        <f aca="false">ROUND(Y67*(1+N('My Debts'!$D$9)/12),2)</f>
        <v>0</v>
      </c>
      <c r="F68" s="39" t="n">
        <f aca="false">ROUND(Z67*(1+N('My Debts'!$D$10)/12),2)</f>
        <v>0</v>
      </c>
      <c r="G68" s="39" t="n">
        <f aca="false">ROUND(AA67*(1+N('My Debts'!$D$11)/12),2)</f>
        <v>0</v>
      </c>
      <c r="H68" s="39" t="n">
        <f aca="false">ROUND(AB67*(1+N('My Debts'!$D$12)/12),2)</f>
        <v>0</v>
      </c>
      <c r="I68" s="39" t="n">
        <f aca="false">ROUND(AC67*(1+N('My Debts'!$D$13)/12),2)</f>
        <v>0</v>
      </c>
      <c r="J68" s="39" t="n">
        <f aca="false">ROUND(AD67*(1+N('My Debts'!$D$14)/12),2)</f>
        <v>0</v>
      </c>
      <c r="K68" s="39" t="n">
        <f aca="false">ROUND(AE67*(1+N('My Debts'!$D$15)/12),2)</f>
        <v>0</v>
      </c>
      <c r="L68" s="39" t="n">
        <f aca="false">MIN(N('My Debts'!$E$6),B68)</f>
        <v>0</v>
      </c>
      <c r="M68" s="39" t="n">
        <f aca="false">MIN(N('My Debts'!$E$7),C68)</f>
        <v>0</v>
      </c>
      <c r="N68" s="39" t="n">
        <f aca="false">MIN(N('My Debts'!$E$8),D68)</f>
        <v>0</v>
      </c>
      <c r="O68" s="39" t="n">
        <f aca="false">MIN(N('My Debts'!$E$9),E68)</f>
        <v>0</v>
      </c>
      <c r="P68" s="39" t="n">
        <f aca="false">MIN(N('My Debts'!$E$10),F68)</f>
        <v>0</v>
      </c>
      <c r="Q68" s="39" t="n">
        <f aca="false">MIN(N('My Debts'!$E$11),G68)</f>
        <v>0</v>
      </c>
      <c r="R68" s="39" t="n">
        <f aca="false">MIN(N('My Debts'!$E$12),H68)</f>
        <v>0</v>
      </c>
      <c r="S68" s="39" t="n">
        <f aca="false">MIN(N('My Debts'!$E$13),I68)</f>
        <v>0</v>
      </c>
      <c r="T68" s="39" t="n">
        <f aca="false">MIN(N('My Debts'!$E$14),J68)</f>
        <v>0</v>
      </c>
      <c r="U68" s="39" t="n">
        <f aca="false">MIN(N('My Debts'!$E$15),K68)</f>
        <v>0</v>
      </c>
      <c r="V68" s="39" t="n">
        <f aca="false">ROUND(B68-L68-MIN(B68-L68,MAX(0,$AF68-SUMPRODUCT(--($B$4:$K$4&lt;B$4),$B68:$K68-$L68:$U68))),2)</f>
        <v>0</v>
      </c>
      <c r="W68" s="39" t="n">
        <f aca="false">ROUND(C68-M68-MIN(C68-M68,MAX(0,$AF68-SUMPRODUCT(--($B$4:$K$4&lt;C$4),$B68:$K68-$L68:$U68))),2)</f>
        <v>0</v>
      </c>
      <c r="X68" s="39" t="n">
        <f aca="false">ROUND(D68-N68-MIN(D68-N68,MAX(0,$AF68-SUMPRODUCT(--($B$4:$K$4&lt;D$4),$B68:$K68-$L68:$U68))),2)</f>
        <v>0</v>
      </c>
      <c r="Y68" s="39" t="n">
        <f aca="false">ROUND(E68-O68-MIN(E68-O68,MAX(0,$AF68-SUMPRODUCT(--($B$4:$K$4&lt;E$4),$B68:$K68-$L68:$U68))),2)</f>
        <v>0</v>
      </c>
      <c r="Z68" s="39" t="n">
        <f aca="false">ROUND(F68-P68-MIN(F68-P68,MAX(0,$AF68-SUMPRODUCT(--($B$4:$K$4&lt;F$4),$B68:$K68-$L68:$U68))),2)</f>
        <v>0</v>
      </c>
      <c r="AA68" s="39" t="n">
        <f aca="false">ROUND(G68-Q68-MIN(G68-Q68,MAX(0,$AF68-SUMPRODUCT(--($B$4:$K$4&lt;G$4),$B68:$K68-$L68:$U68))),2)</f>
        <v>0</v>
      </c>
      <c r="AB68" s="39" t="n">
        <f aca="false">ROUND(H68-R68-MIN(H68-R68,MAX(0,$AF68-SUMPRODUCT(--($B$4:$K$4&lt;H$4),$B68:$K68-$L68:$U68))),2)</f>
        <v>0</v>
      </c>
      <c r="AC68" s="39" t="n">
        <f aca="false">ROUND(I68-S68-MIN(I68-S68,MAX(0,$AF68-SUMPRODUCT(--($B$4:$K$4&lt;I$4),$B68:$K68-$L68:$U68))),2)</f>
        <v>0</v>
      </c>
      <c r="AD68" s="39" t="n">
        <f aca="false">ROUND(J68-T68-MIN(J68-T68,MAX(0,$AF68-SUMPRODUCT(--($B$4:$K$4&lt;J$4),$B68:$K68-$L68:$U68))),2)</f>
        <v>0</v>
      </c>
      <c r="AE68" s="39" t="n">
        <f aca="false">ROUND(K68-U68-MIN(K68-U68,MAX(0,$AF68-SUMPRODUCT(--($B$4:$K$4&lt;K$4),$B68:$K68-$L68:$U68))),2)</f>
        <v>0</v>
      </c>
      <c r="AF68" s="39" t="n">
        <f aca="false">MAX(0,'Start Here'!$C$5-SUM($L68:$U68))</f>
        <v>1200</v>
      </c>
      <c r="AG68" s="39" t="n">
        <f aca="false">SUM(V68:AE68)</f>
        <v>0</v>
      </c>
      <c r="AH68" s="39" t="n">
        <f aca="false">SUM(B68:K68)-AG67</f>
        <v>0</v>
      </c>
    </row>
    <row r="69" customFormat="false" ht="15" hidden="false" customHeight="false" outlineLevel="0" collapsed="false">
      <c r="A69" s="40" t="n">
        <f aca="false">DATE(YEAR('Start Here'!$C$6),MONTH('Start Here'!$C$6)+62,1)</f>
        <v>48183</v>
      </c>
      <c r="B69" s="39" t="n">
        <f aca="false">ROUND(V68*(1+N('My Debts'!$D$6)/12),2)</f>
        <v>0</v>
      </c>
      <c r="C69" s="39" t="n">
        <f aca="false">ROUND(W68*(1+N('My Debts'!$D$7)/12),2)</f>
        <v>0</v>
      </c>
      <c r="D69" s="39" t="n">
        <f aca="false">ROUND(X68*(1+N('My Debts'!$D$8)/12),2)</f>
        <v>0</v>
      </c>
      <c r="E69" s="39" t="n">
        <f aca="false">ROUND(Y68*(1+N('My Debts'!$D$9)/12),2)</f>
        <v>0</v>
      </c>
      <c r="F69" s="39" t="n">
        <f aca="false">ROUND(Z68*(1+N('My Debts'!$D$10)/12),2)</f>
        <v>0</v>
      </c>
      <c r="G69" s="39" t="n">
        <f aca="false">ROUND(AA68*(1+N('My Debts'!$D$11)/12),2)</f>
        <v>0</v>
      </c>
      <c r="H69" s="39" t="n">
        <f aca="false">ROUND(AB68*(1+N('My Debts'!$D$12)/12),2)</f>
        <v>0</v>
      </c>
      <c r="I69" s="39" t="n">
        <f aca="false">ROUND(AC68*(1+N('My Debts'!$D$13)/12),2)</f>
        <v>0</v>
      </c>
      <c r="J69" s="39" t="n">
        <f aca="false">ROUND(AD68*(1+N('My Debts'!$D$14)/12),2)</f>
        <v>0</v>
      </c>
      <c r="K69" s="39" t="n">
        <f aca="false">ROUND(AE68*(1+N('My Debts'!$D$15)/12),2)</f>
        <v>0</v>
      </c>
      <c r="L69" s="39" t="n">
        <f aca="false">MIN(N('My Debts'!$E$6),B69)</f>
        <v>0</v>
      </c>
      <c r="M69" s="39" t="n">
        <f aca="false">MIN(N('My Debts'!$E$7),C69)</f>
        <v>0</v>
      </c>
      <c r="N69" s="39" t="n">
        <f aca="false">MIN(N('My Debts'!$E$8),D69)</f>
        <v>0</v>
      </c>
      <c r="O69" s="39" t="n">
        <f aca="false">MIN(N('My Debts'!$E$9),E69)</f>
        <v>0</v>
      </c>
      <c r="P69" s="39" t="n">
        <f aca="false">MIN(N('My Debts'!$E$10),F69)</f>
        <v>0</v>
      </c>
      <c r="Q69" s="39" t="n">
        <f aca="false">MIN(N('My Debts'!$E$11),G69)</f>
        <v>0</v>
      </c>
      <c r="R69" s="39" t="n">
        <f aca="false">MIN(N('My Debts'!$E$12),H69)</f>
        <v>0</v>
      </c>
      <c r="S69" s="39" t="n">
        <f aca="false">MIN(N('My Debts'!$E$13),I69)</f>
        <v>0</v>
      </c>
      <c r="T69" s="39" t="n">
        <f aca="false">MIN(N('My Debts'!$E$14),J69)</f>
        <v>0</v>
      </c>
      <c r="U69" s="39" t="n">
        <f aca="false">MIN(N('My Debts'!$E$15),K69)</f>
        <v>0</v>
      </c>
      <c r="V69" s="39" t="n">
        <f aca="false">ROUND(B69-L69-MIN(B69-L69,MAX(0,$AF69-SUMPRODUCT(--($B$4:$K$4&lt;B$4),$B69:$K69-$L69:$U69))),2)</f>
        <v>0</v>
      </c>
      <c r="W69" s="39" t="n">
        <f aca="false">ROUND(C69-M69-MIN(C69-M69,MAX(0,$AF69-SUMPRODUCT(--($B$4:$K$4&lt;C$4),$B69:$K69-$L69:$U69))),2)</f>
        <v>0</v>
      </c>
      <c r="X69" s="39" t="n">
        <f aca="false">ROUND(D69-N69-MIN(D69-N69,MAX(0,$AF69-SUMPRODUCT(--($B$4:$K$4&lt;D$4),$B69:$K69-$L69:$U69))),2)</f>
        <v>0</v>
      </c>
      <c r="Y69" s="39" t="n">
        <f aca="false">ROUND(E69-O69-MIN(E69-O69,MAX(0,$AF69-SUMPRODUCT(--($B$4:$K$4&lt;E$4),$B69:$K69-$L69:$U69))),2)</f>
        <v>0</v>
      </c>
      <c r="Z69" s="39" t="n">
        <f aca="false">ROUND(F69-P69-MIN(F69-P69,MAX(0,$AF69-SUMPRODUCT(--($B$4:$K$4&lt;F$4),$B69:$K69-$L69:$U69))),2)</f>
        <v>0</v>
      </c>
      <c r="AA69" s="39" t="n">
        <f aca="false">ROUND(G69-Q69-MIN(G69-Q69,MAX(0,$AF69-SUMPRODUCT(--($B$4:$K$4&lt;G$4),$B69:$K69-$L69:$U69))),2)</f>
        <v>0</v>
      </c>
      <c r="AB69" s="39" t="n">
        <f aca="false">ROUND(H69-R69-MIN(H69-R69,MAX(0,$AF69-SUMPRODUCT(--($B$4:$K$4&lt;H$4),$B69:$K69-$L69:$U69))),2)</f>
        <v>0</v>
      </c>
      <c r="AC69" s="39" t="n">
        <f aca="false">ROUND(I69-S69-MIN(I69-S69,MAX(0,$AF69-SUMPRODUCT(--($B$4:$K$4&lt;I$4),$B69:$K69-$L69:$U69))),2)</f>
        <v>0</v>
      </c>
      <c r="AD69" s="39" t="n">
        <f aca="false">ROUND(J69-T69-MIN(J69-T69,MAX(0,$AF69-SUMPRODUCT(--($B$4:$K$4&lt;J$4),$B69:$K69-$L69:$U69))),2)</f>
        <v>0</v>
      </c>
      <c r="AE69" s="39" t="n">
        <f aca="false">ROUND(K69-U69-MIN(K69-U69,MAX(0,$AF69-SUMPRODUCT(--($B$4:$K$4&lt;K$4),$B69:$K69-$L69:$U69))),2)</f>
        <v>0</v>
      </c>
      <c r="AF69" s="39" t="n">
        <f aca="false">MAX(0,'Start Here'!$C$5-SUM($L69:$U69))</f>
        <v>1200</v>
      </c>
      <c r="AG69" s="39" t="n">
        <f aca="false">SUM(V69:AE69)</f>
        <v>0</v>
      </c>
      <c r="AH69" s="39" t="n">
        <f aca="false">SUM(B69:K69)-AG68</f>
        <v>0</v>
      </c>
    </row>
    <row r="70" customFormat="false" ht="15" hidden="false" customHeight="false" outlineLevel="0" collapsed="false">
      <c r="A70" s="40" t="n">
        <f aca="false">DATE(YEAR('Start Here'!$C$6),MONTH('Start Here'!$C$6)+63,1)</f>
        <v>48214</v>
      </c>
      <c r="B70" s="39" t="n">
        <f aca="false">ROUND(V69*(1+N('My Debts'!$D$6)/12),2)</f>
        <v>0</v>
      </c>
      <c r="C70" s="39" t="n">
        <f aca="false">ROUND(W69*(1+N('My Debts'!$D$7)/12),2)</f>
        <v>0</v>
      </c>
      <c r="D70" s="39" t="n">
        <f aca="false">ROUND(X69*(1+N('My Debts'!$D$8)/12),2)</f>
        <v>0</v>
      </c>
      <c r="E70" s="39" t="n">
        <f aca="false">ROUND(Y69*(1+N('My Debts'!$D$9)/12),2)</f>
        <v>0</v>
      </c>
      <c r="F70" s="39" t="n">
        <f aca="false">ROUND(Z69*(1+N('My Debts'!$D$10)/12),2)</f>
        <v>0</v>
      </c>
      <c r="G70" s="39" t="n">
        <f aca="false">ROUND(AA69*(1+N('My Debts'!$D$11)/12),2)</f>
        <v>0</v>
      </c>
      <c r="H70" s="39" t="n">
        <f aca="false">ROUND(AB69*(1+N('My Debts'!$D$12)/12),2)</f>
        <v>0</v>
      </c>
      <c r="I70" s="39" t="n">
        <f aca="false">ROUND(AC69*(1+N('My Debts'!$D$13)/12),2)</f>
        <v>0</v>
      </c>
      <c r="J70" s="39" t="n">
        <f aca="false">ROUND(AD69*(1+N('My Debts'!$D$14)/12),2)</f>
        <v>0</v>
      </c>
      <c r="K70" s="39" t="n">
        <f aca="false">ROUND(AE69*(1+N('My Debts'!$D$15)/12),2)</f>
        <v>0</v>
      </c>
      <c r="L70" s="39" t="n">
        <f aca="false">MIN(N('My Debts'!$E$6),B70)</f>
        <v>0</v>
      </c>
      <c r="M70" s="39" t="n">
        <f aca="false">MIN(N('My Debts'!$E$7),C70)</f>
        <v>0</v>
      </c>
      <c r="N70" s="39" t="n">
        <f aca="false">MIN(N('My Debts'!$E$8),D70)</f>
        <v>0</v>
      </c>
      <c r="O70" s="39" t="n">
        <f aca="false">MIN(N('My Debts'!$E$9),E70)</f>
        <v>0</v>
      </c>
      <c r="P70" s="39" t="n">
        <f aca="false">MIN(N('My Debts'!$E$10),F70)</f>
        <v>0</v>
      </c>
      <c r="Q70" s="39" t="n">
        <f aca="false">MIN(N('My Debts'!$E$11),G70)</f>
        <v>0</v>
      </c>
      <c r="R70" s="39" t="n">
        <f aca="false">MIN(N('My Debts'!$E$12),H70)</f>
        <v>0</v>
      </c>
      <c r="S70" s="39" t="n">
        <f aca="false">MIN(N('My Debts'!$E$13),I70)</f>
        <v>0</v>
      </c>
      <c r="T70" s="39" t="n">
        <f aca="false">MIN(N('My Debts'!$E$14),J70)</f>
        <v>0</v>
      </c>
      <c r="U70" s="39" t="n">
        <f aca="false">MIN(N('My Debts'!$E$15),K70)</f>
        <v>0</v>
      </c>
      <c r="V70" s="39" t="n">
        <f aca="false">ROUND(B70-L70-MIN(B70-L70,MAX(0,$AF70-SUMPRODUCT(--($B$4:$K$4&lt;B$4),$B70:$K70-$L70:$U70))),2)</f>
        <v>0</v>
      </c>
      <c r="W70" s="39" t="n">
        <f aca="false">ROUND(C70-M70-MIN(C70-M70,MAX(0,$AF70-SUMPRODUCT(--($B$4:$K$4&lt;C$4),$B70:$K70-$L70:$U70))),2)</f>
        <v>0</v>
      </c>
      <c r="X70" s="39" t="n">
        <f aca="false">ROUND(D70-N70-MIN(D70-N70,MAX(0,$AF70-SUMPRODUCT(--($B$4:$K$4&lt;D$4),$B70:$K70-$L70:$U70))),2)</f>
        <v>0</v>
      </c>
      <c r="Y70" s="39" t="n">
        <f aca="false">ROUND(E70-O70-MIN(E70-O70,MAX(0,$AF70-SUMPRODUCT(--($B$4:$K$4&lt;E$4),$B70:$K70-$L70:$U70))),2)</f>
        <v>0</v>
      </c>
      <c r="Z70" s="39" t="n">
        <f aca="false">ROUND(F70-P70-MIN(F70-P70,MAX(0,$AF70-SUMPRODUCT(--($B$4:$K$4&lt;F$4),$B70:$K70-$L70:$U70))),2)</f>
        <v>0</v>
      </c>
      <c r="AA70" s="39" t="n">
        <f aca="false">ROUND(G70-Q70-MIN(G70-Q70,MAX(0,$AF70-SUMPRODUCT(--($B$4:$K$4&lt;G$4),$B70:$K70-$L70:$U70))),2)</f>
        <v>0</v>
      </c>
      <c r="AB70" s="39" t="n">
        <f aca="false">ROUND(H70-R70-MIN(H70-R70,MAX(0,$AF70-SUMPRODUCT(--($B$4:$K$4&lt;H$4),$B70:$K70-$L70:$U70))),2)</f>
        <v>0</v>
      </c>
      <c r="AC70" s="39" t="n">
        <f aca="false">ROUND(I70-S70-MIN(I70-S70,MAX(0,$AF70-SUMPRODUCT(--($B$4:$K$4&lt;I$4),$B70:$K70-$L70:$U70))),2)</f>
        <v>0</v>
      </c>
      <c r="AD70" s="39" t="n">
        <f aca="false">ROUND(J70-T70-MIN(J70-T70,MAX(0,$AF70-SUMPRODUCT(--($B$4:$K$4&lt;J$4),$B70:$K70-$L70:$U70))),2)</f>
        <v>0</v>
      </c>
      <c r="AE70" s="39" t="n">
        <f aca="false">ROUND(K70-U70-MIN(K70-U70,MAX(0,$AF70-SUMPRODUCT(--($B$4:$K$4&lt;K$4),$B70:$K70-$L70:$U70))),2)</f>
        <v>0</v>
      </c>
      <c r="AF70" s="39" t="n">
        <f aca="false">MAX(0,'Start Here'!$C$5-SUM($L70:$U70))</f>
        <v>1200</v>
      </c>
      <c r="AG70" s="39" t="n">
        <f aca="false">SUM(V70:AE70)</f>
        <v>0</v>
      </c>
      <c r="AH70" s="39" t="n">
        <f aca="false">SUM(B70:K70)-AG69</f>
        <v>0</v>
      </c>
    </row>
    <row r="71" customFormat="false" ht="15" hidden="false" customHeight="false" outlineLevel="0" collapsed="false">
      <c r="A71" s="40" t="n">
        <f aca="false">DATE(YEAR('Start Here'!$C$6),MONTH('Start Here'!$C$6)+64,1)</f>
        <v>48245</v>
      </c>
      <c r="B71" s="39" t="n">
        <f aca="false">ROUND(V70*(1+N('My Debts'!$D$6)/12),2)</f>
        <v>0</v>
      </c>
      <c r="C71" s="39" t="n">
        <f aca="false">ROUND(W70*(1+N('My Debts'!$D$7)/12),2)</f>
        <v>0</v>
      </c>
      <c r="D71" s="39" t="n">
        <f aca="false">ROUND(X70*(1+N('My Debts'!$D$8)/12),2)</f>
        <v>0</v>
      </c>
      <c r="E71" s="39" t="n">
        <f aca="false">ROUND(Y70*(1+N('My Debts'!$D$9)/12),2)</f>
        <v>0</v>
      </c>
      <c r="F71" s="39" t="n">
        <f aca="false">ROUND(Z70*(1+N('My Debts'!$D$10)/12),2)</f>
        <v>0</v>
      </c>
      <c r="G71" s="39" t="n">
        <f aca="false">ROUND(AA70*(1+N('My Debts'!$D$11)/12),2)</f>
        <v>0</v>
      </c>
      <c r="H71" s="39" t="n">
        <f aca="false">ROUND(AB70*(1+N('My Debts'!$D$12)/12),2)</f>
        <v>0</v>
      </c>
      <c r="I71" s="39" t="n">
        <f aca="false">ROUND(AC70*(1+N('My Debts'!$D$13)/12),2)</f>
        <v>0</v>
      </c>
      <c r="J71" s="39" t="n">
        <f aca="false">ROUND(AD70*(1+N('My Debts'!$D$14)/12),2)</f>
        <v>0</v>
      </c>
      <c r="K71" s="39" t="n">
        <f aca="false">ROUND(AE70*(1+N('My Debts'!$D$15)/12),2)</f>
        <v>0</v>
      </c>
      <c r="L71" s="39" t="n">
        <f aca="false">MIN(N('My Debts'!$E$6),B71)</f>
        <v>0</v>
      </c>
      <c r="M71" s="39" t="n">
        <f aca="false">MIN(N('My Debts'!$E$7),C71)</f>
        <v>0</v>
      </c>
      <c r="N71" s="39" t="n">
        <f aca="false">MIN(N('My Debts'!$E$8),D71)</f>
        <v>0</v>
      </c>
      <c r="O71" s="39" t="n">
        <f aca="false">MIN(N('My Debts'!$E$9),E71)</f>
        <v>0</v>
      </c>
      <c r="P71" s="39" t="n">
        <f aca="false">MIN(N('My Debts'!$E$10),F71)</f>
        <v>0</v>
      </c>
      <c r="Q71" s="39" t="n">
        <f aca="false">MIN(N('My Debts'!$E$11),G71)</f>
        <v>0</v>
      </c>
      <c r="R71" s="39" t="n">
        <f aca="false">MIN(N('My Debts'!$E$12),H71)</f>
        <v>0</v>
      </c>
      <c r="S71" s="39" t="n">
        <f aca="false">MIN(N('My Debts'!$E$13),I71)</f>
        <v>0</v>
      </c>
      <c r="T71" s="39" t="n">
        <f aca="false">MIN(N('My Debts'!$E$14),J71)</f>
        <v>0</v>
      </c>
      <c r="U71" s="39" t="n">
        <f aca="false">MIN(N('My Debts'!$E$15),K71)</f>
        <v>0</v>
      </c>
      <c r="V71" s="39" t="n">
        <f aca="false">ROUND(B71-L71-MIN(B71-L71,MAX(0,$AF71-SUMPRODUCT(--($B$4:$K$4&lt;B$4),$B71:$K71-$L71:$U71))),2)</f>
        <v>0</v>
      </c>
      <c r="W71" s="39" t="n">
        <f aca="false">ROUND(C71-M71-MIN(C71-M71,MAX(0,$AF71-SUMPRODUCT(--($B$4:$K$4&lt;C$4),$B71:$K71-$L71:$U71))),2)</f>
        <v>0</v>
      </c>
      <c r="X71" s="39" t="n">
        <f aca="false">ROUND(D71-N71-MIN(D71-N71,MAX(0,$AF71-SUMPRODUCT(--($B$4:$K$4&lt;D$4),$B71:$K71-$L71:$U71))),2)</f>
        <v>0</v>
      </c>
      <c r="Y71" s="39" t="n">
        <f aca="false">ROUND(E71-O71-MIN(E71-O71,MAX(0,$AF71-SUMPRODUCT(--($B$4:$K$4&lt;E$4),$B71:$K71-$L71:$U71))),2)</f>
        <v>0</v>
      </c>
      <c r="Z71" s="39" t="n">
        <f aca="false">ROUND(F71-P71-MIN(F71-P71,MAX(0,$AF71-SUMPRODUCT(--($B$4:$K$4&lt;F$4),$B71:$K71-$L71:$U71))),2)</f>
        <v>0</v>
      </c>
      <c r="AA71" s="39" t="n">
        <f aca="false">ROUND(G71-Q71-MIN(G71-Q71,MAX(0,$AF71-SUMPRODUCT(--($B$4:$K$4&lt;G$4),$B71:$K71-$L71:$U71))),2)</f>
        <v>0</v>
      </c>
      <c r="AB71" s="39" t="n">
        <f aca="false">ROUND(H71-R71-MIN(H71-R71,MAX(0,$AF71-SUMPRODUCT(--($B$4:$K$4&lt;H$4),$B71:$K71-$L71:$U71))),2)</f>
        <v>0</v>
      </c>
      <c r="AC71" s="39" t="n">
        <f aca="false">ROUND(I71-S71-MIN(I71-S71,MAX(0,$AF71-SUMPRODUCT(--($B$4:$K$4&lt;I$4),$B71:$K71-$L71:$U71))),2)</f>
        <v>0</v>
      </c>
      <c r="AD71" s="39" t="n">
        <f aca="false">ROUND(J71-T71-MIN(J71-T71,MAX(0,$AF71-SUMPRODUCT(--($B$4:$K$4&lt;J$4),$B71:$K71-$L71:$U71))),2)</f>
        <v>0</v>
      </c>
      <c r="AE71" s="39" t="n">
        <f aca="false">ROUND(K71-U71-MIN(K71-U71,MAX(0,$AF71-SUMPRODUCT(--($B$4:$K$4&lt;K$4),$B71:$K71-$L71:$U71))),2)</f>
        <v>0</v>
      </c>
      <c r="AF71" s="39" t="n">
        <f aca="false">MAX(0,'Start Here'!$C$5-SUM($L71:$U71))</f>
        <v>1200</v>
      </c>
      <c r="AG71" s="39" t="n">
        <f aca="false">SUM(V71:AE71)</f>
        <v>0</v>
      </c>
      <c r="AH71" s="39" t="n">
        <f aca="false">SUM(B71:K71)-AG70</f>
        <v>0</v>
      </c>
    </row>
    <row r="72" customFormat="false" ht="15" hidden="false" customHeight="false" outlineLevel="0" collapsed="false">
      <c r="A72" s="40" t="n">
        <f aca="false">DATE(YEAR('Start Here'!$C$6),MONTH('Start Here'!$C$6)+65,1)</f>
        <v>48274</v>
      </c>
      <c r="B72" s="39" t="n">
        <f aca="false">ROUND(V71*(1+N('My Debts'!$D$6)/12),2)</f>
        <v>0</v>
      </c>
      <c r="C72" s="39" t="n">
        <f aca="false">ROUND(W71*(1+N('My Debts'!$D$7)/12),2)</f>
        <v>0</v>
      </c>
      <c r="D72" s="39" t="n">
        <f aca="false">ROUND(X71*(1+N('My Debts'!$D$8)/12),2)</f>
        <v>0</v>
      </c>
      <c r="E72" s="39" t="n">
        <f aca="false">ROUND(Y71*(1+N('My Debts'!$D$9)/12),2)</f>
        <v>0</v>
      </c>
      <c r="F72" s="39" t="n">
        <f aca="false">ROUND(Z71*(1+N('My Debts'!$D$10)/12),2)</f>
        <v>0</v>
      </c>
      <c r="G72" s="39" t="n">
        <f aca="false">ROUND(AA71*(1+N('My Debts'!$D$11)/12),2)</f>
        <v>0</v>
      </c>
      <c r="H72" s="39" t="n">
        <f aca="false">ROUND(AB71*(1+N('My Debts'!$D$12)/12),2)</f>
        <v>0</v>
      </c>
      <c r="I72" s="39" t="n">
        <f aca="false">ROUND(AC71*(1+N('My Debts'!$D$13)/12),2)</f>
        <v>0</v>
      </c>
      <c r="J72" s="39" t="n">
        <f aca="false">ROUND(AD71*(1+N('My Debts'!$D$14)/12),2)</f>
        <v>0</v>
      </c>
      <c r="K72" s="39" t="n">
        <f aca="false">ROUND(AE71*(1+N('My Debts'!$D$15)/12),2)</f>
        <v>0</v>
      </c>
      <c r="L72" s="39" t="n">
        <f aca="false">MIN(N('My Debts'!$E$6),B72)</f>
        <v>0</v>
      </c>
      <c r="M72" s="39" t="n">
        <f aca="false">MIN(N('My Debts'!$E$7),C72)</f>
        <v>0</v>
      </c>
      <c r="N72" s="39" t="n">
        <f aca="false">MIN(N('My Debts'!$E$8),D72)</f>
        <v>0</v>
      </c>
      <c r="O72" s="39" t="n">
        <f aca="false">MIN(N('My Debts'!$E$9),E72)</f>
        <v>0</v>
      </c>
      <c r="P72" s="39" t="n">
        <f aca="false">MIN(N('My Debts'!$E$10),F72)</f>
        <v>0</v>
      </c>
      <c r="Q72" s="39" t="n">
        <f aca="false">MIN(N('My Debts'!$E$11),G72)</f>
        <v>0</v>
      </c>
      <c r="R72" s="39" t="n">
        <f aca="false">MIN(N('My Debts'!$E$12),H72)</f>
        <v>0</v>
      </c>
      <c r="S72" s="39" t="n">
        <f aca="false">MIN(N('My Debts'!$E$13),I72)</f>
        <v>0</v>
      </c>
      <c r="T72" s="39" t="n">
        <f aca="false">MIN(N('My Debts'!$E$14),J72)</f>
        <v>0</v>
      </c>
      <c r="U72" s="39" t="n">
        <f aca="false">MIN(N('My Debts'!$E$15),K72)</f>
        <v>0</v>
      </c>
      <c r="V72" s="39" t="n">
        <f aca="false">ROUND(B72-L72-MIN(B72-L72,MAX(0,$AF72-SUMPRODUCT(--($B$4:$K$4&lt;B$4),$B72:$K72-$L72:$U72))),2)</f>
        <v>0</v>
      </c>
      <c r="W72" s="39" t="n">
        <f aca="false">ROUND(C72-M72-MIN(C72-M72,MAX(0,$AF72-SUMPRODUCT(--($B$4:$K$4&lt;C$4),$B72:$K72-$L72:$U72))),2)</f>
        <v>0</v>
      </c>
      <c r="X72" s="39" t="n">
        <f aca="false">ROUND(D72-N72-MIN(D72-N72,MAX(0,$AF72-SUMPRODUCT(--($B$4:$K$4&lt;D$4),$B72:$K72-$L72:$U72))),2)</f>
        <v>0</v>
      </c>
      <c r="Y72" s="39" t="n">
        <f aca="false">ROUND(E72-O72-MIN(E72-O72,MAX(0,$AF72-SUMPRODUCT(--($B$4:$K$4&lt;E$4),$B72:$K72-$L72:$U72))),2)</f>
        <v>0</v>
      </c>
      <c r="Z72" s="39" t="n">
        <f aca="false">ROUND(F72-P72-MIN(F72-P72,MAX(0,$AF72-SUMPRODUCT(--($B$4:$K$4&lt;F$4),$B72:$K72-$L72:$U72))),2)</f>
        <v>0</v>
      </c>
      <c r="AA72" s="39" t="n">
        <f aca="false">ROUND(G72-Q72-MIN(G72-Q72,MAX(0,$AF72-SUMPRODUCT(--($B$4:$K$4&lt;G$4),$B72:$K72-$L72:$U72))),2)</f>
        <v>0</v>
      </c>
      <c r="AB72" s="39" t="n">
        <f aca="false">ROUND(H72-R72-MIN(H72-R72,MAX(0,$AF72-SUMPRODUCT(--($B$4:$K$4&lt;H$4),$B72:$K72-$L72:$U72))),2)</f>
        <v>0</v>
      </c>
      <c r="AC72" s="39" t="n">
        <f aca="false">ROUND(I72-S72-MIN(I72-S72,MAX(0,$AF72-SUMPRODUCT(--($B$4:$K$4&lt;I$4),$B72:$K72-$L72:$U72))),2)</f>
        <v>0</v>
      </c>
      <c r="AD72" s="39" t="n">
        <f aca="false">ROUND(J72-T72-MIN(J72-T72,MAX(0,$AF72-SUMPRODUCT(--($B$4:$K$4&lt;J$4),$B72:$K72-$L72:$U72))),2)</f>
        <v>0</v>
      </c>
      <c r="AE72" s="39" t="n">
        <f aca="false">ROUND(K72-U72-MIN(K72-U72,MAX(0,$AF72-SUMPRODUCT(--($B$4:$K$4&lt;K$4),$B72:$K72-$L72:$U72))),2)</f>
        <v>0</v>
      </c>
      <c r="AF72" s="39" t="n">
        <f aca="false">MAX(0,'Start Here'!$C$5-SUM($L72:$U72))</f>
        <v>1200</v>
      </c>
      <c r="AG72" s="39" t="n">
        <f aca="false">SUM(V72:AE72)</f>
        <v>0</v>
      </c>
      <c r="AH72" s="39" t="n">
        <f aca="false">SUM(B72:K72)-AG71</f>
        <v>0</v>
      </c>
    </row>
    <row r="73" customFormat="false" ht="15" hidden="false" customHeight="false" outlineLevel="0" collapsed="false">
      <c r="A73" s="40" t="n">
        <f aca="false">DATE(YEAR('Start Here'!$C$6),MONTH('Start Here'!$C$6)+66,1)</f>
        <v>48305</v>
      </c>
      <c r="B73" s="39" t="n">
        <f aca="false">ROUND(V72*(1+N('My Debts'!$D$6)/12),2)</f>
        <v>0</v>
      </c>
      <c r="C73" s="39" t="n">
        <f aca="false">ROUND(W72*(1+N('My Debts'!$D$7)/12),2)</f>
        <v>0</v>
      </c>
      <c r="D73" s="39" t="n">
        <f aca="false">ROUND(X72*(1+N('My Debts'!$D$8)/12),2)</f>
        <v>0</v>
      </c>
      <c r="E73" s="39" t="n">
        <f aca="false">ROUND(Y72*(1+N('My Debts'!$D$9)/12),2)</f>
        <v>0</v>
      </c>
      <c r="F73" s="39" t="n">
        <f aca="false">ROUND(Z72*(1+N('My Debts'!$D$10)/12),2)</f>
        <v>0</v>
      </c>
      <c r="G73" s="39" t="n">
        <f aca="false">ROUND(AA72*(1+N('My Debts'!$D$11)/12),2)</f>
        <v>0</v>
      </c>
      <c r="H73" s="39" t="n">
        <f aca="false">ROUND(AB72*(1+N('My Debts'!$D$12)/12),2)</f>
        <v>0</v>
      </c>
      <c r="I73" s="39" t="n">
        <f aca="false">ROUND(AC72*(1+N('My Debts'!$D$13)/12),2)</f>
        <v>0</v>
      </c>
      <c r="J73" s="39" t="n">
        <f aca="false">ROUND(AD72*(1+N('My Debts'!$D$14)/12),2)</f>
        <v>0</v>
      </c>
      <c r="K73" s="39" t="n">
        <f aca="false">ROUND(AE72*(1+N('My Debts'!$D$15)/12),2)</f>
        <v>0</v>
      </c>
      <c r="L73" s="39" t="n">
        <f aca="false">MIN(N('My Debts'!$E$6),B73)</f>
        <v>0</v>
      </c>
      <c r="M73" s="39" t="n">
        <f aca="false">MIN(N('My Debts'!$E$7),C73)</f>
        <v>0</v>
      </c>
      <c r="N73" s="39" t="n">
        <f aca="false">MIN(N('My Debts'!$E$8),D73)</f>
        <v>0</v>
      </c>
      <c r="O73" s="39" t="n">
        <f aca="false">MIN(N('My Debts'!$E$9),E73)</f>
        <v>0</v>
      </c>
      <c r="P73" s="39" t="n">
        <f aca="false">MIN(N('My Debts'!$E$10),F73)</f>
        <v>0</v>
      </c>
      <c r="Q73" s="39" t="n">
        <f aca="false">MIN(N('My Debts'!$E$11),G73)</f>
        <v>0</v>
      </c>
      <c r="R73" s="39" t="n">
        <f aca="false">MIN(N('My Debts'!$E$12),H73)</f>
        <v>0</v>
      </c>
      <c r="S73" s="39" t="n">
        <f aca="false">MIN(N('My Debts'!$E$13),I73)</f>
        <v>0</v>
      </c>
      <c r="T73" s="39" t="n">
        <f aca="false">MIN(N('My Debts'!$E$14),J73)</f>
        <v>0</v>
      </c>
      <c r="U73" s="39" t="n">
        <f aca="false">MIN(N('My Debts'!$E$15),K73)</f>
        <v>0</v>
      </c>
      <c r="V73" s="39" t="n">
        <f aca="false">ROUND(B73-L73-MIN(B73-L73,MAX(0,$AF73-SUMPRODUCT(--($B$4:$K$4&lt;B$4),$B73:$K73-$L73:$U73))),2)</f>
        <v>0</v>
      </c>
      <c r="W73" s="39" t="n">
        <f aca="false">ROUND(C73-M73-MIN(C73-M73,MAX(0,$AF73-SUMPRODUCT(--($B$4:$K$4&lt;C$4),$B73:$K73-$L73:$U73))),2)</f>
        <v>0</v>
      </c>
      <c r="X73" s="39" t="n">
        <f aca="false">ROUND(D73-N73-MIN(D73-N73,MAX(0,$AF73-SUMPRODUCT(--($B$4:$K$4&lt;D$4),$B73:$K73-$L73:$U73))),2)</f>
        <v>0</v>
      </c>
      <c r="Y73" s="39" t="n">
        <f aca="false">ROUND(E73-O73-MIN(E73-O73,MAX(0,$AF73-SUMPRODUCT(--($B$4:$K$4&lt;E$4),$B73:$K73-$L73:$U73))),2)</f>
        <v>0</v>
      </c>
      <c r="Z73" s="39" t="n">
        <f aca="false">ROUND(F73-P73-MIN(F73-P73,MAX(0,$AF73-SUMPRODUCT(--($B$4:$K$4&lt;F$4),$B73:$K73-$L73:$U73))),2)</f>
        <v>0</v>
      </c>
      <c r="AA73" s="39" t="n">
        <f aca="false">ROUND(G73-Q73-MIN(G73-Q73,MAX(0,$AF73-SUMPRODUCT(--($B$4:$K$4&lt;G$4),$B73:$K73-$L73:$U73))),2)</f>
        <v>0</v>
      </c>
      <c r="AB73" s="39" t="n">
        <f aca="false">ROUND(H73-R73-MIN(H73-R73,MAX(0,$AF73-SUMPRODUCT(--($B$4:$K$4&lt;H$4),$B73:$K73-$L73:$U73))),2)</f>
        <v>0</v>
      </c>
      <c r="AC73" s="39" t="n">
        <f aca="false">ROUND(I73-S73-MIN(I73-S73,MAX(0,$AF73-SUMPRODUCT(--($B$4:$K$4&lt;I$4),$B73:$K73-$L73:$U73))),2)</f>
        <v>0</v>
      </c>
      <c r="AD73" s="39" t="n">
        <f aca="false">ROUND(J73-T73-MIN(J73-T73,MAX(0,$AF73-SUMPRODUCT(--($B$4:$K$4&lt;J$4),$B73:$K73-$L73:$U73))),2)</f>
        <v>0</v>
      </c>
      <c r="AE73" s="39" t="n">
        <f aca="false">ROUND(K73-U73-MIN(K73-U73,MAX(0,$AF73-SUMPRODUCT(--($B$4:$K$4&lt;K$4),$B73:$K73-$L73:$U73))),2)</f>
        <v>0</v>
      </c>
      <c r="AF73" s="39" t="n">
        <f aca="false">MAX(0,'Start Here'!$C$5-SUM($L73:$U73))</f>
        <v>1200</v>
      </c>
      <c r="AG73" s="39" t="n">
        <f aca="false">SUM(V73:AE73)</f>
        <v>0</v>
      </c>
      <c r="AH73" s="39" t="n">
        <f aca="false">SUM(B73:K73)-AG72</f>
        <v>0</v>
      </c>
    </row>
    <row r="74" customFormat="false" ht="15" hidden="false" customHeight="false" outlineLevel="0" collapsed="false">
      <c r="A74" s="40" t="n">
        <f aca="false">DATE(YEAR('Start Here'!$C$6),MONTH('Start Here'!$C$6)+67,1)</f>
        <v>48335</v>
      </c>
      <c r="B74" s="39" t="n">
        <f aca="false">ROUND(V73*(1+N('My Debts'!$D$6)/12),2)</f>
        <v>0</v>
      </c>
      <c r="C74" s="39" t="n">
        <f aca="false">ROUND(W73*(1+N('My Debts'!$D$7)/12),2)</f>
        <v>0</v>
      </c>
      <c r="D74" s="39" t="n">
        <f aca="false">ROUND(X73*(1+N('My Debts'!$D$8)/12),2)</f>
        <v>0</v>
      </c>
      <c r="E74" s="39" t="n">
        <f aca="false">ROUND(Y73*(1+N('My Debts'!$D$9)/12),2)</f>
        <v>0</v>
      </c>
      <c r="F74" s="39" t="n">
        <f aca="false">ROUND(Z73*(1+N('My Debts'!$D$10)/12),2)</f>
        <v>0</v>
      </c>
      <c r="G74" s="39" t="n">
        <f aca="false">ROUND(AA73*(1+N('My Debts'!$D$11)/12),2)</f>
        <v>0</v>
      </c>
      <c r="H74" s="39" t="n">
        <f aca="false">ROUND(AB73*(1+N('My Debts'!$D$12)/12),2)</f>
        <v>0</v>
      </c>
      <c r="I74" s="39" t="n">
        <f aca="false">ROUND(AC73*(1+N('My Debts'!$D$13)/12),2)</f>
        <v>0</v>
      </c>
      <c r="J74" s="39" t="n">
        <f aca="false">ROUND(AD73*(1+N('My Debts'!$D$14)/12),2)</f>
        <v>0</v>
      </c>
      <c r="K74" s="39" t="n">
        <f aca="false">ROUND(AE73*(1+N('My Debts'!$D$15)/12),2)</f>
        <v>0</v>
      </c>
      <c r="L74" s="39" t="n">
        <f aca="false">MIN(N('My Debts'!$E$6),B74)</f>
        <v>0</v>
      </c>
      <c r="M74" s="39" t="n">
        <f aca="false">MIN(N('My Debts'!$E$7),C74)</f>
        <v>0</v>
      </c>
      <c r="N74" s="39" t="n">
        <f aca="false">MIN(N('My Debts'!$E$8),D74)</f>
        <v>0</v>
      </c>
      <c r="O74" s="39" t="n">
        <f aca="false">MIN(N('My Debts'!$E$9),E74)</f>
        <v>0</v>
      </c>
      <c r="P74" s="39" t="n">
        <f aca="false">MIN(N('My Debts'!$E$10),F74)</f>
        <v>0</v>
      </c>
      <c r="Q74" s="39" t="n">
        <f aca="false">MIN(N('My Debts'!$E$11),G74)</f>
        <v>0</v>
      </c>
      <c r="R74" s="39" t="n">
        <f aca="false">MIN(N('My Debts'!$E$12),H74)</f>
        <v>0</v>
      </c>
      <c r="S74" s="39" t="n">
        <f aca="false">MIN(N('My Debts'!$E$13),I74)</f>
        <v>0</v>
      </c>
      <c r="T74" s="39" t="n">
        <f aca="false">MIN(N('My Debts'!$E$14),J74)</f>
        <v>0</v>
      </c>
      <c r="U74" s="39" t="n">
        <f aca="false">MIN(N('My Debts'!$E$15),K74)</f>
        <v>0</v>
      </c>
      <c r="V74" s="39" t="n">
        <f aca="false">ROUND(B74-L74-MIN(B74-L74,MAX(0,$AF74-SUMPRODUCT(--($B$4:$K$4&lt;B$4),$B74:$K74-$L74:$U74))),2)</f>
        <v>0</v>
      </c>
      <c r="W74" s="39" t="n">
        <f aca="false">ROUND(C74-M74-MIN(C74-M74,MAX(0,$AF74-SUMPRODUCT(--($B$4:$K$4&lt;C$4),$B74:$K74-$L74:$U74))),2)</f>
        <v>0</v>
      </c>
      <c r="X74" s="39" t="n">
        <f aca="false">ROUND(D74-N74-MIN(D74-N74,MAX(0,$AF74-SUMPRODUCT(--($B$4:$K$4&lt;D$4),$B74:$K74-$L74:$U74))),2)</f>
        <v>0</v>
      </c>
      <c r="Y74" s="39" t="n">
        <f aca="false">ROUND(E74-O74-MIN(E74-O74,MAX(0,$AF74-SUMPRODUCT(--($B$4:$K$4&lt;E$4),$B74:$K74-$L74:$U74))),2)</f>
        <v>0</v>
      </c>
      <c r="Z74" s="39" t="n">
        <f aca="false">ROUND(F74-P74-MIN(F74-P74,MAX(0,$AF74-SUMPRODUCT(--($B$4:$K$4&lt;F$4),$B74:$K74-$L74:$U74))),2)</f>
        <v>0</v>
      </c>
      <c r="AA74" s="39" t="n">
        <f aca="false">ROUND(G74-Q74-MIN(G74-Q74,MAX(0,$AF74-SUMPRODUCT(--($B$4:$K$4&lt;G$4),$B74:$K74-$L74:$U74))),2)</f>
        <v>0</v>
      </c>
      <c r="AB74" s="39" t="n">
        <f aca="false">ROUND(H74-R74-MIN(H74-R74,MAX(0,$AF74-SUMPRODUCT(--($B$4:$K$4&lt;H$4),$B74:$K74-$L74:$U74))),2)</f>
        <v>0</v>
      </c>
      <c r="AC74" s="39" t="n">
        <f aca="false">ROUND(I74-S74-MIN(I74-S74,MAX(0,$AF74-SUMPRODUCT(--($B$4:$K$4&lt;I$4),$B74:$K74-$L74:$U74))),2)</f>
        <v>0</v>
      </c>
      <c r="AD74" s="39" t="n">
        <f aca="false">ROUND(J74-T74-MIN(J74-T74,MAX(0,$AF74-SUMPRODUCT(--($B$4:$K$4&lt;J$4),$B74:$K74-$L74:$U74))),2)</f>
        <v>0</v>
      </c>
      <c r="AE74" s="39" t="n">
        <f aca="false">ROUND(K74-U74-MIN(K74-U74,MAX(0,$AF74-SUMPRODUCT(--($B$4:$K$4&lt;K$4),$B74:$K74-$L74:$U74))),2)</f>
        <v>0</v>
      </c>
      <c r="AF74" s="39" t="n">
        <f aca="false">MAX(0,'Start Here'!$C$5-SUM($L74:$U74))</f>
        <v>1200</v>
      </c>
      <c r="AG74" s="39" t="n">
        <f aca="false">SUM(V74:AE74)</f>
        <v>0</v>
      </c>
      <c r="AH74" s="39" t="n">
        <f aca="false">SUM(B74:K74)-AG73</f>
        <v>0</v>
      </c>
    </row>
    <row r="75" customFormat="false" ht="15" hidden="false" customHeight="false" outlineLevel="0" collapsed="false">
      <c r="A75" s="40" t="n">
        <f aca="false">DATE(YEAR('Start Here'!$C$6),MONTH('Start Here'!$C$6)+68,1)</f>
        <v>48366</v>
      </c>
      <c r="B75" s="39" t="n">
        <f aca="false">ROUND(V74*(1+N('My Debts'!$D$6)/12),2)</f>
        <v>0</v>
      </c>
      <c r="C75" s="39" t="n">
        <f aca="false">ROUND(W74*(1+N('My Debts'!$D$7)/12),2)</f>
        <v>0</v>
      </c>
      <c r="D75" s="39" t="n">
        <f aca="false">ROUND(X74*(1+N('My Debts'!$D$8)/12),2)</f>
        <v>0</v>
      </c>
      <c r="E75" s="39" t="n">
        <f aca="false">ROUND(Y74*(1+N('My Debts'!$D$9)/12),2)</f>
        <v>0</v>
      </c>
      <c r="F75" s="39" t="n">
        <f aca="false">ROUND(Z74*(1+N('My Debts'!$D$10)/12),2)</f>
        <v>0</v>
      </c>
      <c r="G75" s="39" t="n">
        <f aca="false">ROUND(AA74*(1+N('My Debts'!$D$11)/12),2)</f>
        <v>0</v>
      </c>
      <c r="H75" s="39" t="n">
        <f aca="false">ROUND(AB74*(1+N('My Debts'!$D$12)/12),2)</f>
        <v>0</v>
      </c>
      <c r="I75" s="39" t="n">
        <f aca="false">ROUND(AC74*(1+N('My Debts'!$D$13)/12),2)</f>
        <v>0</v>
      </c>
      <c r="J75" s="39" t="n">
        <f aca="false">ROUND(AD74*(1+N('My Debts'!$D$14)/12),2)</f>
        <v>0</v>
      </c>
      <c r="K75" s="39" t="n">
        <f aca="false">ROUND(AE74*(1+N('My Debts'!$D$15)/12),2)</f>
        <v>0</v>
      </c>
      <c r="L75" s="39" t="n">
        <f aca="false">MIN(N('My Debts'!$E$6),B75)</f>
        <v>0</v>
      </c>
      <c r="M75" s="39" t="n">
        <f aca="false">MIN(N('My Debts'!$E$7),C75)</f>
        <v>0</v>
      </c>
      <c r="N75" s="39" t="n">
        <f aca="false">MIN(N('My Debts'!$E$8),D75)</f>
        <v>0</v>
      </c>
      <c r="O75" s="39" t="n">
        <f aca="false">MIN(N('My Debts'!$E$9),E75)</f>
        <v>0</v>
      </c>
      <c r="P75" s="39" t="n">
        <f aca="false">MIN(N('My Debts'!$E$10),F75)</f>
        <v>0</v>
      </c>
      <c r="Q75" s="39" t="n">
        <f aca="false">MIN(N('My Debts'!$E$11),G75)</f>
        <v>0</v>
      </c>
      <c r="R75" s="39" t="n">
        <f aca="false">MIN(N('My Debts'!$E$12),H75)</f>
        <v>0</v>
      </c>
      <c r="S75" s="39" t="n">
        <f aca="false">MIN(N('My Debts'!$E$13),I75)</f>
        <v>0</v>
      </c>
      <c r="T75" s="39" t="n">
        <f aca="false">MIN(N('My Debts'!$E$14),J75)</f>
        <v>0</v>
      </c>
      <c r="U75" s="39" t="n">
        <f aca="false">MIN(N('My Debts'!$E$15),K75)</f>
        <v>0</v>
      </c>
      <c r="V75" s="39" t="n">
        <f aca="false">ROUND(B75-L75-MIN(B75-L75,MAX(0,$AF75-SUMPRODUCT(--($B$4:$K$4&lt;B$4),$B75:$K75-$L75:$U75))),2)</f>
        <v>0</v>
      </c>
      <c r="W75" s="39" t="n">
        <f aca="false">ROUND(C75-M75-MIN(C75-M75,MAX(0,$AF75-SUMPRODUCT(--($B$4:$K$4&lt;C$4),$B75:$K75-$L75:$U75))),2)</f>
        <v>0</v>
      </c>
      <c r="X75" s="39" t="n">
        <f aca="false">ROUND(D75-N75-MIN(D75-N75,MAX(0,$AF75-SUMPRODUCT(--($B$4:$K$4&lt;D$4),$B75:$K75-$L75:$U75))),2)</f>
        <v>0</v>
      </c>
      <c r="Y75" s="39" t="n">
        <f aca="false">ROUND(E75-O75-MIN(E75-O75,MAX(0,$AF75-SUMPRODUCT(--($B$4:$K$4&lt;E$4),$B75:$K75-$L75:$U75))),2)</f>
        <v>0</v>
      </c>
      <c r="Z75" s="39" t="n">
        <f aca="false">ROUND(F75-P75-MIN(F75-P75,MAX(0,$AF75-SUMPRODUCT(--($B$4:$K$4&lt;F$4),$B75:$K75-$L75:$U75))),2)</f>
        <v>0</v>
      </c>
      <c r="AA75" s="39" t="n">
        <f aca="false">ROUND(G75-Q75-MIN(G75-Q75,MAX(0,$AF75-SUMPRODUCT(--($B$4:$K$4&lt;G$4),$B75:$K75-$L75:$U75))),2)</f>
        <v>0</v>
      </c>
      <c r="AB75" s="39" t="n">
        <f aca="false">ROUND(H75-R75-MIN(H75-R75,MAX(0,$AF75-SUMPRODUCT(--($B$4:$K$4&lt;H$4),$B75:$K75-$L75:$U75))),2)</f>
        <v>0</v>
      </c>
      <c r="AC75" s="39" t="n">
        <f aca="false">ROUND(I75-S75-MIN(I75-S75,MAX(0,$AF75-SUMPRODUCT(--($B$4:$K$4&lt;I$4),$B75:$K75-$L75:$U75))),2)</f>
        <v>0</v>
      </c>
      <c r="AD75" s="39" t="n">
        <f aca="false">ROUND(J75-T75-MIN(J75-T75,MAX(0,$AF75-SUMPRODUCT(--($B$4:$K$4&lt;J$4),$B75:$K75-$L75:$U75))),2)</f>
        <v>0</v>
      </c>
      <c r="AE75" s="39" t="n">
        <f aca="false">ROUND(K75-U75-MIN(K75-U75,MAX(0,$AF75-SUMPRODUCT(--($B$4:$K$4&lt;K$4),$B75:$K75-$L75:$U75))),2)</f>
        <v>0</v>
      </c>
      <c r="AF75" s="39" t="n">
        <f aca="false">MAX(0,'Start Here'!$C$5-SUM($L75:$U75))</f>
        <v>1200</v>
      </c>
      <c r="AG75" s="39" t="n">
        <f aca="false">SUM(V75:AE75)</f>
        <v>0</v>
      </c>
      <c r="AH75" s="39" t="n">
        <f aca="false">SUM(B75:K75)-AG74</f>
        <v>0</v>
      </c>
    </row>
    <row r="76" customFormat="false" ht="15" hidden="false" customHeight="false" outlineLevel="0" collapsed="false">
      <c r="A76" s="40" t="n">
        <f aca="false">DATE(YEAR('Start Here'!$C$6),MONTH('Start Here'!$C$6)+69,1)</f>
        <v>48396</v>
      </c>
      <c r="B76" s="39" t="n">
        <f aca="false">ROUND(V75*(1+N('My Debts'!$D$6)/12),2)</f>
        <v>0</v>
      </c>
      <c r="C76" s="39" t="n">
        <f aca="false">ROUND(W75*(1+N('My Debts'!$D$7)/12),2)</f>
        <v>0</v>
      </c>
      <c r="D76" s="39" t="n">
        <f aca="false">ROUND(X75*(1+N('My Debts'!$D$8)/12),2)</f>
        <v>0</v>
      </c>
      <c r="E76" s="39" t="n">
        <f aca="false">ROUND(Y75*(1+N('My Debts'!$D$9)/12),2)</f>
        <v>0</v>
      </c>
      <c r="F76" s="39" t="n">
        <f aca="false">ROUND(Z75*(1+N('My Debts'!$D$10)/12),2)</f>
        <v>0</v>
      </c>
      <c r="G76" s="39" t="n">
        <f aca="false">ROUND(AA75*(1+N('My Debts'!$D$11)/12),2)</f>
        <v>0</v>
      </c>
      <c r="H76" s="39" t="n">
        <f aca="false">ROUND(AB75*(1+N('My Debts'!$D$12)/12),2)</f>
        <v>0</v>
      </c>
      <c r="I76" s="39" t="n">
        <f aca="false">ROUND(AC75*(1+N('My Debts'!$D$13)/12),2)</f>
        <v>0</v>
      </c>
      <c r="J76" s="39" t="n">
        <f aca="false">ROUND(AD75*(1+N('My Debts'!$D$14)/12),2)</f>
        <v>0</v>
      </c>
      <c r="K76" s="39" t="n">
        <f aca="false">ROUND(AE75*(1+N('My Debts'!$D$15)/12),2)</f>
        <v>0</v>
      </c>
      <c r="L76" s="39" t="n">
        <f aca="false">MIN(N('My Debts'!$E$6),B76)</f>
        <v>0</v>
      </c>
      <c r="M76" s="39" t="n">
        <f aca="false">MIN(N('My Debts'!$E$7),C76)</f>
        <v>0</v>
      </c>
      <c r="N76" s="39" t="n">
        <f aca="false">MIN(N('My Debts'!$E$8),D76)</f>
        <v>0</v>
      </c>
      <c r="O76" s="39" t="n">
        <f aca="false">MIN(N('My Debts'!$E$9),E76)</f>
        <v>0</v>
      </c>
      <c r="P76" s="39" t="n">
        <f aca="false">MIN(N('My Debts'!$E$10),F76)</f>
        <v>0</v>
      </c>
      <c r="Q76" s="39" t="n">
        <f aca="false">MIN(N('My Debts'!$E$11),G76)</f>
        <v>0</v>
      </c>
      <c r="R76" s="39" t="n">
        <f aca="false">MIN(N('My Debts'!$E$12),H76)</f>
        <v>0</v>
      </c>
      <c r="S76" s="39" t="n">
        <f aca="false">MIN(N('My Debts'!$E$13),I76)</f>
        <v>0</v>
      </c>
      <c r="T76" s="39" t="n">
        <f aca="false">MIN(N('My Debts'!$E$14),J76)</f>
        <v>0</v>
      </c>
      <c r="U76" s="39" t="n">
        <f aca="false">MIN(N('My Debts'!$E$15),K76)</f>
        <v>0</v>
      </c>
      <c r="V76" s="39" t="n">
        <f aca="false">ROUND(B76-L76-MIN(B76-L76,MAX(0,$AF76-SUMPRODUCT(--($B$4:$K$4&lt;B$4),$B76:$K76-$L76:$U76))),2)</f>
        <v>0</v>
      </c>
      <c r="W76" s="39" t="n">
        <f aca="false">ROUND(C76-M76-MIN(C76-M76,MAX(0,$AF76-SUMPRODUCT(--($B$4:$K$4&lt;C$4),$B76:$K76-$L76:$U76))),2)</f>
        <v>0</v>
      </c>
      <c r="X76" s="39" t="n">
        <f aca="false">ROUND(D76-N76-MIN(D76-N76,MAX(0,$AF76-SUMPRODUCT(--($B$4:$K$4&lt;D$4),$B76:$K76-$L76:$U76))),2)</f>
        <v>0</v>
      </c>
      <c r="Y76" s="39" t="n">
        <f aca="false">ROUND(E76-O76-MIN(E76-O76,MAX(0,$AF76-SUMPRODUCT(--($B$4:$K$4&lt;E$4),$B76:$K76-$L76:$U76))),2)</f>
        <v>0</v>
      </c>
      <c r="Z76" s="39" t="n">
        <f aca="false">ROUND(F76-P76-MIN(F76-P76,MAX(0,$AF76-SUMPRODUCT(--($B$4:$K$4&lt;F$4),$B76:$K76-$L76:$U76))),2)</f>
        <v>0</v>
      </c>
      <c r="AA76" s="39" t="n">
        <f aca="false">ROUND(G76-Q76-MIN(G76-Q76,MAX(0,$AF76-SUMPRODUCT(--($B$4:$K$4&lt;G$4),$B76:$K76-$L76:$U76))),2)</f>
        <v>0</v>
      </c>
      <c r="AB76" s="39" t="n">
        <f aca="false">ROUND(H76-R76-MIN(H76-R76,MAX(0,$AF76-SUMPRODUCT(--($B$4:$K$4&lt;H$4),$B76:$K76-$L76:$U76))),2)</f>
        <v>0</v>
      </c>
      <c r="AC76" s="39" t="n">
        <f aca="false">ROUND(I76-S76-MIN(I76-S76,MAX(0,$AF76-SUMPRODUCT(--($B$4:$K$4&lt;I$4),$B76:$K76-$L76:$U76))),2)</f>
        <v>0</v>
      </c>
      <c r="AD76" s="39" t="n">
        <f aca="false">ROUND(J76-T76-MIN(J76-T76,MAX(0,$AF76-SUMPRODUCT(--($B$4:$K$4&lt;J$4),$B76:$K76-$L76:$U76))),2)</f>
        <v>0</v>
      </c>
      <c r="AE76" s="39" t="n">
        <f aca="false">ROUND(K76-U76-MIN(K76-U76,MAX(0,$AF76-SUMPRODUCT(--($B$4:$K$4&lt;K$4),$B76:$K76-$L76:$U76))),2)</f>
        <v>0</v>
      </c>
      <c r="AF76" s="39" t="n">
        <f aca="false">MAX(0,'Start Here'!$C$5-SUM($L76:$U76))</f>
        <v>1200</v>
      </c>
      <c r="AG76" s="39" t="n">
        <f aca="false">SUM(V76:AE76)</f>
        <v>0</v>
      </c>
      <c r="AH76" s="39" t="n">
        <f aca="false">SUM(B76:K76)-AG75</f>
        <v>0</v>
      </c>
    </row>
    <row r="77" customFormat="false" ht="15" hidden="false" customHeight="false" outlineLevel="0" collapsed="false">
      <c r="A77" s="40" t="n">
        <f aca="false">DATE(YEAR('Start Here'!$C$6),MONTH('Start Here'!$C$6)+70,1)</f>
        <v>48427</v>
      </c>
      <c r="B77" s="39" t="n">
        <f aca="false">ROUND(V76*(1+N('My Debts'!$D$6)/12),2)</f>
        <v>0</v>
      </c>
      <c r="C77" s="39" t="n">
        <f aca="false">ROUND(W76*(1+N('My Debts'!$D$7)/12),2)</f>
        <v>0</v>
      </c>
      <c r="D77" s="39" t="n">
        <f aca="false">ROUND(X76*(1+N('My Debts'!$D$8)/12),2)</f>
        <v>0</v>
      </c>
      <c r="E77" s="39" t="n">
        <f aca="false">ROUND(Y76*(1+N('My Debts'!$D$9)/12),2)</f>
        <v>0</v>
      </c>
      <c r="F77" s="39" t="n">
        <f aca="false">ROUND(Z76*(1+N('My Debts'!$D$10)/12),2)</f>
        <v>0</v>
      </c>
      <c r="G77" s="39" t="n">
        <f aca="false">ROUND(AA76*(1+N('My Debts'!$D$11)/12),2)</f>
        <v>0</v>
      </c>
      <c r="H77" s="39" t="n">
        <f aca="false">ROUND(AB76*(1+N('My Debts'!$D$12)/12),2)</f>
        <v>0</v>
      </c>
      <c r="I77" s="39" t="n">
        <f aca="false">ROUND(AC76*(1+N('My Debts'!$D$13)/12),2)</f>
        <v>0</v>
      </c>
      <c r="J77" s="39" t="n">
        <f aca="false">ROUND(AD76*(1+N('My Debts'!$D$14)/12),2)</f>
        <v>0</v>
      </c>
      <c r="K77" s="39" t="n">
        <f aca="false">ROUND(AE76*(1+N('My Debts'!$D$15)/12),2)</f>
        <v>0</v>
      </c>
      <c r="L77" s="39" t="n">
        <f aca="false">MIN(N('My Debts'!$E$6),B77)</f>
        <v>0</v>
      </c>
      <c r="M77" s="39" t="n">
        <f aca="false">MIN(N('My Debts'!$E$7),C77)</f>
        <v>0</v>
      </c>
      <c r="N77" s="39" t="n">
        <f aca="false">MIN(N('My Debts'!$E$8),D77)</f>
        <v>0</v>
      </c>
      <c r="O77" s="39" t="n">
        <f aca="false">MIN(N('My Debts'!$E$9),E77)</f>
        <v>0</v>
      </c>
      <c r="P77" s="39" t="n">
        <f aca="false">MIN(N('My Debts'!$E$10),F77)</f>
        <v>0</v>
      </c>
      <c r="Q77" s="39" t="n">
        <f aca="false">MIN(N('My Debts'!$E$11),G77)</f>
        <v>0</v>
      </c>
      <c r="R77" s="39" t="n">
        <f aca="false">MIN(N('My Debts'!$E$12),H77)</f>
        <v>0</v>
      </c>
      <c r="S77" s="39" t="n">
        <f aca="false">MIN(N('My Debts'!$E$13),I77)</f>
        <v>0</v>
      </c>
      <c r="T77" s="39" t="n">
        <f aca="false">MIN(N('My Debts'!$E$14),J77)</f>
        <v>0</v>
      </c>
      <c r="U77" s="39" t="n">
        <f aca="false">MIN(N('My Debts'!$E$15),K77)</f>
        <v>0</v>
      </c>
      <c r="V77" s="39" t="n">
        <f aca="false">ROUND(B77-L77-MIN(B77-L77,MAX(0,$AF77-SUMPRODUCT(--($B$4:$K$4&lt;B$4),$B77:$K77-$L77:$U77))),2)</f>
        <v>0</v>
      </c>
      <c r="W77" s="39" t="n">
        <f aca="false">ROUND(C77-M77-MIN(C77-M77,MAX(0,$AF77-SUMPRODUCT(--($B$4:$K$4&lt;C$4),$B77:$K77-$L77:$U77))),2)</f>
        <v>0</v>
      </c>
      <c r="X77" s="39" t="n">
        <f aca="false">ROUND(D77-N77-MIN(D77-N77,MAX(0,$AF77-SUMPRODUCT(--($B$4:$K$4&lt;D$4),$B77:$K77-$L77:$U77))),2)</f>
        <v>0</v>
      </c>
      <c r="Y77" s="39" t="n">
        <f aca="false">ROUND(E77-O77-MIN(E77-O77,MAX(0,$AF77-SUMPRODUCT(--($B$4:$K$4&lt;E$4),$B77:$K77-$L77:$U77))),2)</f>
        <v>0</v>
      </c>
      <c r="Z77" s="39" t="n">
        <f aca="false">ROUND(F77-P77-MIN(F77-P77,MAX(0,$AF77-SUMPRODUCT(--($B$4:$K$4&lt;F$4),$B77:$K77-$L77:$U77))),2)</f>
        <v>0</v>
      </c>
      <c r="AA77" s="39" t="n">
        <f aca="false">ROUND(G77-Q77-MIN(G77-Q77,MAX(0,$AF77-SUMPRODUCT(--($B$4:$K$4&lt;G$4),$B77:$K77-$L77:$U77))),2)</f>
        <v>0</v>
      </c>
      <c r="AB77" s="39" t="n">
        <f aca="false">ROUND(H77-R77-MIN(H77-R77,MAX(0,$AF77-SUMPRODUCT(--($B$4:$K$4&lt;H$4),$B77:$K77-$L77:$U77))),2)</f>
        <v>0</v>
      </c>
      <c r="AC77" s="39" t="n">
        <f aca="false">ROUND(I77-S77-MIN(I77-S77,MAX(0,$AF77-SUMPRODUCT(--($B$4:$K$4&lt;I$4),$B77:$K77-$L77:$U77))),2)</f>
        <v>0</v>
      </c>
      <c r="AD77" s="39" t="n">
        <f aca="false">ROUND(J77-T77-MIN(J77-T77,MAX(0,$AF77-SUMPRODUCT(--($B$4:$K$4&lt;J$4),$B77:$K77-$L77:$U77))),2)</f>
        <v>0</v>
      </c>
      <c r="AE77" s="39" t="n">
        <f aca="false">ROUND(K77-U77-MIN(K77-U77,MAX(0,$AF77-SUMPRODUCT(--($B$4:$K$4&lt;K$4),$B77:$K77-$L77:$U77))),2)</f>
        <v>0</v>
      </c>
      <c r="AF77" s="39" t="n">
        <f aca="false">MAX(0,'Start Here'!$C$5-SUM($L77:$U77))</f>
        <v>1200</v>
      </c>
      <c r="AG77" s="39" t="n">
        <f aca="false">SUM(V77:AE77)</f>
        <v>0</v>
      </c>
      <c r="AH77" s="39" t="n">
        <f aca="false">SUM(B77:K77)-AG76</f>
        <v>0</v>
      </c>
    </row>
    <row r="78" customFormat="false" ht="15" hidden="false" customHeight="false" outlineLevel="0" collapsed="false">
      <c r="A78" s="40" t="n">
        <f aca="false">DATE(YEAR('Start Here'!$C$6),MONTH('Start Here'!$C$6)+71,1)</f>
        <v>48458</v>
      </c>
      <c r="B78" s="39" t="n">
        <f aca="false">ROUND(V77*(1+N('My Debts'!$D$6)/12),2)</f>
        <v>0</v>
      </c>
      <c r="C78" s="39" t="n">
        <f aca="false">ROUND(W77*(1+N('My Debts'!$D$7)/12),2)</f>
        <v>0</v>
      </c>
      <c r="D78" s="39" t="n">
        <f aca="false">ROUND(X77*(1+N('My Debts'!$D$8)/12),2)</f>
        <v>0</v>
      </c>
      <c r="E78" s="39" t="n">
        <f aca="false">ROUND(Y77*(1+N('My Debts'!$D$9)/12),2)</f>
        <v>0</v>
      </c>
      <c r="F78" s="39" t="n">
        <f aca="false">ROUND(Z77*(1+N('My Debts'!$D$10)/12),2)</f>
        <v>0</v>
      </c>
      <c r="G78" s="39" t="n">
        <f aca="false">ROUND(AA77*(1+N('My Debts'!$D$11)/12),2)</f>
        <v>0</v>
      </c>
      <c r="H78" s="39" t="n">
        <f aca="false">ROUND(AB77*(1+N('My Debts'!$D$12)/12),2)</f>
        <v>0</v>
      </c>
      <c r="I78" s="39" t="n">
        <f aca="false">ROUND(AC77*(1+N('My Debts'!$D$13)/12),2)</f>
        <v>0</v>
      </c>
      <c r="J78" s="39" t="n">
        <f aca="false">ROUND(AD77*(1+N('My Debts'!$D$14)/12),2)</f>
        <v>0</v>
      </c>
      <c r="K78" s="39" t="n">
        <f aca="false">ROUND(AE77*(1+N('My Debts'!$D$15)/12),2)</f>
        <v>0</v>
      </c>
      <c r="L78" s="39" t="n">
        <f aca="false">MIN(N('My Debts'!$E$6),B78)</f>
        <v>0</v>
      </c>
      <c r="M78" s="39" t="n">
        <f aca="false">MIN(N('My Debts'!$E$7),C78)</f>
        <v>0</v>
      </c>
      <c r="N78" s="39" t="n">
        <f aca="false">MIN(N('My Debts'!$E$8),D78)</f>
        <v>0</v>
      </c>
      <c r="O78" s="39" t="n">
        <f aca="false">MIN(N('My Debts'!$E$9),E78)</f>
        <v>0</v>
      </c>
      <c r="P78" s="39" t="n">
        <f aca="false">MIN(N('My Debts'!$E$10),F78)</f>
        <v>0</v>
      </c>
      <c r="Q78" s="39" t="n">
        <f aca="false">MIN(N('My Debts'!$E$11),G78)</f>
        <v>0</v>
      </c>
      <c r="R78" s="39" t="n">
        <f aca="false">MIN(N('My Debts'!$E$12),H78)</f>
        <v>0</v>
      </c>
      <c r="S78" s="39" t="n">
        <f aca="false">MIN(N('My Debts'!$E$13),I78)</f>
        <v>0</v>
      </c>
      <c r="T78" s="39" t="n">
        <f aca="false">MIN(N('My Debts'!$E$14),J78)</f>
        <v>0</v>
      </c>
      <c r="U78" s="39" t="n">
        <f aca="false">MIN(N('My Debts'!$E$15),K78)</f>
        <v>0</v>
      </c>
      <c r="V78" s="39" t="n">
        <f aca="false">ROUND(B78-L78-MIN(B78-L78,MAX(0,$AF78-SUMPRODUCT(--($B$4:$K$4&lt;B$4),$B78:$K78-$L78:$U78))),2)</f>
        <v>0</v>
      </c>
      <c r="W78" s="39" t="n">
        <f aca="false">ROUND(C78-M78-MIN(C78-M78,MAX(0,$AF78-SUMPRODUCT(--($B$4:$K$4&lt;C$4),$B78:$K78-$L78:$U78))),2)</f>
        <v>0</v>
      </c>
      <c r="X78" s="39" t="n">
        <f aca="false">ROUND(D78-N78-MIN(D78-N78,MAX(0,$AF78-SUMPRODUCT(--($B$4:$K$4&lt;D$4),$B78:$K78-$L78:$U78))),2)</f>
        <v>0</v>
      </c>
      <c r="Y78" s="39" t="n">
        <f aca="false">ROUND(E78-O78-MIN(E78-O78,MAX(0,$AF78-SUMPRODUCT(--($B$4:$K$4&lt;E$4),$B78:$K78-$L78:$U78))),2)</f>
        <v>0</v>
      </c>
      <c r="Z78" s="39" t="n">
        <f aca="false">ROUND(F78-P78-MIN(F78-P78,MAX(0,$AF78-SUMPRODUCT(--($B$4:$K$4&lt;F$4),$B78:$K78-$L78:$U78))),2)</f>
        <v>0</v>
      </c>
      <c r="AA78" s="39" t="n">
        <f aca="false">ROUND(G78-Q78-MIN(G78-Q78,MAX(0,$AF78-SUMPRODUCT(--($B$4:$K$4&lt;G$4),$B78:$K78-$L78:$U78))),2)</f>
        <v>0</v>
      </c>
      <c r="AB78" s="39" t="n">
        <f aca="false">ROUND(H78-R78-MIN(H78-R78,MAX(0,$AF78-SUMPRODUCT(--($B$4:$K$4&lt;H$4),$B78:$K78-$L78:$U78))),2)</f>
        <v>0</v>
      </c>
      <c r="AC78" s="39" t="n">
        <f aca="false">ROUND(I78-S78-MIN(I78-S78,MAX(0,$AF78-SUMPRODUCT(--($B$4:$K$4&lt;I$4),$B78:$K78-$L78:$U78))),2)</f>
        <v>0</v>
      </c>
      <c r="AD78" s="39" t="n">
        <f aca="false">ROUND(J78-T78-MIN(J78-T78,MAX(0,$AF78-SUMPRODUCT(--($B$4:$K$4&lt;J$4),$B78:$K78-$L78:$U78))),2)</f>
        <v>0</v>
      </c>
      <c r="AE78" s="39" t="n">
        <f aca="false">ROUND(K78-U78-MIN(K78-U78,MAX(0,$AF78-SUMPRODUCT(--($B$4:$K$4&lt;K$4),$B78:$K78-$L78:$U78))),2)</f>
        <v>0</v>
      </c>
      <c r="AF78" s="39" t="n">
        <f aca="false">MAX(0,'Start Here'!$C$5-SUM($L78:$U78))</f>
        <v>1200</v>
      </c>
      <c r="AG78" s="39" t="n">
        <f aca="false">SUM(V78:AE78)</f>
        <v>0</v>
      </c>
      <c r="AH78" s="39" t="n">
        <f aca="false">SUM(B78:K78)-AG77</f>
        <v>0</v>
      </c>
    </row>
    <row r="79" customFormat="false" ht="15" hidden="false" customHeight="false" outlineLevel="0" collapsed="false">
      <c r="A79" s="40" t="n">
        <f aca="false">DATE(YEAR('Start Here'!$C$6),MONTH('Start Here'!$C$6)+72,1)</f>
        <v>48488</v>
      </c>
      <c r="B79" s="39" t="n">
        <f aca="false">ROUND(V78*(1+N('My Debts'!$D$6)/12),2)</f>
        <v>0</v>
      </c>
      <c r="C79" s="39" t="n">
        <f aca="false">ROUND(W78*(1+N('My Debts'!$D$7)/12),2)</f>
        <v>0</v>
      </c>
      <c r="D79" s="39" t="n">
        <f aca="false">ROUND(X78*(1+N('My Debts'!$D$8)/12),2)</f>
        <v>0</v>
      </c>
      <c r="E79" s="39" t="n">
        <f aca="false">ROUND(Y78*(1+N('My Debts'!$D$9)/12),2)</f>
        <v>0</v>
      </c>
      <c r="F79" s="39" t="n">
        <f aca="false">ROUND(Z78*(1+N('My Debts'!$D$10)/12),2)</f>
        <v>0</v>
      </c>
      <c r="G79" s="39" t="n">
        <f aca="false">ROUND(AA78*(1+N('My Debts'!$D$11)/12),2)</f>
        <v>0</v>
      </c>
      <c r="H79" s="39" t="n">
        <f aca="false">ROUND(AB78*(1+N('My Debts'!$D$12)/12),2)</f>
        <v>0</v>
      </c>
      <c r="I79" s="39" t="n">
        <f aca="false">ROUND(AC78*(1+N('My Debts'!$D$13)/12),2)</f>
        <v>0</v>
      </c>
      <c r="J79" s="39" t="n">
        <f aca="false">ROUND(AD78*(1+N('My Debts'!$D$14)/12),2)</f>
        <v>0</v>
      </c>
      <c r="K79" s="39" t="n">
        <f aca="false">ROUND(AE78*(1+N('My Debts'!$D$15)/12),2)</f>
        <v>0</v>
      </c>
      <c r="L79" s="39" t="n">
        <f aca="false">MIN(N('My Debts'!$E$6),B79)</f>
        <v>0</v>
      </c>
      <c r="M79" s="39" t="n">
        <f aca="false">MIN(N('My Debts'!$E$7),C79)</f>
        <v>0</v>
      </c>
      <c r="N79" s="39" t="n">
        <f aca="false">MIN(N('My Debts'!$E$8),D79)</f>
        <v>0</v>
      </c>
      <c r="O79" s="39" t="n">
        <f aca="false">MIN(N('My Debts'!$E$9),E79)</f>
        <v>0</v>
      </c>
      <c r="P79" s="39" t="n">
        <f aca="false">MIN(N('My Debts'!$E$10),F79)</f>
        <v>0</v>
      </c>
      <c r="Q79" s="39" t="n">
        <f aca="false">MIN(N('My Debts'!$E$11),G79)</f>
        <v>0</v>
      </c>
      <c r="R79" s="39" t="n">
        <f aca="false">MIN(N('My Debts'!$E$12),H79)</f>
        <v>0</v>
      </c>
      <c r="S79" s="39" t="n">
        <f aca="false">MIN(N('My Debts'!$E$13),I79)</f>
        <v>0</v>
      </c>
      <c r="T79" s="39" t="n">
        <f aca="false">MIN(N('My Debts'!$E$14),J79)</f>
        <v>0</v>
      </c>
      <c r="U79" s="39" t="n">
        <f aca="false">MIN(N('My Debts'!$E$15),K79)</f>
        <v>0</v>
      </c>
      <c r="V79" s="39" t="n">
        <f aca="false">ROUND(B79-L79-MIN(B79-L79,MAX(0,$AF79-SUMPRODUCT(--($B$4:$K$4&lt;B$4),$B79:$K79-$L79:$U79))),2)</f>
        <v>0</v>
      </c>
      <c r="W79" s="39" t="n">
        <f aca="false">ROUND(C79-M79-MIN(C79-M79,MAX(0,$AF79-SUMPRODUCT(--($B$4:$K$4&lt;C$4),$B79:$K79-$L79:$U79))),2)</f>
        <v>0</v>
      </c>
      <c r="X79" s="39" t="n">
        <f aca="false">ROUND(D79-N79-MIN(D79-N79,MAX(0,$AF79-SUMPRODUCT(--($B$4:$K$4&lt;D$4),$B79:$K79-$L79:$U79))),2)</f>
        <v>0</v>
      </c>
      <c r="Y79" s="39" t="n">
        <f aca="false">ROUND(E79-O79-MIN(E79-O79,MAX(0,$AF79-SUMPRODUCT(--($B$4:$K$4&lt;E$4),$B79:$K79-$L79:$U79))),2)</f>
        <v>0</v>
      </c>
      <c r="Z79" s="39" t="n">
        <f aca="false">ROUND(F79-P79-MIN(F79-P79,MAX(0,$AF79-SUMPRODUCT(--($B$4:$K$4&lt;F$4),$B79:$K79-$L79:$U79))),2)</f>
        <v>0</v>
      </c>
      <c r="AA79" s="39" t="n">
        <f aca="false">ROUND(G79-Q79-MIN(G79-Q79,MAX(0,$AF79-SUMPRODUCT(--($B$4:$K$4&lt;G$4),$B79:$K79-$L79:$U79))),2)</f>
        <v>0</v>
      </c>
      <c r="AB79" s="39" t="n">
        <f aca="false">ROUND(H79-R79-MIN(H79-R79,MAX(0,$AF79-SUMPRODUCT(--($B$4:$K$4&lt;H$4),$B79:$K79-$L79:$U79))),2)</f>
        <v>0</v>
      </c>
      <c r="AC79" s="39" t="n">
        <f aca="false">ROUND(I79-S79-MIN(I79-S79,MAX(0,$AF79-SUMPRODUCT(--($B$4:$K$4&lt;I$4),$B79:$K79-$L79:$U79))),2)</f>
        <v>0</v>
      </c>
      <c r="AD79" s="39" t="n">
        <f aca="false">ROUND(J79-T79-MIN(J79-T79,MAX(0,$AF79-SUMPRODUCT(--($B$4:$K$4&lt;J$4),$B79:$K79-$L79:$U79))),2)</f>
        <v>0</v>
      </c>
      <c r="AE79" s="39" t="n">
        <f aca="false">ROUND(K79-U79-MIN(K79-U79,MAX(0,$AF79-SUMPRODUCT(--($B$4:$K$4&lt;K$4),$B79:$K79-$L79:$U79))),2)</f>
        <v>0</v>
      </c>
      <c r="AF79" s="39" t="n">
        <f aca="false">MAX(0,'Start Here'!$C$5-SUM($L79:$U79))</f>
        <v>1200</v>
      </c>
      <c r="AG79" s="39" t="n">
        <f aca="false">SUM(V79:AE79)</f>
        <v>0</v>
      </c>
      <c r="AH79" s="39" t="n">
        <f aca="false">SUM(B79:K79)-AG78</f>
        <v>0</v>
      </c>
    </row>
    <row r="80" customFormat="false" ht="15" hidden="false" customHeight="false" outlineLevel="0" collapsed="false">
      <c r="A80" s="40" t="n">
        <f aca="false">DATE(YEAR('Start Here'!$C$6),MONTH('Start Here'!$C$6)+73,1)</f>
        <v>48519</v>
      </c>
      <c r="B80" s="39" t="n">
        <f aca="false">ROUND(V79*(1+N('My Debts'!$D$6)/12),2)</f>
        <v>0</v>
      </c>
      <c r="C80" s="39" t="n">
        <f aca="false">ROUND(W79*(1+N('My Debts'!$D$7)/12),2)</f>
        <v>0</v>
      </c>
      <c r="D80" s="39" t="n">
        <f aca="false">ROUND(X79*(1+N('My Debts'!$D$8)/12),2)</f>
        <v>0</v>
      </c>
      <c r="E80" s="39" t="n">
        <f aca="false">ROUND(Y79*(1+N('My Debts'!$D$9)/12),2)</f>
        <v>0</v>
      </c>
      <c r="F80" s="39" t="n">
        <f aca="false">ROUND(Z79*(1+N('My Debts'!$D$10)/12),2)</f>
        <v>0</v>
      </c>
      <c r="G80" s="39" t="n">
        <f aca="false">ROUND(AA79*(1+N('My Debts'!$D$11)/12),2)</f>
        <v>0</v>
      </c>
      <c r="H80" s="39" t="n">
        <f aca="false">ROUND(AB79*(1+N('My Debts'!$D$12)/12),2)</f>
        <v>0</v>
      </c>
      <c r="I80" s="39" t="n">
        <f aca="false">ROUND(AC79*(1+N('My Debts'!$D$13)/12),2)</f>
        <v>0</v>
      </c>
      <c r="J80" s="39" t="n">
        <f aca="false">ROUND(AD79*(1+N('My Debts'!$D$14)/12),2)</f>
        <v>0</v>
      </c>
      <c r="K80" s="39" t="n">
        <f aca="false">ROUND(AE79*(1+N('My Debts'!$D$15)/12),2)</f>
        <v>0</v>
      </c>
      <c r="L80" s="39" t="n">
        <f aca="false">MIN(N('My Debts'!$E$6),B80)</f>
        <v>0</v>
      </c>
      <c r="M80" s="39" t="n">
        <f aca="false">MIN(N('My Debts'!$E$7),C80)</f>
        <v>0</v>
      </c>
      <c r="N80" s="39" t="n">
        <f aca="false">MIN(N('My Debts'!$E$8),D80)</f>
        <v>0</v>
      </c>
      <c r="O80" s="39" t="n">
        <f aca="false">MIN(N('My Debts'!$E$9),E80)</f>
        <v>0</v>
      </c>
      <c r="P80" s="39" t="n">
        <f aca="false">MIN(N('My Debts'!$E$10),F80)</f>
        <v>0</v>
      </c>
      <c r="Q80" s="39" t="n">
        <f aca="false">MIN(N('My Debts'!$E$11),G80)</f>
        <v>0</v>
      </c>
      <c r="R80" s="39" t="n">
        <f aca="false">MIN(N('My Debts'!$E$12),H80)</f>
        <v>0</v>
      </c>
      <c r="S80" s="39" t="n">
        <f aca="false">MIN(N('My Debts'!$E$13),I80)</f>
        <v>0</v>
      </c>
      <c r="T80" s="39" t="n">
        <f aca="false">MIN(N('My Debts'!$E$14),J80)</f>
        <v>0</v>
      </c>
      <c r="U80" s="39" t="n">
        <f aca="false">MIN(N('My Debts'!$E$15),K80)</f>
        <v>0</v>
      </c>
      <c r="V80" s="39" t="n">
        <f aca="false">ROUND(B80-L80-MIN(B80-L80,MAX(0,$AF80-SUMPRODUCT(--($B$4:$K$4&lt;B$4),$B80:$K80-$L80:$U80))),2)</f>
        <v>0</v>
      </c>
      <c r="W80" s="39" t="n">
        <f aca="false">ROUND(C80-M80-MIN(C80-M80,MAX(0,$AF80-SUMPRODUCT(--($B$4:$K$4&lt;C$4),$B80:$K80-$L80:$U80))),2)</f>
        <v>0</v>
      </c>
      <c r="X80" s="39" t="n">
        <f aca="false">ROUND(D80-N80-MIN(D80-N80,MAX(0,$AF80-SUMPRODUCT(--($B$4:$K$4&lt;D$4),$B80:$K80-$L80:$U80))),2)</f>
        <v>0</v>
      </c>
      <c r="Y80" s="39" t="n">
        <f aca="false">ROUND(E80-O80-MIN(E80-O80,MAX(0,$AF80-SUMPRODUCT(--($B$4:$K$4&lt;E$4),$B80:$K80-$L80:$U80))),2)</f>
        <v>0</v>
      </c>
      <c r="Z80" s="39" t="n">
        <f aca="false">ROUND(F80-P80-MIN(F80-P80,MAX(0,$AF80-SUMPRODUCT(--($B$4:$K$4&lt;F$4),$B80:$K80-$L80:$U80))),2)</f>
        <v>0</v>
      </c>
      <c r="AA80" s="39" t="n">
        <f aca="false">ROUND(G80-Q80-MIN(G80-Q80,MAX(0,$AF80-SUMPRODUCT(--($B$4:$K$4&lt;G$4),$B80:$K80-$L80:$U80))),2)</f>
        <v>0</v>
      </c>
      <c r="AB80" s="39" t="n">
        <f aca="false">ROUND(H80-R80-MIN(H80-R80,MAX(0,$AF80-SUMPRODUCT(--($B$4:$K$4&lt;H$4),$B80:$K80-$L80:$U80))),2)</f>
        <v>0</v>
      </c>
      <c r="AC80" s="39" t="n">
        <f aca="false">ROUND(I80-S80-MIN(I80-S80,MAX(0,$AF80-SUMPRODUCT(--($B$4:$K$4&lt;I$4),$B80:$K80-$L80:$U80))),2)</f>
        <v>0</v>
      </c>
      <c r="AD80" s="39" t="n">
        <f aca="false">ROUND(J80-T80-MIN(J80-T80,MAX(0,$AF80-SUMPRODUCT(--($B$4:$K$4&lt;J$4),$B80:$K80-$L80:$U80))),2)</f>
        <v>0</v>
      </c>
      <c r="AE80" s="39" t="n">
        <f aca="false">ROUND(K80-U80-MIN(K80-U80,MAX(0,$AF80-SUMPRODUCT(--($B$4:$K$4&lt;K$4),$B80:$K80-$L80:$U80))),2)</f>
        <v>0</v>
      </c>
      <c r="AF80" s="39" t="n">
        <f aca="false">MAX(0,'Start Here'!$C$5-SUM($L80:$U80))</f>
        <v>1200</v>
      </c>
      <c r="AG80" s="39" t="n">
        <f aca="false">SUM(V80:AE80)</f>
        <v>0</v>
      </c>
      <c r="AH80" s="39" t="n">
        <f aca="false">SUM(B80:K80)-AG79</f>
        <v>0</v>
      </c>
    </row>
    <row r="81" customFormat="false" ht="15" hidden="false" customHeight="false" outlineLevel="0" collapsed="false">
      <c r="A81" s="40" t="n">
        <f aca="false">DATE(YEAR('Start Here'!$C$6),MONTH('Start Here'!$C$6)+74,1)</f>
        <v>48549</v>
      </c>
      <c r="B81" s="39" t="n">
        <f aca="false">ROUND(V80*(1+N('My Debts'!$D$6)/12),2)</f>
        <v>0</v>
      </c>
      <c r="C81" s="39" t="n">
        <f aca="false">ROUND(W80*(1+N('My Debts'!$D$7)/12),2)</f>
        <v>0</v>
      </c>
      <c r="D81" s="39" t="n">
        <f aca="false">ROUND(X80*(1+N('My Debts'!$D$8)/12),2)</f>
        <v>0</v>
      </c>
      <c r="E81" s="39" t="n">
        <f aca="false">ROUND(Y80*(1+N('My Debts'!$D$9)/12),2)</f>
        <v>0</v>
      </c>
      <c r="F81" s="39" t="n">
        <f aca="false">ROUND(Z80*(1+N('My Debts'!$D$10)/12),2)</f>
        <v>0</v>
      </c>
      <c r="G81" s="39" t="n">
        <f aca="false">ROUND(AA80*(1+N('My Debts'!$D$11)/12),2)</f>
        <v>0</v>
      </c>
      <c r="H81" s="39" t="n">
        <f aca="false">ROUND(AB80*(1+N('My Debts'!$D$12)/12),2)</f>
        <v>0</v>
      </c>
      <c r="I81" s="39" t="n">
        <f aca="false">ROUND(AC80*(1+N('My Debts'!$D$13)/12),2)</f>
        <v>0</v>
      </c>
      <c r="J81" s="39" t="n">
        <f aca="false">ROUND(AD80*(1+N('My Debts'!$D$14)/12),2)</f>
        <v>0</v>
      </c>
      <c r="K81" s="39" t="n">
        <f aca="false">ROUND(AE80*(1+N('My Debts'!$D$15)/12),2)</f>
        <v>0</v>
      </c>
      <c r="L81" s="39" t="n">
        <f aca="false">MIN(N('My Debts'!$E$6),B81)</f>
        <v>0</v>
      </c>
      <c r="M81" s="39" t="n">
        <f aca="false">MIN(N('My Debts'!$E$7),C81)</f>
        <v>0</v>
      </c>
      <c r="N81" s="39" t="n">
        <f aca="false">MIN(N('My Debts'!$E$8),D81)</f>
        <v>0</v>
      </c>
      <c r="O81" s="39" t="n">
        <f aca="false">MIN(N('My Debts'!$E$9),E81)</f>
        <v>0</v>
      </c>
      <c r="P81" s="39" t="n">
        <f aca="false">MIN(N('My Debts'!$E$10),F81)</f>
        <v>0</v>
      </c>
      <c r="Q81" s="39" t="n">
        <f aca="false">MIN(N('My Debts'!$E$11),G81)</f>
        <v>0</v>
      </c>
      <c r="R81" s="39" t="n">
        <f aca="false">MIN(N('My Debts'!$E$12),H81)</f>
        <v>0</v>
      </c>
      <c r="S81" s="39" t="n">
        <f aca="false">MIN(N('My Debts'!$E$13),I81)</f>
        <v>0</v>
      </c>
      <c r="T81" s="39" t="n">
        <f aca="false">MIN(N('My Debts'!$E$14),J81)</f>
        <v>0</v>
      </c>
      <c r="U81" s="39" t="n">
        <f aca="false">MIN(N('My Debts'!$E$15),K81)</f>
        <v>0</v>
      </c>
      <c r="V81" s="39" t="n">
        <f aca="false">ROUND(B81-L81-MIN(B81-L81,MAX(0,$AF81-SUMPRODUCT(--($B$4:$K$4&lt;B$4),$B81:$K81-$L81:$U81))),2)</f>
        <v>0</v>
      </c>
      <c r="W81" s="39" t="n">
        <f aca="false">ROUND(C81-M81-MIN(C81-M81,MAX(0,$AF81-SUMPRODUCT(--($B$4:$K$4&lt;C$4),$B81:$K81-$L81:$U81))),2)</f>
        <v>0</v>
      </c>
      <c r="X81" s="39" t="n">
        <f aca="false">ROUND(D81-N81-MIN(D81-N81,MAX(0,$AF81-SUMPRODUCT(--($B$4:$K$4&lt;D$4),$B81:$K81-$L81:$U81))),2)</f>
        <v>0</v>
      </c>
      <c r="Y81" s="39" t="n">
        <f aca="false">ROUND(E81-O81-MIN(E81-O81,MAX(0,$AF81-SUMPRODUCT(--($B$4:$K$4&lt;E$4),$B81:$K81-$L81:$U81))),2)</f>
        <v>0</v>
      </c>
      <c r="Z81" s="39" t="n">
        <f aca="false">ROUND(F81-P81-MIN(F81-P81,MAX(0,$AF81-SUMPRODUCT(--($B$4:$K$4&lt;F$4),$B81:$K81-$L81:$U81))),2)</f>
        <v>0</v>
      </c>
      <c r="AA81" s="39" t="n">
        <f aca="false">ROUND(G81-Q81-MIN(G81-Q81,MAX(0,$AF81-SUMPRODUCT(--($B$4:$K$4&lt;G$4),$B81:$K81-$L81:$U81))),2)</f>
        <v>0</v>
      </c>
      <c r="AB81" s="39" t="n">
        <f aca="false">ROUND(H81-R81-MIN(H81-R81,MAX(0,$AF81-SUMPRODUCT(--($B$4:$K$4&lt;H$4),$B81:$K81-$L81:$U81))),2)</f>
        <v>0</v>
      </c>
      <c r="AC81" s="39" t="n">
        <f aca="false">ROUND(I81-S81-MIN(I81-S81,MAX(0,$AF81-SUMPRODUCT(--($B$4:$K$4&lt;I$4),$B81:$K81-$L81:$U81))),2)</f>
        <v>0</v>
      </c>
      <c r="AD81" s="39" t="n">
        <f aca="false">ROUND(J81-T81-MIN(J81-T81,MAX(0,$AF81-SUMPRODUCT(--($B$4:$K$4&lt;J$4),$B81:$K81-$L81:$U81))),2)</f>
        <v>0</v>
      </c>
      <c r="AE81" s="39" t="n">
        <f aca="false">ROUND(K81-U81-MIN(K81-U81,MAX(0,$AF81-SUMPRODUCT(--($B$4:$K$4&lt;K$4),$B81:$K81-$L81:$U81))),2)</f>
        <v>0</v>
      </c>
      <c r="AF81" s="39" t="n">
        <f aca="false">MAX(0,'Start Here'!$C$5-SUM($L81:$U81))</f>
        <v>1200</v>
      </c>
      <c r="AG81" s="39" t="n">
        <f aca="false">SUM(V81:AE81)</f>
        <v>0</v>
      </c>
      <c r="AH81" s="39" t="n">
        <f aca="false">SUM(B81:K81)-AG80</f>
        <v>0</v>
      </c>
    </row>
    <row r="82" customFormat="false" ht="15" hidden="false" customHeight="false" outlineLevel="0" collapsed="false">
      <c r="A82" s="40" t="n">
        <f aca="false">DATE(YEAR('Start Here'!$C$6),MONTH('Start Here'!$C$6)+75,1)</f>
        <v>48580</v>
      </c>
      <c r="B82" s="39" t="n">
        <f aca="false">ROUND(V81*(1+N('My Debts'!$D$6)/12),2)</f>
        <v>0</v>
      </c>
      <c r="C82" s="39" t="n">
        <f aca="false">ROUND(W81*(1+N('My Debts'!$D$7)/12),2)</f>
        <v>0</v>
      </c>
      <c r="D82" s="39" t="n">
        <f aca="false">ROUND(X81*(1+N('My Debts'!$D$8)/12),2)</f>
        <v>0</v>
      </c>
      <c r="E82" s="39" t="n">
        <f aca="false">ROUND(Y81*(1+N('My Debts'!$D$9)/12),2)</f>
        <v>0</v>
      </c>
      <c r="F82" s="39" t="n">
        <f aca="false">ROUND(Z81*(1+N('My Debts'!$D$10)/12),2)</f>
        <v>0</v>
      </c>
      <c r="G82" s="39" t="n">
        <f aca="false">ROUND(AA81*(1+N('My Debts'!$D$11)/12),2)</f>
        <v>0</v>
      </c>
      <c r="H82" s="39" t="n">
        <f aca="false">ROUND(AB81*(1+N('My Debts'!$D$12)/12),2)</f>
        <v>0</v>
      </c>
      <c r="I82" s="39" t="n">
        <f aca="false">ROUND(AC81*(1+N('My Debts'!$D$13)/12),2)</f>
        <v>0</v>
      </c>
      <c r="J82" s="39" t="n">
        <f aca="false">ROUND(AD81*(1+N('My Debts'!$D$14)/12),2)</f>
        <v>0</v>
      </c>
      <c r="K82" s="39" t="n">
        <f aca="false">ROUND(AE81*(1+N('My Debts'!$D$15)/12),2)</f>
        <v>0</v>
      </c>
      <c r="L82" s="39" t="n">
        <f aca="false">MIN(N('My Debts'!$E$6),B82)</f>
        <v>0</v>
      </c>
      <c r="M82" s="39" t="n">
        <f aca="false">MIN(N('My Debts'!$E$7),C82)</f>
        <v>0</v>
      </c>
      <c r="N82" s="39" t="n">
        <f aca="false">MIN(N('My Debts'!$E$8),D82)</f>
        <v>0</v>
      </c>
      <c r="O82" s="39" t="n">
        <f aca="false">MIN(N('My Debts'!$E$9),E82)</f>
        <v>0</v>
      </c>
      <c r="P82" s="39" t="n">
        <f aca="false">MIN(N('My Debts'!$E$10),F82)</f>
        <v>0</v>
      </c>
      <c r="Q82" s="39" t="n">
        <f aca="false">MIN(N('My Debts'!$E$11),G82)</f>
        <v>0</v>
      </c>
      <c r="R82" s="39" t="n">
        <f aca="false">MIN(N('My Debts'!$E$12),H82)</f>
        <v>0</v>
      </c>
      <c r="S82" s="39" t="n">
        <f aca="false">MIN(N('My Debts'!$E$13),I82)</f>
        <v>0</v>
      </c>
      <c r="T82" s="39" t="n">
        <f aca="false">MIN(N('My Debts'!$E$14),J82)</f>
        <v>0</v>
      </c>
      <c r="U82" s="39" t="n">
        <f aca="false">MIN(N('My Debts'!$E$15),K82)</f>
        <v>0</v>
      </c>
      <c r="V82" s="39" t="n">
        <f aca="false">ROUND(B82-L82-MIN(B82-L82,MAX(0,$AF82-SUMPRODUCT(--($B$4:$K$4&lt;B$4),$B82:$K82-$L82:$U82))),2)</f>
        <v>0</v>
      </c>
      <c r="W82" s="39" t="n">
        <f aca="false">ROUND(C82-M82-MIN(C82-M82,MAX(0,$AF82-SUMPRODUCT(--($B$4:$K$4&lt;C$4),$B82:$K82-$L82:$U82))),2)</f>
        <v>0</v>
      </c>
      <c r="X82" s="39" t="n">
        <f aca="false">ROUND(D82-N82-MIN(D82-N82,MAX(0,$AF82-SUMPRODUCT(--($B$4:$K$4&lt;D$4),$B82:$K82-$L82:$U82))),2)</f>
        <v>0</v>
      </c>
      <c r="Y82" s="39" t="n">
        <f aca="false">ROUND(E82-O82-MIN(E82-O82,MAX(0,$AF82-SUMPRODUCT(--($B$4:$K$4&lt;E$4),$B82:$K82-$L82:$U82))),2)</f>
        <v>0</v>
      </c>
      <c r="Z82" s="39" t="n">
        <f aca="false">ROUND(F82-P82-MIN(F82-P82,MAX(0,$AF82-SUMPRODUCT(--($B$4:$K$4&lt;F$4),$B82:$K82-$L82:$U82))),2)</f>
        <v>0</v>
      </c>
      <c r="AA82" s="39" t="n">
        <f aca="false">ROUND(G82-Q82-MIN(G82-Q82,MAX(0,$AF82-SUMPRODUCT(--($B$4:$K$4&lt;G$4),$B82:$K82-$L82:$U82))),2)</f>
        <v>0</v>
      </c>
      <c r="AB82" s="39" t="n">
        <f aca="false">ROUND(H82-R82-MIN(H82-R82,MAX(0,$AF82-SUMPRODUCT(--($B$4:$K$4&lt;H$4),$B82:$K82-$L82:$U82))),2)</f>
        <v>0</v>
      </c>
      <c r="AC82" s="39" t="n">
        <f aca="false">ROUND(I82-S82-MIN(I82-S82,MAX(0,$AF82-SUMPRODUCT(--($B$4:$K$4&lt;I$4),$B82:$K82-$L82:$U82))),2)</f>
        <v>0</v>
      </c>
      <c r="AD82" s="39" t="n">
        <f aca="false">ROUND(J82-T82-MIN(J82-T82,MAX(0,$AF82-SUMPRODUCT(--($B$4:$K$4&lt;J$4),$B82:$K82-$L82:$U82))),2)</f>
        <v>0</v>
      </c>
      <c r="AE82" s="39" t="n">
        <f aca="false">ROUND(K82-U82-MIN(K82-U82,MAX(0,$AF82-SUMPRODUCT(--($B$4:$K$4&lt;K$4),$B82:$K82-$L82:$U82))),2)</f>
        <v>0</v>
      </c>
      <c r="AF82" s="39" t="n">
        <f aca="false">MAX(0,'Start Here'!$C$5-SUM($L82:$U82))</f>
        <v>1200</v>
      </c>
      <c r="AG82" s="39" t="n">
        <f aca="false">SUM(V82:AE82)</f>
        <v>0</v>
      </c>
      <c r="AH82" s="39" t="n">
        <f aca="false">SUM(B82:K82)-AG81</f>
        <v>0</v>
      </c>
    </row>
    <row r="83" customFormat="false" ht="15" hidden="false" customHeight="false" outlineLevel="0" collapsed="false">
      <c r="A83" s="40" t="n">
        <f aca="false">DATE(YEAR('Start Here'!$C$6),MONTH('Start Here'!$C$6)+76,1)</f>
        <v>48611</v>
      </c>
      <c r="B83" s="39" t="n">
        <f aca="false">ROUND(V82*(1+N('My Debts'!$D$6)/12),2)</f>
        <v>0</v>
      </c>
      <c r="C83" s="39" t="n">
        <f aca="false">ROUND(W82*(1+N('My Debts'!$D$7)/12),2)</f>
        <v>0</v>
      </c>
      <c r="D83" s="39" t="n">
        <f aca="false">ROUND(X82*(1+N('My Debts'!$D$8)/12),2)</f>
        <v>0</v>
      </c>
      <c r="E83" s="39" t="n">
        <f aca="false">ROUND(Y82*(1+N('My Debts'!$D$9)/12),2)</f>
        <v>0</v>
      </c>
      <c r="F83" s="39" t="n">
        <f aca="false">ROUND(Z82*(1+N('My Debts'!$D$10)/12),2)</f>
        <v>0</v>
      </c>
      <c r="G83" s="39" t="n">
        <f aca="false">ROUND(AA82*(1+N('My Debts'!$D$11)/12),2)</f>
        <v>0</v>
      </c>
      <c r="H83" s="39" t="n">
        <f aca="false">ROUND(AB82*(1+N('My Debts'!$D$12)/12),2)</f>
        <v>0</v>
      </c>
      <c r="I83" s="39" t="n">
        <f aca="false">ROUND(AC82*(1+N('My Debts'!$D$13)/12),2)</f>
        <v>0</v>
      </c>
      <c r="J83" s="39" t="n">
        <f aca="false">ROUND(AD82*(1+N('My Debts'!$D$14)/12),2)</f>
        <v>0</v>
      </c>
      <c r="K83" s="39" t="n">
        <f aca="false">ROUND(AE82*(1+N('My Debts'!$D$15)/12),2)</f>
        <v>0</v>
      </c>
      <c r="L83" s="39" t="n">
        <f aca="false">MIN(N('My Debts'!$E$6),B83)</f>
        <v>0</v>
      </c>
      <c r="M83" s="39" t="n">
        <f aca="false">MIN(N('My Debts'!$E$7),C83)</f>
        <v>0</v>
      </c>
      <c r="N83" s="39" t="n">
        <f aca="false">MIN(N('My Debts'!$E$8),D83)</f>
        <v>0</v>
      </c>
      <c r="O83" s="39" t="n">
        <f aca="false">MIN(N('My Debts'!$E$9),E83)</f>
        <v>0</v>
      </c>
      <c r="P83" s="39" t="n">
        <f aca="false">MIN(N('My Debts'!$E$10),F83)</f>
        <v>0</v>
      </c>
      <c r="Q83" s="39" t="n">
        <f aca="false">MIN(N('My Debts'!$E$11),G83)</f>
        <v>0</v>
      </c>
      <c r="R83" s="39" t="n">
        <f aca="false">MIN(N('My Debts'!$E$12),H83)</f>
        <v>0</v>
      </c>
      <c r="S83" s="39" t="n">
        <f aca="false">MIN(N('My Debts'!$E$13),I83)</f>
        <v>0</v>
      </c>
      <c r="T83" s="39" t="n">
        <f aca="false">MIN(N('My Debts'!$E$14),J83)</f>
        <v>0</v>
      </c>
      <c r="U83" s="39" t="n">
        <f aca="false">MIN(N('My Debts'!$E$15),K83)</f>
        <v>0</v>
      </c>
      <c r="V83" s="39" t="n">
        <f aca="false">ROUND(B83-L83-MIN(B83-L83,MAX(0,$AF83-SUMPRODUCT(--($B$4:$K$4&lt;B$4),$B83:$K83-$L83:$U83))),2)</f>
        <v>0</v>
      </c>
      <c r="W83" s="39" t="n">
        <f aca="false">ROUND(C83-M83-MIN(C83-M83,MAX(0,$AF83-SUMPRODUCT(--($B$4:$K$4&lt;C$4),$B83:$K83-$L83:$U83))),2)</f>
        <v>0</v>
      </c>
      <c r="X83" s="39" t="n">
        <f aca="false">ROUND(D83-N83-MIN(D83-N83,MAX(0,$AF83-SUMPRODUCT(--($B$4:$K$4&lt;D$4),$B83:$K83-$L83:$U83))),2)</f>
        <v>0</v>
      </c>
      <c r="Y83" s="39" t="n">
        <f aca="false">ROUND(E83-O83-MIN(E83-O83,MAX(0,$AF83-SUMPRODUCT(--($B$4:$K$4&lt;E$4),$B83:$K83-$L83:$U83))),2)</f>
        <v>0</v>
      </c>
      <c r="Z83" s="39" t="n">
        <f aca="false">ROUND(F83-P83-MIN(F83-P83,MAX(0,$AF83-SUMPRODUCT(--($B$4:$K$4&lt;F$4),$B83:$K83-$L83:$U83))),2)</f>
        <v>0</v>
      </c>
      <c r="AA83" s="39" t="n">
        <f aca="false">ROUND(G83-Q83-MIN(G83-Q83,MAX(0,$AF83-SUMPRODUCT(--($B$4:$K$4&lt;G$4),$B83:$K83-$L83:$U83))),2)</f>
        <v>0</v>
      </c>
      <c r="AB83" s="39" t="n">
        <f aca="false">ROUND(H83-R83-MIN(H83-R83,MAX(0,$AF83-SUMPRODUCT(--($B$4:$K$4&lt;H$4),$B83:$K83-$L83:$U83))),2)</f>
        <v>0</v>
      </c>
      <c r="AC83" s="39" t="n">
        <f aca="false">ROUND(I83-S83-MIN(I83-S83,MAX(0,$AF83-SUMPRODUCT(--($B$4:$K$4&lt;I$4),$B83:$K83-$L83:$U83))),2)</f>
        <v>0</v>
      </c>
      <c r="AD83" s="39" t="n">
        <f aca="false">ROUND(J83-T83-MIN(J83-T83,MAX(0,$AF83-SUMPRODUCT(--($B$4:$K$4&lt;J$4),$B83:$K83-$L83:$U83))),2)</f>
        <v>0</v>
      </c>
      <c r="AE83" s="39" t="n">
        <f aca="false">ROUND(K83-U83-MIN(K83-U83,MAX(0,$AF83-SUMPRODUCT(--($B$4:$K$4&lt;K$4),$B83:$K83-$L83:$U83))),2)</f>
        <v>0</v>
      </c>
      <c r="AF83" s="39" t="n">
        <f aca="false">MAX(0,'Start Here'!$C$5-SUM($L83:$U83))</f>
        <v>1200</v>
      </c>
      <c r="AG83" s="39" t="n">
        <f aca="false">SUM(V83:AE83)</f>
        <v>0</v>
      </c>
      <c r="AH83" s="39" t="n">
        <f aca="false">SUM(B83:K83)-AG82</f>
        <v>0</v>
      </c>
    </row>
    <row r="84" customFormat="false" ht="15" hidden="false" customHeight="false" outlineLevel="0" collapsed="false">
      <c r="A84" s="40" t="n">
        <f aca="false">DATE(YEAR('Start Here'!$C$6),MONTH('Start Here'!$C$6)+77,1)</f>
        <v>48639</v>
      </c>
      <c r="B84" s="39" t="n">
        <f aca="false">ROUND(V83*(1+N('My Debts'!$D$6)/12),2)</f>
        <v>0</v>
      </c>
      <c r="C84" s="39" t="n">
        <f aca="false">ROUND(W83*(1+N('My Debts'!$D$7)/12),2)</f>
        <v>0</v>
      </c>
      <c r="D84" s="39" t="n">
        <f aca="false">ROUND(X83*(1+N('My Debts'!$D$8)/12),2)</f>
        <v>0</v>
      </c>
      <c r="E84" s="39" t="n">
        <f aca="false">ROUND(Y83*(1+N('My Debts'!$D$9)/12),2)</f>
        <v>0</v>
      </c>
      <c r="F84" s="39" t="n">
        <f aca="false">ROUND(Z83*(1+N('My Debts'!$D$10)/12),2)</f>
        <v>0</v>
      </c>
      <c r="G84" s="39" t="n">
        <f aca="false">ROUND(AA83*(1+N('My Debts'!$D$11)/12),2)</f>
        <v>0</v>
      </c>
      <c r="H84" s="39" t="n">
        <f aca="false">ROUND(AB83*(1+N('My Debts'!$D$12)/12),2)</f>
        <v>0</v>
      </c>
      <c r="I84" s="39" t="n">
        <f aca="false">ROUND(AC83*(1+N('My Debts'!$D$13)/12),2)</f>
        <v>0</v>
      </c>
      <c r="J84" s="39" t="n">
        <f aca="false">ROUND(AD83*(1+N('My Debts'!$D$14)/12),2)</f>
        <v>0</v>
      </c>
      <c r="K84" s="39" t="n">
        <f aca="false">ROUND(AE83*(1+N('My Debts'!$D$15)/12),2)</f>
        <v>0</v>
      </c>
      <c r="L84" s="39" t="n">
        <f aca="false">MIN(N('My Debts'!$E$6),B84)</f>
        <v>0</v>
      </c>
      <c r="M84" s="39" t="n">
        <f aca="false">MIN(N('My Debts'!$E$7),C84)</f>
        <v>0</v>
      </c>
      <c r="N84" s="39" t="n">
        <f aca="false">MIN(N('My Debts'!$E$8),D84)</f>
        <v>0</v>
      </c>
      <c r="O84" s="39" t="n">
        <f aca="false">MIN(N('My Debts'!$E$9),E84)</f>
        <v>0</v>
      </c>
      <c r="P84" s="39" t="n">
        <f aca="false">MIN(N('My Debts'!$E$10),F84)</f>
        <v>0</v>
      </c>
      <c r="Q84" s="39" t="n">
        <f aca="false">MIN(N('My Debts'!$E$11),G84)</f>
        <v>0</v>
      </c>
      <c r="R84" s="39" t="n">
        <f aca="false">MIN(N('My Debts'!$E$12),H84)</f>
        <v>0</v>
      </c>
      <c r="S84" s="39" t="n">
        <f aca="false">MIN(N('My Debts'!$E$13),I84)</f>
        <v>0</v>
      </c>
      <c r="T84" s="39" t="n">
        <f aca="false">MIN(N('My Debts'!$E$14),J84)</f>
        <v>0</v>
      </c>
      <c r="U84" s="39" t="n">
        <f aca="false">MIN(N('My Debts'!$E$15),K84)</f>
        <v>0</v>
      </c>
      <c r="V84" s="39" t="n">
        <f aca="false">ROUND(B84-L84-MIN(B84-L84,MAX(0,$AF84-SUMPRODUCT(--($B$4:$K$4&lt;B$4),$B84:$K84-$L84:$U84))),2)</f>
        <v>0</v>
      </c>
      <c r="W84" s="39" t="n">
        <f aca="false">ROUND(C84-M84-MIN(C84-M84,MAX(0,$AF84-SUMPRODUCT(--($B$4:$K$4&lt;C$4),$B84:$K84-$L84:$U84))),2)</f>
        <v>0</v>
      </c>
      <c r="X84" s="39" t="n">
        <f aca="false">ROUND(D84-N84-MIN(D84-N84,MAX(0,$AF84-SUMPRODUCT(--($B$4:$K$4&lt;D$4),$B84:$K84-$L84:$U84))),2)</f>
        <v>0</v>
      </c>
      <c r="Y84" s="39" t="n">
        <f aca="false">ROUND(E84-O84-MIN(E84-O84,MAX(0,$AF84-SUMPRODUCT(--($B$4:$K$4&lt;E$4),$B84:$K84-$L84:$U84))),2)</f>
        <v>0</v>
      </c>
      <c r="Z84" s="39" t="n">
        <f aca="false">ROUND(F84-P84-MIN(F84-P84,MAX(0,$AF84-SUMPRODUCT(--($B$4:$K$4&lt;F$4),$B84:$K84-$L84:$U84))),2)</f>
        <v>0</v>
      </c>
      <c r="AA84" s="39" t="n">
        <f aca="false">ROUND(G84-Q84-MIN(G84-Q84,MAX(0,$AF84-SUMPRODUCT(--($B$4:$K$4&lt;G$4),$B84:$K84-$L84:$U84))),2)</f>
        <v>0</v>
      </c>
      <c r="AB84" s="39" t="n">
        <f aca="false">ROUND(H84-R84-MIN(H84-R84,MAX(0,$AF84-SUMPRODUCT(--($B$4:$K$4&lt;H$4),$B84:$K84-$L84:$U84))),2)</f>
        <v>0</v>
      </c>
      <c r="AC84" s="39" t="n">
        <f aca="false">ROUND(I84-S84-MIN(I84-S84,MAX(0,$AF84-SUMPRODUCT(--($B$4:$K$4&lt;I$4),$B84:$K84-$L84:$U84))),2)</f>
        <v>0</v>
      </c>
      <c r="AD84" s="39" t="n">
        <f aca="false">ROUND(J84-T84-MIN(J84-T84,MAX(0,$AF84-SUMPRODUCT(--($B$4:$K$4&lt;J$4),$B84:$K84-$L84:$U84))),2)</f>
        <v>0</v>
      </c>
      <c r="AE84" s="39" t="n">
        <f aca="false">ROUND(K84-U84-MIN(K84-U84,MAX(0,$AF84-SUMPRODUCT(--($B$4:$K$4&lt;K$4),$B84:$K84-$L84:$U84))),2)</f>
        <v>0</v>
      </c>
      <c r="AF84" s="39" t="n">
        <f aca="false">MAX(0,'Start Here'!$C$5-SUM($L84:$U84))</f>
        <v>1200</v>
      </c>
      <c r="AG84" s="39" t="n">
        <f aca="false">SUM(V84:AE84)</f>
        <v>0</v>
      </c>
      <c r="AH84" s="39" t="n">
        <f aca="false">SUM(B84:K84)-AG83</f>
        <v>0</v>
      </c>
    </row>
    <row r="85" customFormat="false" ht="15" hidden="false" customHeight="false" outlineLevel="0" collapsed="false">
      <c r="A85" s="40" t="n">
        <f aca="false">DATE(YEAR('Start Here'!$C$6),MONTH('Start Here'!$C$6)+78,1)</f>
        <v>48670</v>
      </c>
      <c r="B85" s="39" t="n">
        <f aca="false">ROUND(V84*(1+N('My Debts'!$D$6)/12),2)</f>
        <v>0</v>
      </c>
      <c r="C85" s="39" t="n">
        <f aca="false">ROUND(W84*(1+N('My Debts'!$D$7)/12),2)</f>
        <v>0</v>
      </c>
      <c r="D85" s="39" t="n">
        <f aca="false">ROUND(X84*(1+N('My Debts'!$D$8)/12),2)</f>
        <v>0</v>
      </c>
      <c r="E85" s="39" t="n">
        <f aca="false">ROUND(Y84*(1+N('My Debts'!$D$9)/12),2)</f>
        <v>0</v>
      </c>
      <c r="F85" s="39" t="n">
        <f aca="false">ROUND(Z84*(1+N('My Debts'!$D$10)/12),2)</f>
        <v>0</v>
      </c>
      <c r="G85" s="39" t="n">
        <f aca="false">ROUND(AA84*(1+N('My Debts'!$D$11)/12),2)</f>
        <v>0</v>
      </c>
      <c r="H85" s="39" t="n">
        <f aca="false">ROUND(AB84*(1+N('My Debts'!$D$12)/12),2)</f>
        <v>0</v>
      </c>
      <c r="I85" s="39" t="n">
        <f aca="false">ROUND(AC84*(1+N('My Debts'!$D$13)/12),2)</f>
        <v>0</v>
      </c>
      <c r="J85" s="39" t="n">
        <f aca="false">ROUND(AD84*(1+N('My Debts'!$D$14)/12),2)</f>
        <v>0</v>
      </c>
      <c r="K85" s="39" t="n">
        <f aca="false">ROUND(AE84*(1+N('My Debts'!$D$15)/12),2)</f>
        <v>0</v>
      </c>
      <c r="L85" s="39" t="n">
        <f aca="false">MIN(N('My Debts'!$E$6),B85)</f>
        <v>0</v>
      </c>
      <c r="M85" s="39" t="n">
        <f aca="false">MIN(N('My Debts'!$E$7),C85)</f>
        <v>0</v>
      </c>
      <c r="N85" s="39" t="n">
        <f aca="false">MIN(N('My Debts'!$E$8),D85)</f>
        <v>0</v>
      </c>
      <c r="O85" s="39" t="n">
        <f aca="false">MIN(N('My Debts'!$E$9),E85)</f>
        <v>0</v>
      </c>
      <c r="P85" s="39" t="n">
        <f aca="false">MIN(N('My Debts'!$E$10),F85)</f>
        <v>0</v>
      </c>
      <c r="Q85" s="39" t="n">
        <f aca="false">MIN(N('My Debts'!$E$11),G85)</f>
        <v>0</v>
      </c>
      <c r="R85" s="39" t="n">
        <f aca="false">MIN(N('My Debts'!$E$12),H85)</f>
        <v>0</v>
      </c>
      <c r="S85" s="39" t="n">
        <f aca="false">MIN(N('My Debts'!$E$13),I85)</f>
        <v>0</v>
      </c>
      <c r="T85" s="39" t="n">
        <f aca="false">MIN(N('My Debts'!$E$14),J85)</f>
        <v>0</v>
      </c>
      <c r="U85" s="39" t="n">
        <f aca="false">MIN(N('My Debts'!$E$15),K85)</f>
        <v>0</v>
      </c>
      <c r="V85" s="39" t="n">
        <f aca="false">ROUND(B85-L85-MIN(B85-L85,MAX(0,$AF85-SUMPRODUCT(--($B$4:$K$4&lt;B$4),$B85:$K85-$L85:$U85))),2)</f>
        <v>0</v>
      </c>
      <c r="W85" s="39" t="n">
        <f aca="false">ROUND(C85-M85-MIN(C85-M85,MAX(0,$AF85-SUMPRODUCT(--($B$4:$K$4&lt;C$4),$B85:$K85-$L85:$U85))),2)</f>
        <v>0</v>
      </c>
      <c r="X85" s="39" t="n">
        <f aca="false">ROUND(D85-N85-MIN(D85-N85,MAX(0,$AF85-SUMPRODUCT(--($B$4:$K$4&lt;D$4),$B85:$K85-$L85:$U85))),2)</f>
        <v>0</v>
      </c>
      <c r="Y85" s="39" t="n">
        <f aca="false">ROUND(E85-O85-MIN(E85-O85,MAX(0,$AF85-SUMPRODUCT(--($B$4:$K$4&lt;E$4),$B85:$K85-$L85:$U85))),2)</f>
        <v>0</v>
      </c>
      <c r="Z85" s="39" t="n">
        <f aca="false">ROUND(F85-P85-MIN(F85-P85,MAX(0,$AF85-SUMPRODUCT(--($B$4:$K$4&lt;F$4),$B85:$K85-$L85:$U85))),2)</f>
        <v>0</v>
      </c>
      <c r="AA85" s="39" t="n">
        <f aca="false">ROUND(G85-Q85-MIN(G85-Q85,MAX(0,$AF85-SUMPRODUCT(--($B$4:$K$4&lt;G$4),$B85:$K85-$L85:$U85))),2)</f>
        <v>0</v>
      </c>
      <c r="AB85" s="39" t="n">
        <f aca="false">ROUND(H85-R85-MIN(H85-R85,MAX(0,$AF85-SUMPRODUCT(--($B$4:$K$4&lt;H$4),$B85:$K85-$L85:$U85))),2)</f>
        <v>0</v>
      </c>
      <c r="AC85" s="39" t="n">
        <f aca="false">ROUND(I85-S85-MIN(I85-S85,MAX(0,$AF85-SUMPRODUCT(--($B$4:$K$4&lt;I$4),$B85:$K85-$L85:$U85))),2)</f>
        <v>0</v>
      </c>
      <c r="AD85" s="39" t="n">
        <f aca="false">ROUND(J85-T85-MIN(J85-T85,MAX(0,$AF85-SUMPRODUCT(--($B$4:$K$4&lt;J$4),$B85:$K85-$L85:$U85))),2)</f>
        <v>0</v>
      </c>
      <c r="AE85" s="39" t="n">
        <f aca="false">ROUND(K85-U85-MIN(K85-U85,MAX(0,$AF85-SUMPRODUCT(--($B$4:$K$4&lt;K$4),$B85:$K85-$L85:$U85))),2)</f>
        <v>0</v>
      </c>
      <c r="AF85" s="39" t="n">
        <f aca="false">MAX(0,'Start Here'!$C$5-SUM($L85:$U85))</f>
        <v>1200</v>
      </c>
      <c r="AG85" s="39" t="n">
        <f aca="false">SUM(V85:AE85)</f>
        <v>0</v>
      </c>
      <c r="AH85" s="39" t="n">
        <f aca="false">SUM(B85:K85)-AG84</f>
        <v>0</v>
      </c>
    </row>
    <row r="86" customFormat="false" ht="15" hidden="false" customHeight="false" outlineLevel="0" collapsed="false">
      <c r="A86" s="40" t="n">
        <f aca="false">DATE(YEAR('Start Here'!$C$6),MONTH('Start Here'!$C$6)+79,1)</f>
        <v>48700</v>
      </c>
      <c r="B86" s="39" t="n">
        <f aca="false">ROUND(V85*(1+N('My Debts'!$D$6)/12),2)</f>
        <v>0</v>
      </c>
      <c r="C86" s="39" t="n">
        <f aca="false">ROUND(W85*(1+N('My Debts'!$D$7)/12),2)</f>
        <v>0</v>
      </c>
      <c r="D86" s="39" t="n">
        <f aca="false">ROUND(X85*(1+N('My Debts'!$D$8)/12),2)</f>
        <v>0</v>
      </c>
      <c r="E86" s="39" t="n">
        <f aca="false">ROUND(Y85*(1+N('My Debts'!$D$9)/12),2)</f>
        <v>0</v>
      </c>
      <c r="F86" s="39" t="n">
        <f aca="false">ROUND(Z85*(1+N('My Debts'!$D$10)/12),2)</f>
        <v>0</v>
      </c>
      <c r="G86" s="39" t="n">
        <f aca="false">ROUND(AA85*(1+N('My Debts'!$D$11)/12),2)</f>
        <v>0</v>
      </c>
      <c r="H86" s="39" t="n">
        <f aca="false">ROUND(AB85*(1+N('My Debts'!$D$12)/12),2)</f>
        <v>0</v>
      </c>
      <c r="I86" s="39" t="n">
        <f aca="false">ROUND(AC85*(1+N('My Debts'!$D$13)/12),2)</f>
        <v>0</v>
      </c>
      <c r="J86" s="39" t="n">
        <f aca="false">ROUND(AD85*(1+N('My Debts'!$D$14)/12),2)</f>
        <v>0</v>
      </c>
      <c r="K86" s="39" t="n">
        <f aca="false">ROUND(AE85*(1+N('My Debts'!$D$15)/12),2)</f>
        <v>0</v>
      </c>
      <c r="L86" s="39" t="n">
        <f aca="false">MIN(N('My Debts'!$E$6),B86)</f>
        <v>0</v>
      </c>
      <c r="M86" s="39" t="n">
        <f aca="false">MIN(N('My Debts'!$E$7),C86)</f>
        <v>0</v>
      </c>
      <c r="N86" s="39" t="n">
        <f aca="false">MIN(N('My Debts'!$E$8),D86)</f>
        <v>0</v>
      </c>
      <c r="O86" s="39" t="n">
        <f aca="false">MIN(N('My Debts'!$E$9),E86)</f>
        <v>0</v>
      </c>
      <c r="P86" s="39" t="n">
        <f aca="false">MIN(N('My Debts'!$E$10),F86)</f>
        <v>0</v>
      </c>
      <c r="Q86" s="39" t="n">
        <f aca="false">MIN(N('My Debts'!$E$11),G86)</f>
        <v>0</v>
      </c>
      <c r="R86" s="39" t="n">
        <f aca="false">MIN(N('My Debts'!$E$12),H86)</f>
        <v>0</v>
      </c>
      <c r="S86" s="39" t="n">
        <f aca="false">MIN(N('My Debts'!$E$13),I86)</f>
        <v>0</v>
      </c>
      <c r="T86" s="39" t="n">
        <f aca="false">MIN(N('My Debts'!$E$14),J86)</f>
        <v>0</v>
      </c>
      <c r="U86" s="39" t="n">
        <f aca="false">MIN(N('My Debts'!$E$15),K86)</f>
        <v>0</v>
      </c>
      <c r="V86" s="39" t="n">
        <f aca="false">ROUND(B86-L86-MIN(B86-L86,MAX(0,$AF86-SUMPRODUCT(--($B$4:$K$4&lt;B$4),$B86:$K86-$L86:$U86))),2)</f>
        <v>0</v>
      </c>
      <c r="W86" s="39" t="n">
        <f aca="false">ROUND(C86-M86-MIN(C86-M86,MAX(0,$AF86-SUMPRODUCT(--($B$4:$K$4&lt;C$4),$B86:$K86-$L86:$U86))),2)</f>
        <v>0</v>
      </c>
      <c r="X86" s="39" t="n">
        <f aca="false">ROUND(D86-N86-MIN(D86-N86,MAX(0,$AF86-SUMPRODUCT(--($B$4:$K$4&lt;D$4),$B86:$K86-$L86:$U86))),2)</f>
        <v>0</v>
      </c>
      <c r="Y86" s="39" t="n">
        <f aca="false">ROUND(E86-O86-MIN(E86-O86,MAX(0,$AF86-SUMPRODUCT(--($B$4:$K$4&lt;E$4),$B86:$K86-$L86:$U86))),2)</f>
        <v>0</v>
      </c>
      <c r="Z86" s="39" t="n">
        <f aca="false">ROUND(F86-P86-MIN(F86-P86,MAX(0,$AF86-SUMPRODUCT(--($B$4:$K$4&lt;F$4),$B86:$K86-$L86:$U86))),2)</f>
        <v>0</v>
      </c>
      <c r="AA86" s="39" t="n">
        <f aca="false">ROUND(G86-Q86-MIN(G86-Q86,MAX(0,$AF86-SUMPRODUCT(--($B$4:$K$4&lt;G$4),$B86:$K86-$L86:$U86))),2)</f>
        <v>0</v>
      </c>
      <c r="AB86" s="39" t="n">
        <f aca="false">ROUND(H86-R86-MIN(H86-R86,MAX(0,$AF86-SUMPRODUCT(--($B$4:$K$4&lt;H$4),$B86:$K86-$L86:$U86))),2)</f>
        <v>0</v>
      </c>
      <c r="AC86" s="39" t="n">
        <f aca="false">ROUND(I86-S86-MIN(I86-S86,MAX(0,$AF86-SUMPRODUCT(--($B$4:$K$4&lt;I$4),$B86:$K86-$L86:$U86))),2)</f>
        <v>0</v>
      </c>
      <c r="AD86" s="39" t="n">
        <f aca="false">ROUND(J86-T86-MIN(J86-T86,MAX(0,$AF86-SUMPRODUCT(--($B$4:$K$4&lt;J$4),$B86:$K86-$L86:$U86))),2)</f>
        <v>0</v>
      </c>
      <c r="AE86" s="39" t="n">
        <f aca="false">ROUND(K86-U86-MIN(K86-U86,MAX(0,$AF86-SUMPRODUCT(--($B$4:$K$4&lt;K$4),$B86:$K86-$L86:$U86))),2)</f>
        <v>0</v>
      </c>
      <c r="AF86" s="39" t="n">
        <f aca="false">MAX(0,'Start Here'!$C$5-SUM($L86:$U86))</f>
        <v>1200</v>
      </c>
      <c r="AG86" s="39" t="n">
        <f aca="false">SUM(V86:AE86)</f>
        <v>0</v>
      </c>
      <c r="AH86" s="39" t="n">
        <f aca="false">SUM(B86:K86)-AG85</f>
        <v>0</v>
      </c>
    </row>
    <row r="87" customFormat="false" ht="15" hidden="false" customHeight="false" outlineLevel="0" collapsed="false">
      <c r="A87" s="40" t="n">
        <f aca="false">DATE(YEAR('Start Here'!$C$6),MONTH('Start Here'!$C$6)+80,1)</f>
        <v>48731</v>
      </c>
      <c r="B87" s="39" t="n">
        <f aca="false">ROUND(V86*(1+N('My Debts'!$D$6)/12),2)</f>
        <v>0</v>
      </c>
      <c r="C87" s="39" t="n">
        <f aca="false">ROUND(W86*(1+N('My Debts'!$D$7)/12),2)</f>
        <v>0</v>
      </c>
      <c r="D87" s="39" t="n">
        <f aca="false">ROUND(X86*(1+N('My Debts'!$D$8)/12),2)</f>
        <v>0</v>
      </c>
      <c r="E87" s="39" t="n">
        <f aca="false">ROUND(Y86*(1+N('My Debts'!$D$9)/12),2)</f>
        <v>0</v>
      </c>
      <c r="F87" s="39" t="n">
        <f aca="false">ROUND(Z86*(1+N('My Debts'!$D$10)/12),2)</f>
        <v>0</v>
      </c>
      <c r="G87" s="39" t="n">
        <f aca="false">ROUND(AA86*(1+N('My Debts'!$D$11)/12),2)</f>
        <v>0</v>
      </c>
      <c r="H87" s="39" t="n">
        <f aca="false">ROUND(AB86*(1+N('My Debts'!$D$12)/12),2)</f>
        <v>0</v>
      </c>
      <c r="I87" s="39" t="n">
        <f aca="false">ROUND(AC86*(1+N('My Debts'!$D$13)/12),2)</f>
        <v>0</v>
      </c>
      <c r="J87" s="39" t="n">
        <f aca="false">ROUND(AD86*(1+N('My Debts'!$D$14)/12),2)</f>
        <v>0</v>
      </c>
      <c r="K87" s="39" t="n">
        <f aca="false">ROUND(AE86*(1+N('My Debts'!$D$15)/12),2)</f>
        <v>0</v>
      </c>
      <c r="L87" s="39" t="n">
        <f aca="false">MIN(N('My Debts'!$E$6),B87)</f>
        <v>0</v>
      </c>
      <c r="M87" s="39" t="n">
        <f aca="false">MIN(N('My Debts'!$E$7),C87)</f>
        <v>0</v>
      </c>
      <c r="N87" s="39" t="n">
        <f aca="false">MIN(N('My Debts'!$E$8),D87)</f>
        <v>0</v>
      </c>
      <c r="O87" s="39" t="n">
        <f aca="false">MIN(N('My Debts'!$E$9),E87)</f>
        <v>0</v>
      </c>
      <c r="P87" s="39" t="n">
        <f aca="false">MIN(N('My Debts'!$E$10),F87)</f>
        <v>0</v>
      </c>
      <c r="Q87" s="39" t="n">
        <f aca="false">MIN(N('My Debts'!$E$11),G87)</f>
        <v>0</v>
      </c>
      <c r="R87" s="39" t="n">
        <f aca="false">MIN(N('My Debts'!$E$12),H87)</f>
        <v>0</v>
      </c>
      <c r="S87" s="39" t="n">
        <f aca="false">MIN(N('My Debts'!$E$13),I87)</f>
        <v>0</v>
      </c>
      <c r="T87" s="39" t="n">
        <f aca="false">MIN(N('My Debts'!$E$14),J87)</f>
        <v>0</v>
      </c>
      <c r="U87" s="39" t="n">
        <f aca="false">MIN(N('My Debts'!$E$15),K87)</f>
        <v>0</v>
      </c>
      <c r="V87" s="39" t="n">
        <f aca="false">ROUND(B87-L87-MIN(B87-L87,MAX(0,$AF87-SUMPRODUCT(--($B$4:$K$4&lt;B$4),$B87:$K87-$L87:$U87))),2)</f>
        <v>0</v>
      </c>
      <c r="W87" s="39" t="n">
        <f aca="false">ROUND(C87-M87-MIN(C87-M87,MAX(0,$AF87-SUMPRODUCT(--($B$4:$K$4&lt;C$4),$B87:$K87-$L87:$U87))),2)</f>
        <v>0</v>
      </c>
      <c r="X87" s="39" t="n">
        <f aca="false">ROUND(D87-N87-MIN(D87-N87,MAX(0,$AF87-SUMPRODUCT(--($B$4:$K$4&lt;D$4),$B87:$K87-$L87:$U87))),2)</f>
        <v>0</v>
      </c>
      <c r="Y87" s="39" t="n">
        <f aca="false">ROUND(E87-O87-MIN(E87-O87,MAX(0,$AF87-SUMPRODUCT(--($B$4:$K$4&lt;E$4),$B87:$K87-$L87:$U87))),2)</f>
        <v>0</v>
      </c>
      <c r="Z87" s="39" t="n">
        <f aca="false">ROUND(F87-P87-MIN(F87-P87,MAX(0,$AF87-SUMPRODUCT(--($B$4:$K$4&lt;F$4),$B87:$K87-$L87:$U87))),2)</f>
        <v>0</v>
      </c>
      <c r="AA87" s="39" t="n">
        <f aca="false">ROUND(G87-Q87-MIN(G87-Q87,MAX(0,$AF87-SUMPRODUCT(--($B$4:$K$4&lt;G$4),$B87:$K87-$L87:$U87))),2)</f>
        <v>0</v>
      </c>
      <c r="AB87" s="39" t="n">
        <f aca="false">ROUND(H87-R87-MIN(H87-R87,MAX(0,$AF87-SUMPRODUCT(--($B$4:$K$4&lt;H$4),$B87:$K87-$L87:$U87))),2)</f>
        <v>0</v>
      </c>
      <c r="AC87" s="39" t="n">
        <f aca="false">ROUND(I87-S87-MIN(I87-S87,MAX(0,$AF87-SUMPRODUCT(--($B$4:$K$4&lt;I$4),$B87:$K87-$L87:$U87))),2)</f>
        <v>0</v>
      </c>
      <c r="AD87" s="39" t="n">
        <f aca="false">ROUND(J87-T87-MIN(J87-T87,MAX(0,$AF87-SUMPRODUCT(--($B$4:$K$4&lt;J$4),$B87:$K87-$L87:$U87))),2)</f>
        <v>0</v>
      </c>
      <c r="AE87" s="39" t="n">
        <f aca="false">ROUND(K87-U87-MIN(K87-U87,MAX(0,$AF87-SUMPRODUCT(--($B$4:$K$4&lt;K$4),$B87:$K87-$L87:$U87))),2)</f>
        <v>0</v>
      </c>
      <c r="AF87" s="39" t="n">
        <f aca="false">MAX(0,'Start Here'!$C$5-SUM($L87:$U87))</f>
        <v>1200</v>
      </c>
      <c r="AG87" s="39" t="n">
        <f aca="false">SUM(V87:AE87)</f>
        <v>0</v>
      </c>
      <c r="AH87" s="39" t="n">
        <f aca="false">SUM(B87:K87)-AG86</f>
        <v>0</v>
      </c>
    </row>
    <row r="88" customFormat="false" ht="15" hidden="false" customHeight="false" outlineLevel="0" collapsed="false">
      <c r="A88" s="40" t="n">
        <f aca="false">DATE(YEAR('Start Here'!$C$6),MONTH('Start Here'!$C$6)+81,1)</f>
        <v>48761</v>
      </c>
      <c r="B88" s="39" t="n">
        <f aca="false">ROUND(V87*(1+N('My Debts'!$D$6)/12),2)</f>
        <v>0</v>
      </c>
      <c r="C88" s="39" t="n">
        <f aca="false">ROUND(W87*(1+N('My Debts'!$D$7)/12),2)</f>
        <v>0</v>
      </c>
      <c r="D88" s="39" t="n">
        <f aca="false">ROUND(X87*(1+N('My Debts'!$D$8)/12),2)</f>
        <v>0</v>
      </c>
      <c r="E88" s="39" t="n">
        <f aca="false">ROUND(Y87*(1+N('My Debts'!$D$9)/12),2)</f>
        <v>0</v>
      </c>
      <c r="F88" s="39" t="n">
        <f aca="false">ROUND(Z87*(1+N('My Debts'!$D$10)/12),2)</f>
        <v>0</v>
      </c>
      <c r="G88" s="39" t="n">
        <f aca="false">ROUND(AA87*(1+N('My Debts'!$D$11)/12),2)</f>
        <v>0</v>
      </c>
      <c r="H88" s="39" t="n">
        <f aca="false">ROUND(AB87*(1+N('My Debts'!$D$12)/12),2)</f>
        <v>0</v>
      </c>
      <c r="I88" s="39" t="n">
        <f aca="false">ROUND(AC87*(1+N('My Debts'!$D$13)/12),2)</f>
        <v>0</v>
      </c>
      <c r="J88" s="39" t="n">
        <f aca="false">ROUND(AD87*(1+N('My Debts'!$D$14)/12),2)</f>
        <v>0</v>
      </c>
      <c r="K88" s="39" t="n">
        <f aca="false">ROUND(AE87*(1+N('My Debts'!$D$15)/12),2)</f>
        <v>0</v>
      </c>
      <c r="L88" s="39" t="n">
        <f aca="false">MIN(N('My Debts'!$E$6),B88)</f>
        <v>0</v>
      </c>
      <c r="M88" s="39" t="n">
        <f aca="false">MIN(N('My Debts'!$E$7),C88)</f>
        <v>0</v>
      </c>
      <c r="N88" s="39" t="n">
        <f aca="false">MIN(N('My Debts'!$E$8),D88)</f>
        <v>0</v>
      </c>
      <c r="O88" s="39" t="n">
        <f aca="false">MIN(N('My Debts'!$E$9),E88)</f>
        <v>0</v>
      </c>
      <c r="P88" s="39" t="n">
        <f aca="false">MIN(N('My Debts'!$E$10),F88)</f>
        <v>0</v>
      </c>
      <c r="Q88" s="39" t="n">
        <f aca="false">MIN(N('My Debts'!$E$11),G88)</f>
        <v>0</v>
      </c>
      <c r="R88" s="39" t="n">
        <f aca="false">MIN(N('My Debts'!$E$12),H88)</f>
        <v>0</v>
      </c>
      <c r="S88" s="39" t="n">
        <f aca="false">MIN(N('My Debts'!$E$13),I88)</f>
        <v>0</v>
      </c>
      <c r="T88" s="39" t="n">
        <f aca="false">MIN(N('My Debts'!$E$14),J88)</f>
        <v>0</v>
      </c>
      <c r="U88" s="39" t="n">
        <f aca="false">MIN(N('My Debts'!$E$15),K88)</f>
        <v>0</v>
      </c>
      <c r="V88" s="39" t="n">
        <f aca="false">ROUND(B88-L88-MIN(B88-L88,MAX(0,$AF88-SUMPRODUCT(--($B$4:$K$4&lt;B$4),$B88:$K88-$L88:$U88))),2)</f>
        <v>0</v>
      </c>
      <c r="W88" s="39" t="n">
        <f aca="false">ROUND(C88-M88-MIN(C88-M88,MAX(0,$AF88-SUMPRODUCT(--($B$4:$K$4&lt;C$4),$B88:$K88-$L88:$U88))),2)</f>
        <v>0</v>
      </c>
      <c r="X88" s="39" t="n">
        <f aca="false">ROUND(D88-N88-MIN(D88-N88,MAX(0,$AF88-SUMPRODUCT(--($B$4:$K$4&lt;D$4),$B88:$K88-$L88:$U88))),2)</f>
        <v>0</v>
      </c>
      <c r="Y88" s="39" t="n">
        <f aca="false">ROUND(E88-O88-MIN(E88-O88,MAX(0,$AF88-SUMPRODUCT(--($B$4:$K$4&lt;E$4),$B88:$K88-$L88:$U88))),2)</f>
        <v>0</v>
      </c>
      <c r="Z88" s="39" t="n">
        <f aca="false">ROUND(F88-P88-MIN(F88-P88,MAX(0,$AF88-SUMPRODUCT(--($B$4:$K$4&lt;F$4),$B88:$K88-$L88:$U88))),2)</f>
        <v>0</v>
      </c>
      <c r="AA88" s="39" t="n">
        <f aca="false">ROUND(G88-Q88-MIN(G88-Q88,MAX(0,$AF88-SUMPRODUCT(--($B$4:$K$4&lt;G$4),$B88:$K88-$L88:$U88))),2)</f>
        <v>0</v>
      </c>
      <c r="AB88" s="39" t="n">
        <f aca="false">ROUND(H88-R88-MIN(H88-R88,MAX(0,$AF88-SUMPRODUCT(--($B$4:$K$4&lt;H$4),$B88:$K88-$L88:$U88))),2)</f>
        <v>0</v>
      </c>
      <c r="AC88" s="39" t="n">
        <f aca="false">ROUND(I88-S88-MIN(I88-S88,MAX(0,$AF88-SUMPRODUCT(--($B$4:$K$4&lt;I$4),$B88:$K88-$L88:$U88))),2)</f>
        <v>0</v>
      </c>
      <c r="AD88" s="39" t="n">
        <f aca="false">ROUND(J88-T88-MIN(J88-T88,MAX(0,$AF88-SUMPRODUCT(--($B$4:$K$4&lt;J$4),$B88:$K88-$L88:$U88))),2)</f>
        <v>0</v>
      </c>
      <c r="AE88" s="39" t="n">
        <f aca="false">ROUND(K88-U88-MIN(K88-U88,MAX(0,$AF88-SUMPRODUCT(--($B$4:$K$4&lt;K$4),$B88:$K88-$L88:$U88))),2)</f>
        <v>0</v>
      </c>
      <c r="AF88" s="39" t="n">
        <f aca="false">MAX(0,'Start Here'!$C$5-SUM($L88:$U88))</f>
        <v>1200</v>
      </c>
      <c r="AG88" s="39" t="n">
        <f aca="false">SUM(V88:AE88)</f>
        <v>0</v>
      </c>
      <c r="AH88" s="39" t="n">
        <f aca="false">SUM(B88:K88)-AG87</f>
        <v>0</v>
      </c>
    </row>
    <row r="89" customFormat="false" ht="15" hidden="false" customHeight="false" outlineLevel="0" collapsed="false">
      <c r="A89" s="40" t="n">
        <f aca="false">DATE(YEAR('Start Here'!$C$6),MONTH('Start Here'!$C$6)+82,1)</f>
        <v>48792</v>
      </c>
      <c r="B89" s="39" t="n">
        <f aca="false">ROUND(V88*(1+N('My Debts'!$D$6)/12),2)</f>
        <v>0</v>
      </c>
      <c r="C89" s="39" t="n">
        <f aca="false">ROUND(W88*(1+N('My Debts'!$D$7)/12),2)</f>
        <v>0</v>
      </c>
      <c r="D89" s="39" t="n">
        <f aca="false">ROUND(X88*(1+N('My Debts'!$D$8)/12),2)</f>
        <v>0</v>
      </c>
      <c r="E89" s="39" t="n">
        <f aca="false">ROUND(Y88*(1+N('My Debts'!$D$9)/12),2)</f>
        <v>0</v>
      </c>
      <c r="F89" s="39" t="n">
        <f aca="false">ROUND(Z88*(1+N('My Debts'!$D$10)/12),2)</f>
        <v>0</v>
      </c>
      <c r="G89" s="39" t="n">
        <f aca="false">ROUND(AA88*(1+N('My Debts'!$D$11)/12),2)</f>
        <v>0</v>
      </c>
      <c r="H89" s="39" t="n">
        <f aca="false">ROUND(AB88*(1+N('My Debts'!$D$12)/12),2)</f>
        <v>0</v>
      </c>
      <c r="I89" s="39" t="n">
        <f aca="false">ROUND(AC88*(1+N('My Debts'!$D$13)/12),2)</f>
        <v>0</v>
      </c>
      <c r="J89" s="39" t="n">
        <f aca="false">ROUND(AD88*(1+N('My Debts'!$D$14)/12),2)</f>
        <v>0</v>
      </c>
      <c r="K89" s="39" t="n">
        <f aca="false">ROUND(AE88*(1+N('My Debts'!$D$15)/12),2)</f>
        <v>0</v>
      </c>
      <c r="L89" s="39" t="n">
        <f aca="false">MIN(N('My Debts'!$E$6),B89)</f>
        <v>0</v>
      </c>
      <c r="M89" s="39" t="n">
        <f aca="false">MIN(N('My Debts'!$E$7),C89)</f>
        <v>0</v>
      </c>
      <c r="N89" s="39" t="n">
        <f aca="false">MIN(N('My Debts'!$E$8),D89)</f>
        <v>0</v>
      </c>
      <c r="O89" s="39" t="n">
        <f aca="false">MIN(N('My Debts'!$E$9),E89)</f>
        <v>0</v>
      </c>
      <c r="P89" s="39" t="n">
        <f aca="false">MIN(N('My Debts'!$E$10),F89)</f>
        <v>0</v>
      </c>
      <c r="Q89" s="39" t="n">
        <f aca="false">MIN(N('My Debts'!$E$11),G89)</f>
        <v>0</v>
      </c>
      <c r="R89" s="39" t="n">
        <f aca="false">MIN(N('My Debts'!$E$12),H89)</f>
        <v>0</v>
      </c>
      <c r="S89" s="39" t="n">
        <f aca="false">MIN(N('My Debts'!$E$13),I89)</f>
        <v>0</v>
      </c>
      <c r="T89" s="39" t="n">
        <f aca="false">MIN(N('My Debts'!$E$14),J89)</f>
        <v>0</v>
      </c>
      <c r="U89" s="39" t="n">
        <f aca="false">MIN(N('My Debts'!$E$15),K89)</f>
        <v>0</v>
      </c>
      <c r="V89" s="39" t="n">
        <f aca="false">ROUND(B89-L89-MIN(B89-L89,MAX(0,$AF89-SUMPRODUCT(--($B$4:$K$4&lt;B$4),$B89:$K89-$L89:$U89))),2)</f>
        <v>0</v>
      </c>
      <c r="W89" s="39" t="n">
        <f aca="false">ROUND(C89-M89-MIN(C89-M89,MAX(0,$AF89-SUMPRODUCT(--($B$4:$K$4&lt;C$4),$B89:$K89-$L89:$U89))),2)</f>
        <v>0</v>
      </c>
      <c r="X89" s="39" t="n">
        <f aca="false">ROUND(D89-N89-MIN(D89-N89,MAX(0,$AF89-SUMPRODUCT(--($B$4:$K$4&lt;D$4),$B89:$K89-$L89:$U89))),2)</f>
        <v>0</v>
      </c>
      <c r="Y89" s="39" t="n">
        <f aca="false">ROUND(E89-O89-MIN(E89-O89,MAX(0,$AF89-SUMPRODUCT(--($B$4:$K$4&lt;E$4),$B89:$K89-$L89:$U89))),2)</f>
        <v>0</v>
      </c>
      <c r="Z89" s="39" t="n">
        <f aca="false">ROUND(F89-P89-MIN(F89-P89,MAX(0,$AF89-SUMPRODUCT(--($B$4:$K$4&lt;F$4),$B89:$K89-$L89:$U89))),2)</f>
        <v>0</v>
      </c>
      <c r="AA89" s="39" t="n">
        <f aca="false">ROUND(G89-Q89-MIN(G89-Q89,MAX(0,$AF89-SUMPRODUCT(--($B$4:$K$4&lt;G$4),$B89:$K89-$L89:$U89))),2)</f>
        <v>0</v>
      </c>
      <c r="AB89" s="39" t="n">
        <f aca="false">ROUND(H89-R89-MIN(H89-R89,MAX(0,$AF89-SUMPRODUCT(--($B$4:$K$4&lt;H$4),$B89:$K89-$L89:$U89))),2)</f>
        <v>0</v>
      </c>
      <c r="AC89" s="39" t="n">
        <f aca="false">ROUND(I89-S89-MIN(I89-S89,MAX(0,$AF89-SUMPRODUCT(--($B$4:$K$4&lt;I$4),$B89:$K89-$L89:$U89))),2)</f>
        <v>0</v>
      </c>
      <c r="AD89" s="39" t="n">
        <f aca="false">ROUND(J89-T89-MIN(J89-T89,MAX(0,$AF89-SUMPRODUCT(--($B$4:$K$4&lt;J$4),$B89:$K89-$L89:$U89))),2)</f>
        <v>0</v>
      </c>
      <c r="AE89" s="39" t="n">
        <f aca="false">ROUND(K89-U89-MIN(K89-U89,MAX(0,$AF89-SUMPRODUCT(--($B$4:$K$4&lt;K$4),$B89:$K89-$L89:$U89))),2)</f>
        <v>0</v>
      </c>
      <c r="AF89" s="39" t="n">
        <f aca="false">MAX(0,'Start Here'!$C$5-SUM($L89:$U89))</f>
        <v>1200</v>
      </c>
      <c r="AG89" s="39" t="n">
        <f aca="false">SUM(V89:AE89)</f>
        <v>0</v>
      </c>
      <c r="AH89" s="39" t="n">
        <f aca="false">SUM(B89:K89)-AG88</f>
        <v>0</v>
      </c>
    </row>
    <row r="90" customFormat="false" ht="15" hidden="false" customHeight="false" outlineLevel="0" collapsed="false">
      <c r="A90" s="40" t="n">
        <f aca="false">DATE(YEAR('Start Here'!$C$6),MONTH('Start Here'!$C$6)+83,1)</f>
        <v>48823</v>
      </c>
      <c r="B90" s="39" t="n">
        <f aca="false">ROUND(V89*(1+N('My Debts'!$D$6)/12),2)</f>
        <v>0</v>
      </c>
      <c r="C90" s="39" t="n">
        <f aca="false">ROUND(W89*(1+N('My Debts'!$D$7)/12),2)</f>
        <v>0</v>
      </c>
      <c r="D90" s="39" t="n">
        <f aca="false">ROUND(X89*(1+N('My Debts'!$D$8)/12),2)</f>
        <v>0</v>
      </c>
      <c r="E90" s="39" t="n">
        <f aca="false">ROUND(Y89*(1+N('My Debts'!$D$9)/12),2)</f>
        <v>0</v>
      </c>
      <c r="F90" s="39" t="n">
        <f aca="false">ROUND(Z89*(1+N('My Debts'!$D$10)/12),2)</f>
        <v>0</v>
      </c>
      <c r="G90" s="39" t="n">
        <f aca="false">ROUND(AA89*(1+N('My Debts'!$D$11)/12),2)</f>
        <v>0</v>
      </c>
      <c r="H90" s="39" t="n">
        <f aca="false">ROUND(AB89*(1+N('My Debts'!$D$12)/12),2)</f>
        <v>0</v>
      </c>
      <c r="I90" s="39" t="n">
        <f aca="false">ROUND(AC89*(1+N('My Debts'!$D$13)/12),2)</f>
        <v>0</v>
      </c>
      <c r="J90" s="39" t="n">
        <f aca="false">ROUND(AD89*(1+N('My Debts'!$D$14)/12),2)</f>
        <v>0</v>
      </c>
      <c r="K90" s="39" t="n">
        <f aca="false">ROUND(AE89*(1+N('My Debts'!$D$15)/12),2)</f>
        <v>0</v>
      </c>
      <c r="L90" s="39" t="n">
        <f aca="false">MIN(N('My Debts'!$E$6),B90)</f>
        <v>0</v>
      </c>
      <c r="M90" s="39" t="n">
        <f aca="false">MIN(N('My Debts'!$E$7),C90)</f>
        <v>0</v>
      </c>
      <c r="N90" s="39" t="n">
        <f aca="false">MIN(N('My Debts'!$E$8),D90)</f>
        <v>0</v>
      </c>
      <c r="O90" s="39" t="n">
        <f aca="false">MIN(N('My Debts'!$E$9),E90)</f>
        <v>0</v>
      </c>
      <c r="P90" s="39" t="n">
        <f aca="false">MIN(N('My Debts'!$E$10),F90)</f>
        <v>0</v>
      </c>
      <c r="Q90" s="39" t="n">
        <f aca="false">MIN(N('My Debts'!$E$11),G90)</f>
        <v>0</v>
      </c>
      <c r="R90" s="39" t="n">
        <f aca="false">MIN(N('My Debts'!$E$12),H90)</f>
        <v>0</v>
      </c>
      <c r="S90" s="39" t="n">
        <f aca="false">MIN(N('My Debts'!$E$13),I90)</f>
        <v>0</v>
      </c>
      <c r="T90" s="39" t="n">
        <f aca="false">MIN(N('My Debts'!$E$14),J90)</f>
        <v>0</v>
      </c>
      <c r="U90" s="39" t="n">
        <f aca="false">MIN(N('My Debts'!$E$15),K90)</f>
        <v>0</v>
      </c>
      <c r="V90" s="39" t="n">
        <f aca="false">ROUND(B90-L90-MIN(B90-L90,MAX(0,$AF90-SUMPRODUCT(--($B$4:$K$4&lt;B$4),$B90:$K90-$L90:$U90))),2)</f>
        <v>0</v>
      </c>
      <c r="W90" s="39" t="n">
        <f aca="false">ROUND(C90-M90-MIN(C90-M90,MAX(0,$AF90-SUMPRODUCT(--($B$4:$K$4&lt;C$4),$B90:$K90-$L90:$U90))),2)</f>
        <v>0</v>
      </c>
      <c r="X90" s="39" t="n">
        <f aca="false">ROUND(D90-N90-MIN(D90-N90,MAX(0,$AF90-SUMPRODUCT(--($B$4:$K$4&lt;D$4),$B90:$K90-$L90:$U90))),2)</f>
        <v>0</v>
      </c>
      <c r="Y90" s="39" t="n">
        <f aca="false">ROUND(E90-O90-MIN(E90-O90,MAX(0,$AF90-SUMPRODUCT(--($B$4:$K$4&lt;E$4),$B90:$K90-$L90:$U90))),2)</f>
        <v>0</v>
      </c>
      <c r="Z90" s="39" t="n">
        <f aca="false">ROUND(F90-P90-MIN(F90-P90,MAX(0,$AF90-SUMPRODUCT(--($B$4:$K$4&lt;F$4),$B90:$K90-$L90:$U90))),2)</f>
        <v>0</v>
      </c>
      <c r="AA90" s="39" t="n">
        <f aca="false">ROUND(G90-Q90-MIN(G90-Q90,MAX(0,$AF90-SUMPRODUCT(--($B$4:$K$4&lt;G$4),$B90:$K90-$L90:$U90))),2)</f>
        <v>0</v>
      </c>
      <c r="AB90" s="39" t="n">
        <f aca="false">ROUND(H90-R90-MIN(H90-R90,MAX(0,$AF90-SUMPRODUCT(--($B$4:$K$4&lt;H$4),$B90:$K90-$L90:$U90))),2)</f>
        <v>0</v>
      </c>
      <c r="AC90" s="39" t="n">
        <f aca="false">ROUND(I90-S90-MIN(I90-S90,MAX(0,$AF90-SUMPRODUCT(--($B$4:$K$4&lt;I$4),$B90:$K90-$L90:$U90))),2)</f>
        <v>0</v>
      </c>
      <c r="AD90" s="39" t="n">
        <f aca="false">ROUND(J90-T90-MIN(J90-T90,MAX(0,$AF90-SUMPRODUCT(--($B$4:$K$4&lt;J$4),$B90:$K90-$L90:$U90))),2)</f>
        <v>0</v>
      </c>
      <c r="AE90" s="39" t="n">
        <f aca="false">ROUND(K90-U90-MIN(K90-U90,MAX(0,$AF90-SUMPRODUCT(--($B$4:$K$4&lt;K$4),$B90:$K90-$L90:$U90))),2)</f>
        <v>0</v>
      </c>
      <c r="AF90" s="39" t="n">
        <f aca="false">MAX(0,'Start Here'!$C$5-SUM($L90:$U90))</f>
        <v>1200</v>
      </c>
      <c r="AG90" s="39" t="n">
        <f aca="false">SUM(V90:AE90)</f>
        <v>0</v>
      </c>
      <c r="AH90" s="39" t="n">
        <f aca="false">SUM(B90:K90)-AG89</f>
        <v>0</v>
      </c>
    </row>
    <row r="91" customFormat="false" ht="15" hidden="false" customHeight="false" outlineLevel="0" collapsed="false">
      <c r="A91" s="40" t="n">
        <f aca="false">DATE(YEAR('Start Here'!$C$6),MONTH('Start Here'!$C$6)+84,1)</f>
        <v>48853</v>
      </c>
      <c r="B91" s="39" t="n">
        <f aca="false">ROUND(V90*(1+N('My Debts'!$D$6)/12),2)</f>
        <v>0</v>
      </c>
      <c r="C91" s="39" t="n">
        <f aca="false">ROUND(W90*(1+N('My Debts'!$D$7)/12),2)</f>
        <v>0</v>
      </c>
      <c r="D91" s="39" t="n">
        <f aca="false">ROUND(X90*(1+N('My Debts'!$D$8)/12),2)</f>
        <v>0</v>
      </c>
      <c r="E91" s="39" t="n">
        <f aca="false">ROUND(Y90*(1+N('My Debts'!$D$9)/12),2)</f>
        <v>0</v>
      </c>
      <c r="F91" s="39" t="n">
        <f aca="false">ROUND(Z90*(1+N('My Debts'!$D$10)/12),2)</f>
        <v>0</v>
      </c>
      <c r="G91" s="39" t="n">
        <f aca="false">ROUND(AA90*(1+N('My Debts'!$D$11)/12),2)</f>
        <v>0</v>
      </c>
      <c r="H91" s="39" t="n">
        <f aca="false">ROUND(AB90*(1+N('My Debts'!$D$12)/12),2)</f>
        <v>0</v>
      </c>
      <c r="I91" s="39" t="n">
        <f aca="false">ROUND(AC90*(1+N('My Debts'!$D$13)/12),2)</f>
        <v>0</v>
      </c>
      <c r="J91" s="39" t="n">
        <f aca="false">ROUND(AD90*(1+N('My Debts'!$D$14)/12),2)</f>
        <v>0</v>
      </c>
      <c r="K91" s="39" t="n">
        <f aca="false">ROUND(AE90*(1+N('My Debts'!$D$15)/12),2)</f>
        <v>0</v>
      </c>
      <c r="L91" s="39" t="n">
        <f aca="false">MIN(N('My Debts'!$E$6),B91)</f>
        <v>0</v>
      </c>
      <c r="M91" s="39" t="n">
        <f aca="false">MIN(N('My Debts'!$E$7),C91)</f>
        <v>0</v>
      </c>
      <c r="N91" s="39" t="n">
        <f aca="false">MIN(N('My Debts'!$E$8),D91)</f>
        <v>0</v>
      </c>
      <c r="O91" s="39" t="n">
        <f aca="false">MIN(N('My Debts'!$E$9),E91)</f>
        <v>0</v>
      </c>
      <c r="P91" s="39" t="n">
        <f aca="false">MIN(N('My Debts'!$E$10),F91)</f>
        <v>0</v>
      </c>
      <c r="Q91" s="39" t="n">
        <f aca="false">MIN(N('My Debts'!$E$11),G91)</f>
        <v>0</v>
      </c>
      <c r="R91" s="39" t="n">
        <f aca="false">MIN(N('My Debts'!$E$12),H91)</f>
        <v>0</v>
      </c>
      <c r="S91" s="39" t="n">
        <f aca="false">MIN(N('My Debts'!$E$13),I91)</f>
        <v>0</v>
      </c>
      <c r="T91" s="39" t="n">
        <f aca="false">MIN(N('My Debts'!$E$14),J91)</f>
        <v>0</v>
      </c>
      <c r="U91" s="39" t="n">
        <f aca="false">MIN(N('My Debts'!$E$15),K91)</f>
        <v>0</v>
      </c>
      <c r="V91" s="39" t="n">
        <f aca="false">ROUND(B91-L91-MIN(B91-L91,MAX(0,$AF91-SUMPRODUCT(--($B$4:$K$4&lt;B$4),$B91:$K91-$L91:$U91))),2)</f>
        <v>0</v>
      </c>
      <c r="W91" s="39" t="n">
        <f aca="false">ROUND(C91-M91-MIN(C91-M91,MAX(0,$AF91-SUMPRODUCT(--($B$4:$K$4&lt;C$4),$B91:$K91-$L91:$U91))),2)</f>
        <v>0</v>
      </c>
      <c r="X91" s="39" t="n">
        <f aca="false">ROUND(D91-N91-MIN(D91-N91,MAX(0,$AF91-SUMPRODUCT(--($B$4:$K$4&lt;D$4),$B91:$K91-$L91:$U91))),2)</f>
        <v>0</v>
      </c>
      <c r="Y91" s="39" t="n">
        <f aca="false">ROUND(E91-O91-MIN(E91-O91,MAX(0,$AF91-SUMPRODUCT(--($B$4:$K$4&lt;E$4),$B91:$K91-$L91:$U91))),2)</f>
        <v>0</v>
      </c>
      <c r="Z91" s="39" t="n">
        <f aca="false">ROUND(F91-P91-MIN(F91-P91,MAX(0,$AF91-SUMPRODUCT(--($B$4:$K$4&lt;F$4),$B91:$K91-$L91:$U91))),2)</f>
        <v>0</v>
      </c>
      <c r="AA91" s="39" t="n">
        <f aca="false">ROUND(G91-Q91-MIN(G91-Q91,MAX(0,$AF91-SUMPRODUCT(--($B$4:$K$4&lt;G$4),$B91:$K91-$L91:$U91))),2)</f>
        <v>0</v>
      </c>
      <c r="AB91" s="39" t="n">
        <f aca="false">ROUND(H91-R91-MIN(H91-R91,MAX(0,$AF91-SUMPRODUCT(--($B$4:$K$4&lt;H$4),$B91:$K91-$L91:$U91))),2)</f>
        <v>0</v>
      </c>
      <c r="AC91" s="39" t="n">
        <f aca="false">ROUND(I91-S91-MIN(I91-S91,MAX(0,$AF91-SUMPRODUCT(--($B$4:$K$4&lt;I$4),$B91:$K91-$L91:$U91))),2)</f>
        <v>0</v>
      </c>
      <c r="AD91" s="39" t="n">
        <f aca="false">ROUND(J91-T91-MIN(J91-T91,MAX(0,$AF91-SUMPRODUCT(--($B$4:$K$4&lt;J$4),$B91:$K91-$L91:$U91))),2)</f>
        <v>0</v>
      </c>
      <c r="AE91" s="39" t="n">
        <f aca="false">ROUND(K91-U91-MIN(K91-U91,MAX(0,$AF91-SUMPRODUCT(--($B$4:$K$4&lt;K$4),$B91:$K91-$L91:$U91))),2)</f>
        <v>0</v>
      </c>
      <c r="AF91" s="39" t="n">
        <f aca="false">MAX(0,'Start Here'!$C$5-SUM($L91:$U91))</f>
        <v>1200</v>
      </c>
      <c r="AG91" s="39" t="n">
        <f aca="false">SUM(V91:AE91)</f>
        <v>0</v>
      </c>
      <c r="AH91" s="39" t="n">
        <f aca="false">SUM(B91:K91)-AG90</f>
        <v>0</v>
      </c>
    </row>
    <row r="92" customFormat="false" ht="15" hidden="false" customHeight="false" outlineLevel="0" collapsed="false">
      <c r="A92" s="40" t="n">
        <f aca="false">DATE(YEAR('Start Here'!$C$6),MONTH('Start Here'!$C$6)+85,1)</f>
        <v>48884</v>
      </c>
      <c r="B92" s="39" t="n">
        <f aca="false">ROUND(V91*(1+N('My Debts'!$D$6)/12),2)</f>
        <v>0</v>
      </c>
      <c r="C92" s="39" t="n">
        <f aca="false">ROUND(W91*(1+N('My Debts'!$D$7)/12),2)</f>
        <v>0</v>
      </c>
      <c r="D92" s="39" t="n">
        <f aca="false">ROUND(X91*(1+N('My Debts'!$D$8)/12),2)</f>
        <v>0</v>
      </c>
      <c r="E92" s="39" t="n">
        <f aca="false">ROUND(Y91*(1+N('My Debts'!$D$9)/12),2)</f>
        <v>0</v>
      </c>
      <c r="F92" s="39" t="n">
        <f aca="false">ROUND(Z91*(1+N('My Debts'!$D$10)/12),2)</f>
        <v>0</v>
      </c>
      <c r="G92" s="39" t="n">
        <f aca="false">ROUND(AA91*(1+N('My Debts'!$D$11)/12),2)</f>
        <v>0</v>
      </c>
      <c r="H92" s="39" t="n">
        <f aca="false">ROUND(AB91*(1+N('My Debts'!$D$12)/12),2)</f>
        <v>0</v>
      </c>
      <c r="I92" s="39" t="n">
        <f aca="false">ROUND(AC91*(1+N('My Debts'!$D$13)/12),2)</f>
        <v>0</v>
      </c>
      <c r="J92" s="39" t="n">
        <f aca="false">ROUND(AD91*(1+N('My Debts'!$D$14)/12),2)</f>
        <v>0</v>
      </c>
      <c r="K92" s="39" t="n">
        <f aca="false">ROUND(AE91*(1+N('My Debts'!$D$15)/12),2)</f>
        <v>0</v>
      </c>
      <c r="L92" s="39" t="n">
        <f aca="false">MIN(N('My Debts'!$E$6),B92)</f>
        <v>0</v>
      </c>
      <c r="M92" s="39" t="n">
        <f aca="false">MIN(N('My Debts'!$E$7),C92)</f>
        <v>0</v>
      </c>
      <c r="N92" s="39" t="n">
        <f aca="false">MIN(N('My Debts'!$E$8),D92)</f>
        <v>0</v>
      </c>
      <c r="O92" s="39" t="n">
        <f aca="false">MIN(N('My Debts'!$E$9),E92)</f>
        <v>0</v>
      </c>
      <c r="P92" s="39" t="n">
        <f aca="false">MIN(N('My Debts'!$E$10),F92)</f>
        <v>0</v>
      </c>
      <c r="Q92" s="39" t="n">
        <f aca="false">MIN(N('My Debts'!$E$11),G92)</f>
        <v>0</v>
      </c>
      <c r="R92" s="39" t="n">
        <f aca="false">MIN(N('My Debts'!$E$12),H92)</f>
        <v>0</v>
      </c>
      <c r="S92" s="39" t="n">
        <f aca="false">MIN(N('My Debts'!$E$13),I92)</f>
        <v>0</v>
      </c>
      <c r="T92" s="39" t="n">
        <f aca="false">MIN(N('My Debts'!$E$14),J92)</f>
        <v>0</v>
      </c>
      <c r="U92" s="39" t="n">
        <f aca="false">MIN(N('My Debts'!$E$15),K92)</f>
        <v>0</v>
      </c>
      <c r="V92" s="39" t="n">
        <f aca="false">ROUND(B92-L92-MIN(B92-L92,MAX(0,$AF92-SUMPRODUCT(--($B$4:$K$4&lt;B$4),$B92:$K92-$L92:$U92))),2)</f>
        <v>0</v>
      </c>
      <c r="W92" s="39" t="n">
        <f aca="false">ROUND(C92-M92-MIN(C92-M92,MAX(0,$AF92-SUMPRODUCT(--($B$4:$K$4&lt;C$4),$B92:$K92-$L92:$U92))),2)</f>
        <v>0</v>
      </c>
      <c r="X92" s="39" t="n">
        <f aca="false">ROUND(D92-N92-MIN(D92-N92,MAX(0,$AF92-SUMPRODUCT(--($B$4:$K$4&lt;D$4),$B92:$K92-$L92:$U92))),2)</f>
        <v>0</v>
      </c>
      <c r="Y92" s="39" t="n">
        <f aca="false">ROUND(E92-O92-MIN(E92-O92,MAX(0,$AF92-SUMPRODUCT(--($B$4:$K$4&lt;E$4),$B92:$K92-$L92:$U92))),2)</f>
        <v>0</v>
      </c>
      <c r="Z92" s="39" t="n">
        <f aca="false">ROUND(F92-P92-MIN(F92-P92,MAX(0,$AF92-SUMPRODUCT(--($B$4:$K$4&lt;F$4),$B92:$K92-$L92:$U92))),2)</f>
        <v>0</v>
      </c>
      <c r="AA92" s="39" t="n">
        <f aca="false">ROUND(G92-Q92-MIN(G92-Q92,MAX(0,$AF92-SUMPRODUCT(--($B$4:$K$4&lt;G$4),$B92:$K92-$L92:$U92))),2)</f>
        <v>0</v>
      </c>
      <c r="AB92" s="39" t="n">
        <f aca="false">ROUND(H92-R92-MIN(H92-R92,MAX(0,$AF92-SUMPRODUCT(--($B$4:$K$4&lt;H$4),$B92:$K92-$L92:$U92))),2)</f>
        <v>0</v>
      </c>
      <c r="AC92" s="39" t="n">
        <f aca="false">ROUND(I92-S92-MIN(I92-S92,MAX(0,$AF92-SUMPRODUCT(--($B$4:$K$4&lt;I$4),$B92:$K92-$L92:$U92))),2)</f>
        <v>0</v>
      </c>
      <c r="AD92" s="39" t="n">
        <f aca="false">ROUND(J92-T92-MIN(J92-T92,MAX(0,$AF92-SUMPRODUCT(--($B$4:$K$4&lt;J$4),$B92:$K92-$L92:$U92))),2)</f>
        <v>0</v>
      </c>
      <c r="AE92" s="39" t="n">
        <f aca="false">ROUND(K92-U92-MIN(K92-U92,MAX(0,$AF92-SUMPRODUCT(--($B$4:$K$4&lt;K$4),$B92:$K92-$L92:$U92))),2)</f>
        <v>0</v>
      </c>
      <c r="AF92" s="39" t="n">
        <f aca="false">MAX(0,'Start Here'!$C$5-SUM($L92:$U92))</f>
        <v>1200</v>
      </c>
      <c r="AG92" s="39" t="n">
        <f aca="false">SUM(V92:AE92)</f>
        <v>0</v>
      </c>
      <c r="AH92" s="39" t="n">
        <f aca="false">SUM(B92:K92)-AG91</f>
        <v>0</v>
      </c>
    </row>
    <row r="93" customFormat="false" ht="15" hidden="false" customHeight="false" outlineLevel="0" collapsed="false">
      <c r="A93" s="40" t="n">
        <f aca="false">DATE(YEAR('Start Here'!$C$6),MONTH('Start Here'!$C$6)+86,1)</f>
        <v>48914</v>
      </c>
      <c r="B93" s="39" t="n">
        <f aca="false">ROUND(V92*(1+N('My Debts'!$D$6)/12),2)</f>
        <v>0</v>
      </c>
      <c r="C93" s="39" t="n">
        <f aca="false">ROUND(W92*(1+N('My Debts'!$D$7)/12),2)</f>
        <v>0</v>
      </c>
      <c r="D93" s="39" t="n">
        <f aca="false">ROUND(X92*(1+N('My Debts'!$D$8)/12),2)</f>
        <v>0</v>
      </c>
      <c r="E93" s="39" t="n">
        <f aca="false">ROUND(Y92*(1+N('My Debts'!$D$9)/12),2)</f>
        <v>0</v>
      </c>
      <c r="F93" s="39" t="n">
        <f aca="false">ROUND(Z92*(1+N('My Debts'!$D$10)/12),2)</f>
        <v>0</v>
      </c>
      <c r="G93" s="39" t="n">
        <f aca="false">ROUND(AA92*(1+N('My Debts'!$D$11)/12),2)</f>
        <v>0</v>
      </c>
      <c r="H93" s="39" t="n">
        <f aca="false">ROUND(AB92*(1+N('My Debts'!$D$12)/12),2)</f>
        <v>0</v>
      </c>
      <c r="I93" s="39" t="n">
        <f aca="false">ROUND(AC92*(1+N('My Debts'!$D$13)/12),2)</f>
        <v>0</v>
      </c>
      <c r="J93" s="39" t="n">
        <f aca="false">ROUND(AD92*(1+N('My Debts'!$D$14)/12),2)</f>
        <v>0</v>
      </c>
      <c r="K93" s="39" t="n">
        <f aca="false">ROUND(AE92*(1+N('My Debts'!$D$15)/12),2)</f>
        <v>0</v>
      </c>
      <c r="L93" s="39" t="n">
        <f aca="false">MIN(N('My Debts'!$E$6),B93)</f>
        <v>0</v>
      </c>
      <c r="M93" s="39" t="n">
        <f aca="false">MIN(N('My Debts'!$E$7),C93)</f>
        <v>0</v>
      </c>
      <c r="N93" s="39" t="n">
        <f aca="false">MIN(N('My Debts'!$E$8),D93)</f>
        <v>0</v>
      </c>
      <c r="O93" s="39" t="n">
        <f aca="false">MIN(N('My Debts'!$E$9),E93)</f>
        <v>0</v>
      </c>
      <c r="P93" s="39" t="n">
        <f aca="false">MIN(N('My Debts'!$E$10),F93)</f>
        <v>0</v>
      </c>
      <c r="Q93" s="39" t="n">
        <f aca="false">MIN(N('My Debts'!$E$11),G93)</f>
        <v>0</v>
      </c>
      <c r="R93" s="39" t="n">
        <f aca="false">MIN(N('My Debts'!$E$12),H93)</f>
        <v>0</v>
      </c>
      <c r="S93" s="39" t="n">
        <f aca="false">MIN(N('My Debts'!$E$13),I93)</f>
        <v>0</v>
      </c>
      <c r="T93" s="39" t="n">
        <f aca="false">MIN(N('My Debts'!$E$14),J93)</f>
        <v>0</v>
      </c>
      <c r="U93" s="39" t="n">
        <f aca="false">MIN(N('My Debts'!$E$15),K93)</f>
        <v>0</v>
      </c>
      <c r="V93" s="39" t="n">
        <f aca="false">ROUND(B93-L93-MIN(B93-L93,MAX(0,$AF93-SUMPRODUCT(--($B$4:$K$4&lt;B$4),$B93:$K93-$L93:$U93))),2)</f>
        <v>0</v>
      </c>
      <c r="W93" s="39" t="n">
        <f aca="false">ROUND(C93-M93-MIN(C93-M93,MAX(0,$AF93-SUMPRODUCT(--($B$4:$K$4&lt;C$4),$B93:$K93-$L93:$U93))),2)</f>
        <v>0</v>
      </c>
      <c r="X93" s="39" t="n">
        <f aca="false">ROUND(D93-N93-MIN(D93-N93,MAX(0,$AF93-SUMPRODUCT(--($B$4:$K$4&lt;D$4),$B93:$K93-$L93:$U93))),2)</f>
        <v>0</v>
      </c>
      <c r="Y93" s="39" t="n">
        <f aca="false">ROUND(E93-O93-MIN(E93-O93,MAX(0,$AF93-SUMPRODUCT(--($B$4:$K$4&lt;E$4),$B93:$K93-$L93:$U93))),2)</f>
        <v>0</v>
      </c>
      <c r="Z93" s="39" t="n">
        <f aca="false">ROUND(F93-P93-MIN(F93-P93,MAX(0,$AF93-SUMPRODUCT(--($B$4:$K$4&lt;F$4),$B93:$K93-$L93:$U93))),2)</f>
        <v>0</v>
      </c>
      <c r="AA93" s="39" t="n">
        <f aca="false">ROUND(G93-Q93-MIN(G93-Q93,MAX(0,$AF93-SUMPRODUCT(--($B$4:$K$4&lt;G$4),$B93:$K93-$L93:$U93))),2)</f>
        <v>0</v>
      </c>
      <c r="AB93" s="39" t="n">
        <f aca="false">ROUND(H93-R93-MIN(H93-R93,MAX(0,$AF93-SUMPRODUCT(--($B$4:$K$4&lt;H$4),$B93:$K93-$L93:$U93))),2)</f>
        <v>0</v>
      </c>
      <c r="AC93" s="39" t="n">
        <f aca="false">ROUND(I93-S93-MIN(I93-S93,MAX(0,$AF93-SUMPRODUCT(--($B$4:$K$4&lt;I$4),$B93:$K93-$L93:$U93))),2)</f>
        <v>0</v>
      </c>
      <c r="AD93" s="39" t="n">
        <f aca="false">ROUND(J93-T93-MIN(J93-T93,MAX(0,$AF93-SUMPRODUCT(--($B$4:$K$4&lt;J$4),$B93:$K93-$L93:$U93))),2)</f>
        <v>0</v>
      </c>
      <c r="AE93" s="39" t="n">
        <f aca="false">ROUND(K93-U93-MIN(K93-U93,MAX(0,$AF93-SUMPRODUCT(--($B$4:$K$4&lt;K$4),$B93:$K93-$L93:$U93))),2)</f>
        <v>0</v>
      </c>
      <c r="AF93" s="39" t="n">
        <f aca="false">MAX(0,'Start Here'!$C$5-SUM($L93:$U93))</f>
        <v>1200</v>
      </c>
      <c r="AG93" s="39" t="n">
        <f aca="false">SUM(V93:AE93)</f>
        <v>0</v>
      </c>
      <c r="AH93" s="39" t="n">
        <f aca="false">SUM(B93:K93)-AG92</f>
        <v>0</v>
      </c>
    </row>
    <row r="94" customFormat="false" ht="15" hidden="false" customHeight="false" outlineLevel="0" collapsed="false">
      <c r="A94" s="40" t="n">
        <f aca="false">DATE(YEAR('Start Here'!$C$6),MONTH('Start Here'!$C$6)+87,1)</f>
        <v>48945</v>
      </c>
      <c r="B94" s="39" t="n">
        <f aca="false">ROUND(V93*(1+N('My Debts'!$D$6)/12),2)</f>
        <v>0</v>
      </c>
      <c r="C94" s="39" t="n">
        <f aca="false">ROUND(W93*(1+N('My Debts'!$D$7)/12),2)</f>
        <v>0</v>
      </c>
      <c r="D94" s="39" t="n">
        <f aca="false">ROUND(X93*(1+N('My Debts'!$D$8)/12),2)</f>
        <v>0</v>
      </c>
      <c r="E94" s="39" t="n">
        <f aca="false">ROUND(Y93*(1+N('My Debts'!$D$9)/12),2)</f>
        <v>0</v>
      </c>
      <c r="F94" s="39" t="n">
        <f aca="false">ROUND(Z93*(1+N('My Debts'!$D$10)/12),2)</f>
        <v>0</v>
      </c>
      <c r="G94" s="39" t="n">
        <f aca="false">ROUND(AA93*(1+N('My Debts'!$D$11)/12),2)</f>
        <v>0</v>
      </c>
      <c r="H94" s="39" t="n">
        <f aca="false">ROUND(AB93*(1+N('My Debts'!$D$12)/12),2)</f>
        <v>0</v>
      </c>
      <c r="I94" s="39" t="n">
        <f aca="false">ROUND(AC93*(1+N('My Debts'!$D$13)/12),2)</f>
        <v>0</v>
      </c>
      <c r="J94" s="39" t="n">
        <f aca="false">ROUND(AD93*(1+N('My Debts'!$D$14)/12),2)</f>
        <v>0</v>
      </c>
      <c r="K94" s="39" t="n">
        <f aca="false">ROUND(AE93*(1+N('My Debts'!$D$15)/12),2)</f>
        <v>0</v>
      </c>
      <c r="L94" s="39" t="n">
        <f aca="false">MIN(N('My Debts'!$E$6),B94)</f>
        <v>0</v>
      </c>
      <c r="M94" s="39" t="n">
        <f aca="false">MIN(N('My Debts'!$E$7),C94)</f>
        <v>0</v>
      </c>
      <c r="N94" s="39" t="n">
        <f aca="false">MIN(N('My Debts'!$E$8),D94)</f>
        <v>0</v>
      </c>
      <c r="O94" s="39" t="n">
        <f aca="false">MIN(N('My Debts'!$E$9),E94)</f>
        <v>0</v>
      </c>
      <c r="P94" s="39" t="n">
        <f aca="false">MIN(N('My Debts'!$E$10),F94)</f>
        <v>0</v>
      </c>
      <c r="Q94" s="39" t="n">
        <f aca="false">MIN(N('My Debts'!$E$11),G94)</f>
        <v>0</v>
      </c>
      <c r="R94" s="39" t="n">
        <f aca="false">MIN(N('My Debts'!$E$12),H94)</f>
        <v>0</v>
      </c>
      <c r="S94" s="39" t="n">
        <f aca="false">MIN(N('My Debts'!$E$13),I94)</f>
        <v>0</v>
      </c>
      <c r="T94" s="39" t="n">
        <f aca="false">MIN(N('My Debts'!$E$14),J94)</f>
        <v>0</v>
      </c>
      <c r="U94" s="39" t="n">
        <f aca="false">MIN(N('My Debts'!$E$15),K94)</f>
        <v>0</v>
      </c>
      <c r="V94" s="39" t="n">
        <f aca="false">ROUND(B94-L94-MIN(B94-L94,MAX(0,$AF94-SUMPRODUCT(--($B$4:$K$4&lt;B$4),$B94:$K94-$L94:$U94))),2)</f>
        <v>0</v>
      </c>
      <c r="W94" s="39" t="n">
        <f aca="false">ROUND(C94-M94-MIN(C94-M94,MAX(0,$AF94-SUMPRODUCT(--($B$4:$K$4&lt;C$4),$B94:$K94-$L94:$U94))),2)</f>
        <v>0</v>
      </c>
      <c r="X94" s="39" t="n">
        <f aca="false">ROUND(D94-N94-MIN(D94-N94,MAX(0,$AF94-SUMPRODUCT(--($B$4:$K$4&lt;D$4),$B94:$K94-$L94:$U94))),2)</f>
        <v>0</v>
      </c>
      <c r="Y94" s="39" t="n">
        <f aca="false">ROUND(E94-O94-MIN(E94-O94,MAX(0,$AF94-SUMPRODUCT(--($B$4:$K$4&lt;E$4),$B94:$K94-$L94:$U94))),2)</f>
        <v>0</v>
      </c>
      <c r="Z94" s="39" t="n">
        <f aca="false">ROUND(F94-P94-MIN(F94-P94,MAX(0,$AF94-SUMPRODUCT(--($B$4:$K$4&lt;F$4),$B94:$K94-$L94:$U94))),2)</f>
        <v>0</v>
      </c>
      <c r="AA94" s="39" t="n">
        <f aca="false">ROUND(G94-Q94-MIN(G94-Q94,MAX(0,$AF94-SUMPRODUCT(--($B$4:$K$4&lt;G$4),$B94:$K94-$L94:$U94))),2)</f>
        <v>0</v>
      </c>
      <c r="AB94" s="39" t="n">
        <f aca="false">ROUND(H94-R94-MIN(H94-R94,MAX(0,$AF94-SUMPRODUCT(--($B$4:$K$4&lt;H$4),$B94:$K94-$L94:$U94))),2)</f>
        <v>0</v>
      </c>
      <c r="AC94" s="39" t="n">
        <f aca="false">ROUND(I94-S94-MIN(I94-S94,MAX(0,$AF94-SUMPRODUCT(--($B$4:$K$4&lt;I$4),$B94:$K94-$L94:$U94))),2)</f>
        <v>0</v>
      </c>
      <c r="AD94" s="39" t="n">
        <f aca="false">ROUND(J94-T94-MIN(J94-T94,MAX(0,$AF94-SUMPRODUCT(--($B$4:$K$4&lt;J$4),$B94:$K94-$L94:$U94))),2)</f>
        <v>0</v>
      </c>
      <c r="AE94" s="39" t="n">
        <f aca="false">ROUND(K94-U94-MIN(K94-U94,MAX(0,$AF94-SUMPRODUCT(--($B$4:$K$4&lt;K$4),$B94:$K94-$L94:$U94))),2)</f>
        <v>0</v>
      </c>
      <c r="AF94" s="39" t="n">
        <f aca="false">MAX(0,'Start Here'!$C$5-SUM($L94:$U94))</f>
        <v>1200</v>
      </c>
      <c r="AG94" s="39" t="n">
        <f aca="false">SUM(V94:AE94)</f>
        <v>0</v>
      </c>
      <c r="AH94" s="39" t="n">
        <f aca="false">SUM(B94:K94)-AG93</f>
        <v>0</v>
      </c>
    </row>
    <row r="95" customFormat="false" ht="15" hidden="false" customHeight="false" outlineLevel="0" collapsed="false">
      <c r="A95" s="40" t="n">
        <f aca="false">DATE(YEAR('Start Here'!$C$6),MONTH('Start Here'!$C$6)+88,1)</f>
        <v>48976</v>
      </c>
      <c r="B95" s="39" t="n">
        <f aca="false">ROUND(V94*(1+N('My Debts'!$D$6)/12),2)</f>
        <v>0</v>
      </c>
      <c r="C95" s="39" t="n">
        <f aca="false">ROUND(W94*(1+N('My Debts'!$D$7)/12),2)</f>
        <v>0</v>
      </c>
      <c r="D95" s="39" t="n">
        <f aca="false">ROUND(X94*(1+N('My Debts'!$D$8)/12),2)</f>
        <v>0</v>
      </c>
      <c r="E95" s="39" t="n">
        <f aca="false">ROUND(Y94*(1+N('My Debts'!$D$9)/12),2)</f>
        <v>0</v>
      </c>
      <c r="F95" s="39" t="n">
        <f aca="false">ROUND(Z94*(1+N('My Debts'!$D$10)/12),2)</f>
        <v>0</v>
      </c>
      <c r="G95" s="39" t="n">
        <f aca="false">ROUND(AA94*(1+N('My Debts'!$D$11)/12),2)</f>
        <v>0</v>
      </c>
      <c r="H95" s="39" t="n">
        <f aca="false">ROUND(AB94*(1+N('My Debts'!$D$12)/12),2)</f>
        <v>0</v>
      </c>
      <c r="I95" s="39" t="n">
        <f aca="false">ROUND(AC94*(1+N('My Debts'!$D$13)/12),2)</f>
        <v>0</v>
      </c>
      <c r="J95" s="39" t="n">
        <f aca="false">ROUND(AD94*(1+N('My Debts'!$D$14)/12),2)</f>
        <v>0</v>
      </c>
      <c r="K95" s="39" t="n">
        <f aca="false">ROUND(AE94*(1+N('My Debts'!$D$15)/12),2)</f>
        <v>0</v>
      </c>
      <c r="L95" s="39" t="n">
        <f aca="false">MIN(N('My Debts'!$E$6),B95)</f>
        <v>0</v>
      </c>
      <c r="M95" s="39" t="n">
        <f aca="false">MIN(N('My Debts'!$E$7),C95)</f>
        <v>0</v>
      </c>
      <c r="N95" s="39" t="n">
        <f aca="false">MIN(N('My Debts'!$E$8),D95)</f>
        <v>0</v>
      </c>
      <c r="O95" s="39" t="n">
        <f aca="false">MIN(N('My Debts'!$E$9),E95)</f>
        <v>0</v>
      </c>
      <c r="P95" s="39" t="n">
        <f aca="false">MIN(N('My Debts'!$E$10),F95)</f>
        <v>0</v>
      </c>
      <c r="Q95" s="39" t="n">
        <f aca="false">MIN(N('My Debts'!$E$11),G95)</f>
        <v>0</v>
      </c>
      <c r="R95" s="39" t="n">
        <f aca="false">MIN(N('My Debts'!$E$12),H95)</f>
        <v>0</v>
      </c>
      <c r="S95" s="39" t="n">
        <f aca="false">MIN(N('My Debts'!$E$13),I95)</f>
        <v>0</v>
      </c>
      <c r="T95" s="39" t="n">
        <f aca="false">MIN(N('My Debts'!$E$14),J95)</f>
        <v>0</v>
      </c>
      <c r="U95" s="39" t="n">
        <f aca="false">MIN(N('My Debts'!$E$15),K95)</f>
        <v>0</v>
      </c>
      <c r="V95" s="39" t="n">
        <f aca="false">ROUND(B95-L95-MIN(B95-L95,MAX(0,$AF95-SUMPRODUCT(--($B$4:$K$4&lt;B$4),$B95:$K95-$L95:$U95))),2)</f>
        <v>0</v>
      </c>
      <c r="W95" s="39" t="n">
        <f aca="false">ROUND(C95-M95-MIN(C95-M95,MAX(0,$AF95-SUMPRODUCT(--($B$4:$K$4&lt;C$4),$B95:$K95-$L95:$U95))),2)</f>
        <v>0</v>
      </c>
      <c r="X95" s="39" t="n">
        <f aca="false">ROUND(D95-N95-MIN(D95-N95,MAX(0,$AF95-SUMPRODUCT(--($B$4:$K$4&lt;D$4),$B95:$K95-$L95:$U95))),2)</f>
        <v>0</v>
      </c>
      <c r="Y95" s="39" t="n">
        <f aca="false">ROUND(E95-O95-MIN(E95-O95,MAX(0,$AF95-SUMPRODUCT(--($B$4:$K$4&lt;E$4),$B95:$K95-$L95:$U95))),2)</f>
        <v>0</v>
      </c>
      <c r="Z95" s="39" t="n">
        <f aca="false">ROUND(F95-P95-MIN(F95-P95,MAX(0,$AF95-SUMPRODUCT(--($B$4:$K$4&lt;F$4),$B95:$K95-$L95:$U95))),2)</f>
        <v>0</v>
      </c>
      <c r="AA95" s="39" t="n">
        <f aca="false">ROUND(G95-Q95-MIN(G95-Q95,MAX(0,$AF95-SUMPRODUCT(--($B$4:$K$4&lt;G$4),$B95:$K95-$L95:$U95))),2)</f>
        <v>0</v>
      </c>
      <c r="AB95" s="39" t="n">
        <f aca="false">ROUND(H95-R95-MIN(H95-R95,MAX(0,$AF95-SUMPRODUCT(--($B$4:$K$4&lt;H$4),$B95:$K95-$L95:$U95))),2)</f>
        <v>0</v>
      </c>
      <c r="AC95" s="39" t="n">
        <f aca="false">ROUND(I95-S95-MIN(I95-S95,MAX(0,$AF95-SUMPRODUCT(--($B$4:$K$4&lt;I$4),$B95:$K95-$L95:$U95))),2)</f>
        <v>0</v>
      </c>
      <c r="AD95" s="39" t="n">
        <f aca="false">ROUND(J95-T95-MIN(J95-T95,MAX(0,$AF95-SUMPRODUCT(--($B$4:$K$4&lt;J$4),$B95:$K95-$L95:$U95))),2)</f>
        <v>0</v>
      </c>
      <c r="AE95" s="39" t="n">
        <f aca="false">ROUND(K95-U95-MIN(K95-U95,MAX(0,$AF95-SUMPRODUCT(--($B$4:$K$4&lt;K$4),$B95:$K95-$L95:$U95))),2)</f>
        <v>0</v>
      </c>
      <c r="AF95" s="39" t="n">
        <f aca="false">MAX(0,'Start Here'!$C$5-SUM($L95:$U95))</f>
        <v>1200</v>
      </c>
      <c r="AG95" s="39" t="n">
        <f aca="false">SUM(V95:AE95)</f>
        <v>0</v>
      </c>
      <c r="AH95" s="39" t="n">
        <f aca="false">SUM(B95:K95)-AG94</f>
        <v>0</v>
      </c>
    </row>
    <row r="96" customFormat="false" ht="15" hidden="false" customHeight="false" outlineLevel="0" collapsed="false">
      <c r="A96" s="40" t="n">
        <f aca="false">DATE(YEAR('Start Here'!$C$6),MONTH('Start Here'!$C$6)+89,1)</f>
        <v>49004</v>
      </c>
      <c r="B96" s="39" t="n">
        <f aca="false">ROUND(V95*(1+N('My Debts'!$D$6)/12),2)</f>
        <v>0</v>
      </c>
      <c r="C96" s="39" t="n">
        <f aca="false">ROUND(W95*(1+N('My Debts'!$D$7)/12),2)</f>
        <v>0</v>
      </c>
      <c r="D96" s="39" t="n">
        <f aca="false">ROUND(X95*(1+N('My Debts'!$D$8)/12),2)</f>
        <v>0</v>
      </c>
      <c r="E96" s="39" t="n">
        <f aca="false">ROUND(Y95*(1+N('My Debts'!$D$9)/12),2)</f>
        <v>0</v>
      </c>
      <c r="F96" s="39" t="n">
        <f aca="false">ROUND(Z95*(1+N('My Debts'!$D$10)/12),2)</f>
        <v>0</v>
      </c>
      <c r="G96" s="39" t="n">
        <f aca="false">ROUND(AA95*(1+N('My Debts'!$D$11)/12),2)</f>
        <v>0</v>
      </c>
      <c r="H96" s="39" t="n">
        <f aca="false">ROUND(AB95*(1+N('My Debts'!$D$12)/12),2)</f>
        <v>0</v>
      </c>
      <c r="I96" s="39" t="n">
        <f aca="false">ROUND(AC95*(1+N('My Debts'!$D$13)/12),2)</f>
        <v>0</v>
      </c>
      <c r="J96" s="39" t="n">
        <f aca="false">ROUND(AD95*(1+N('My Debts'!$D$14)/12),2)</f>
        <v>0</v>
      </c>
      <c r="K96" s="39" t="n">
        <f aca="false">ROUND(AE95*(1+N('My Debts'!$D$15)/12),2)</f>
        <v>0</v>
      </c>
      <c r="L96" s="39" t="n">
        <f aca="false">MIN(N('My Debts'!$E$6),B96)</f>
        <v>0</v>
      </c>
      <c r="M96" s="39" t="n">
        <f aca="false">MIN(N('My Debts'!$E$7),C96)</f>
        <v>0</v>
      </c>
      <c r="N96" s="39" t="n">
        <f aca="false">MIN(N('My Debts'!$E$8),D96)</f>
        <v>0</v>
      </c>
      <c r="O96" s="39" t="n">
        <f aca="false">MIN(N('My Debts'!$E$9),E96)</f>
        <v>0</v>
      </c>
      <c r="P96" s="39" t="n">
        <f aca="false">MIN(N('My Debts'!$E$10),F96)</f>
        <v>0</v>
      </c>
      <c r="Q96" s="39" t="n">
        <f aca="false">MIN(N('My Debts'!$E$11),G96)</f>
        <v>0</v>
      </c>
      <c r="R96" s="39" t="n">
        <f aca="false">MIN(N('My Debts'!$E$12),H96)</f>
        <v>0</v>
      </c>
      <c r="S96" s="39" t="n">
        <f aca="false">MIN(N('My Debts'!$E$13),I96)</f>
        <v>0</v>
      </c>
      <c r="T96" s="39" t="n">
        <f aca="false">MIN(N('My Debts'!$E$14),J96)</f>
        <v>0</v>
      </c>
      <c r="U96" s="39" t="n">
        <f aca="false">MIN(N('My Debts'!$E$15),K96)</f>
        <v>0</v>
      </c>
      <c r="V96" s="39" t="n">
        <f aca="false">ROUND(B96-L96-MIN(B96-L96,MAX(0,$AF96-SUMPRODUCT(--($B$4:$K$4&lt;B$4),$B96:$K96-$L96:$U96))),2)</f>
        <v>0</v>
      </c>
      <c r="W96" s="39" t="n">
        <f aca="false">ROUND(C96-M96-MIN(C96-M96,MAX(0,$AF96-SUMPRODUCT(--($B$4:$K$4&lt;C$4),$B96:$K96-$L96:$U96))),2)</f>
        <v>0</v>
      </c>
      <c r="X96" s="39" t="n">
        <f aca="false">ROUND(D96-N96-MIN(D96-N96,MAX(0,$AF96-SUMPRODUCT(--($B$4:$K$4&lt;D$4),$B96:$K96-$L96:$U96))),2)</f>
        <v>0</v>
      </c>
      <c r="Y96" s="39" t="n">
        <f aca="false">ROUND(E96-O96-MIN(E96-O96,MAX(0,$AF96-SUMPRODUCT(--($B$4:$K$4&lt;E$4),$B96:$K96-$L96:$U96))),2)</f>
        <v>0</v>
      </c>
      <c r="Z96" s="39" t="n">
        <f aca="false">ROUND(F96-P96-MIN(F96-P96,MAX(0,$AF96-SUMPRODUCT(--($B$4:$K$4&lt;F$4),$B96:$K96-$L96:$U96))),2)</f>
        <v>0</v>
      </c>
      <c r="AA96" s="39" t="n">
        <f aca="false">ROUND(G96-Q96-MIN(G96-Q96,MAX(0,$AF96-SUMPRODUCT(--($B$4:$K$4&lt;G$4),$B96:$K96-$L96:$U96))),2)</f>
        <v>0</v>
      </c>
      <c r="AB96" s="39" t="n">
        <f aca="false">ROUND(H96-R96-MIN(H96-R96,MAX(0,$AF96-SUMPRODUCT(--($B$4:$K$4&lt;H$4),$B96:$K96-$L96:$U96))),2)</f>
        <v>0</v>
      </c>
      <c r="AC96" s="39" t="n">
        <f aca="false">ROUND(I96-S96-MIN(I96-S96,MAX(0,$AF96-SUMPRODUCT(--($B$4:$K$4&lt;I$4),$B96:$K96-$L96:$U96))),2)</f>
        <v>0</v>
      </c>
      <c r="AD96" s="39" t="n">
        <f aca="false">ROUND(J96-T96-MIN(J96-T96,MAX(0,$AF96-SUMPRODUCT(--($B$4:$K$4&lt;J$4),$B96:$K96-$L96:$U96))),2)</f>
        <v>0</v>
      </c>
      <c r="AE96" s="39" t="n">
        <f aca="false">ROUND(K96-U96-MIN(K96-U96,MAX(0,$AF96-SUMPRODUCT(--($B$4:$K$4&lt;K$4),$B96:$K96-$L96:$U96))),2)</f>
        <v>0</v>
      </c>
      <c r="AF96" s="39" t="n">
        <f aca="false">MAX(0,'Start Here'!$C$5-SUM($L96:$U96))</f>
        <v>1200</v>
      </c>
      <c r="AG96" s="39" t="n">
        <f aca="false">SUM(V96:AE96)</f>
        <v>0</v>
      </c>
      <c r="AH96" s="39" t="n">
        <f aca="false">SUM(B96:K96)-AG95</f>
        <v>0</v>
      </c>
    </row>
    <row r="97" customFormat="false" ht="15" hidden="false" customHeight="false" outlineLevel="0" collapsed="false">
      <c r="A97" s="40" t="n">
        <f aca="false">DATE(YEAR('Start Here'!$C$6),MONTH('Start Here'!$C$6)+90,1)</f>
        <v>49035</v>
      </c>
      <c r="B97" s="39" t="n">
        <f aca="false">ROUND(V96*(1+N('My Debts'!$D$6)/12),2)</f>
        <v>0</v>
      </c>
      <c r="C97" s="39" t="n">
        <f aca="false">ROUND(W96*(1+N('My Debts'!$D$7)/12),2)</f>
        <v>0</v>
      </c>
      <c r="D97" s="39" t="n">
        <f aca="false">ROUND(X96*(1+N('My Debts'!$D$8)/12),2)</f>
        <v>0</v>
      </c>
      <c r="E97" s="39" t="n">
        <f aca="false">ROUND(Y96*(1+N('My Debts'!$D$9)/12),2)</f>
        <v>0</v>
      </c>
      <c r="F97" s="39" t="n">
        <f aca="false">ROUND(Z96*(1+N('My Debts'!$D$10)/12),2)</f>
        <v>0</v>
      </c>
      <c r="G97" s="39" t="n">
        <f aca="false">ROUND(AA96*(1+N('My Debts'!$D$11)/12),2)</f>
        <v>0</v>
      </c>
      <c r="H97" s="39" t="n">
        <f aca="false">ROUND(AB96*(1+N('My Debts'!$D$12)/12),2)</f>
        <v>0</v>
      </c>
      <c r="I97" s="39" t="n">
        <f aca="false">ROUND(AC96*(1+N('My Debts'!$D$13)/12),2)</f>
        <v>0</v>
      </c>
      <c r="J97" s="39" t="n">
        <f aca="false">ROUND(AD96*(1+N('My Debts'!$D$14)/12),2)</f>
        <v>0</v>
      </c>
      <c r="K97" s="39" t="n">
        <f aca="false">ROUND(AE96*(1+N('My Debts'!$D$15)/12),2)</f>
        <v>0</v>
      </c>
      <c r="L97" s="39" t="n">
        <f aca="false">MIN(N('My Debts'!$E$6),B97)</f>
        <v>0</v>
      </c>
      <c r="M97" s="39" t="n">
        <f aca="false">MIN(N('My Debts'!$E$7),C97)</f>
        <v>0</v>
      </c>
      <c r="N97" s="39" t="n">
        <f aca="false">MIN(N('My Debts'!$E$8),D97)</f>
        <v>0</v>
      </c>
      <c r="O97" s="39" t="n">
        <f aca="false">MIN(N('My Debts'!$E$9),E97)</f>
        <v>0</v>
      </c>
      <c r="P97" s="39" t="n">
        <f aca="false">MIN(N('My Debts'!$E$10),F97)</f>
        <v>0</v>
      </c>
      <c r="Q97" s="39" t="n">
        <f aca="false">MIN(N('My Debts'!$E$11),G97)</f>
        <v>0</v>
      </c>
      <c r="R97" s="39" t="n">
        <f aca="false">MIN(N('My Debts'!$E$12),H97)</f>
        <v>0</v>
      </c>
      <c r="S97" s="39" t="n">
        <f aca="false">MIN(N('My Debts'!$E$13),I97)</f>
        <v>0</v>
      </c>
      <c r="T97" s="39" t="n">
        <f aca="false">MIN(N('My Debts'!$E$14),J97)</f>
        <v>0</v>
      </c>
      <c r="U97" s="39" t="n">
        <f aca="false">MIN(N('My Debts'!$E$15),K97)</f>
        <v>0</v>
      </c>
      <c r="V97" s="39" t="n">
        <f aca="false">ROUND(B97-L97-MIN(B97-L97,MAX(0,$AF97-SUMPRODUCT(--($B$4:$K$4&lt;B$4),$B97:$K97-$L97:$U97))),2)</f>
        <v>0</v>
      </c>
      <c r="W97" s="39" t="n">
        <f aca="false">ROUND(C97-M97-MIN(C97-M97,MAX(0,$AF97-SUMPRODUCT(--($B$4:$K$4&lt;C$4),$B97:$K97-$L97:$U97))),2)</f>
        <v>0</v>
      </c>
      <c r="X97" s="39" t="n">
        <f aca="false">ROUND(D97-N97-MIN(D97-N97,MAX(0,$AF97-SUMPRODUCT(--($B$4:$K$4&lt;D$4),$B97:$K97-$L97:$U97))),2)</f>
        <v>0</v>
      </c>
      <c r="Y97" s="39" t="n">
        <f aca="false">ROUND(E97-O97-MIN(E97-O97,MAX(0,$AF97-SUMPRODUCT(--($B$4:$K$4&lt;E$4),$B97:$K97-$L97:$U97))),2)</f>
        <v>0</v>
      </c>
      <c r="Z97" s="39" t="n">
        <f aca="false">ROUND(F97-P97-MIN(F97-P97,MAX(0,$AF97-SUMPRODUCT(--($B$4:$K$4&lt;F$4),$B97:$K97-$L97:$U97))),2)</f>
        <v>0</v>
      </c>
      <c r="AA97" s="39" t="n">
        <f aca="false">ROUND(G97-Q97-MIN(G97-Q97,MAX(0,$AF97-SUMPRODUCT(--($B$4:$K$4&lt;G$4),$B97:$K97-$L97:$U97))),2)</f>
        <v>0</v>
      </c>
      <c r="AB97" s="39" t="n">
        <f aca="false">ROUND(H97-R97-MIN(H97-R97,MAX(0,$AF97-SUMPRODUCT(--($B$4:$K$4&lt;H$4),$B97:$K97-$L97:$U97))),2)</f>
        <v>0</v>
      </c>
      <c r="AC97" s="39" t="n">
        <f aca="false">ROUND(I97-S97-MIN(I97-S97,MAX(0,$AF97-SUMPRODUCT(--($B$4:$K$4&lt;I$4),$B97:$K97-$L97:$U97))),2)</f>
        <v>0</v>
      </c>
      <c r="AD97" s="39" t="n">
        <f aca="false">ROUND(J97-T97-MIN(J97-T97,MAX(0,$AF97-SUMPRODUCT(--($B$4:$K$4&lt;J$4),$B97:$K97-$L97:$U97))),2)</f>
        <v>0</v>
      </c>
      <c r="AE97" s="39" t="n">
        <f aca="false">ROUND(K97-U97-MIN(K97-U97,MAX(0,$AF97-SUMPRODUCT(--($B$4:$K$4&lt;K$4),$B97:$K97-$L97:$U97))),2)</f>
        <v>0</v>
      </c>
      <c r="AF97" s="39" t="n">
        <f aca="false">MAX(0,'Start Here'!$C$5-SUM($L97:$U97))</f>
        <v>1200</v>
      </c>
      <c r="AG97" s="39" t="n">
        <f aca="false">SUM(V97:AE97)</f>
        <v>0</v>
      </c>
      <c r="AH97" s="39" t="n">
        <f aca="false">SUM(B97:K97)-AG96</f>
        <v>0</v>
      </c>
    </row>
    <row r="98" customFormat="false" ht="15" hidden="false" customHeight="false" outlineLevel="0" collapsed="false">
      <c r="A98" s="40" t="n">
        <f aca="false">DATE(YEAR('Start Here'!$C$6),MONTH('Start Here'!$C$6)+91,1)</f>
        <v>49065</v>
      </c>
      <c r="B98" s="39" t="n">
        <f aca="false">ROUND(V97*(1+N('My Debts'!$D$6)/12),2)</f>
        <v>0</v>
      </c>
      <c r="C98" s="39" t="n">
        <f aca="false">ROUND(W97*(1+N('My Debts'!$D$7)/12),2)</f>
        <v>0</v>
      </c>
      <c r="D98" s="39" t="n">
        <f aca="false">ROUND(X97*(1+N('My Debts'!$D$8)/12),2)</f>
        <v>0</v>
      </c>
      <c r="E98" s="39" t="n">
        <f aca="false">ROUND(Y97*(1+N('My Debts'!$D$9)/12),2)</f>
        <v>0</v>
      </c>
      <c r="F98" s="39" t="n">
        <f aca="false">ROUND(Z97*(1+N('My Debts'!$D$10)/12),2)</f>
        <v>0</v>
      </c>
      <c r="G98" s="39" t="n">
        <f aca="false">ROUND(AA97*(1+N('My Debts'!$D$11)/12),2)</f>
        <v>0</v>
      </c>
      <c r="H98" s="39" t="n">
        <f aca="false">ROUND(AB97*(1+N('My Debts'!$D$12)/12),2)</f>
        <v>0</v>
      </c>
      <c r="I98" s="39" t="n">
        <f aca="false">ROUND(AC97*(1+N('My Debts'!$D$13)/12),2)</f>
        <v>0</v>
      </c>
      <c r="J98" s="39" t="n">
        <f aca="false">ROUND(AD97*(1+N('My Debts'!$D$14)/12),2)</f>
        <v>0</v>
      </c>
      <c r="K98" s="39" t="n">
        <f aca="false">ROUND(AE97*(1+N('My Debts'!$D$15)/12),2)</f>
        <v>0</v>
      </c>
      <c r="L98" s="39" t="n">
        <f aca="false">MIN(N('My Debts'!$E$6),B98)</f>
        <v>0</v>
      </c>
      <c r="M98" s="39" t="n">
        <f aca="false">MIN(N('My Debts'!$E$7),C98)</f>
        <v>0</v>
      </c>
      <c r="N98" s="39" t="n">
        <f aca="false">MIN(N('My Debts'!$E$8),D98)</f>
        <v>0</v>
      </c>
      <c r="O98" s="39" t="n">
        <f aca="false">MIN(N('My Debts'!$E$9),E98)</f>
        <v>0</v>
      </c>
      <c r="P98" s="39" t="n">
        <f aca="false">MIN(N('My Debts'!$E$10),F98)</f>
        <v>0</v>
      </c>
      <c r="Q98" s="39" t="n">
        <f aca="false">MIN(N('My Debts'!$E$11),G98)</f>
        <v>0</v>
      </c>
      <c r="R98" s="39" t="n">
        <f aca="false">MIN(N('My Debts'!$E$12),H98)</f>
        <v>0</v>
      </c>
      <c r="S98" s="39" t="n">
        <f aca="false">MIN(N('My Debts'!$E$13),I98)</f>
        <v>0</v>
      </c>
      <c r="T98" s="39" t="n">
        <f aca="false">MIN(N('My Debts'!$E$14),J98)</f>
        <v>0</v>
      </c>
      <c r="U98" s="39" t="n">
        <f aca="false">MIN(N('My Debts'!$E$15),K98)</f>
        <v>0</v>
      </c>
      <c r="V98" s="39" t="n">
        <f aca="false">ROUND(B98-L98-MIN(B98-L98,MAX(0,$AF98-SUMPRODUCT(--($B$4:$K$4&lt;B$4),$B98:$K98-$L98:$U98))),2)</f>
        <v>0</v>
      </c>
      <c r="W98" s="39" t="n">
        <f aca="false">ROUND(C98-M98-MIN(C98-M98,MAX(0,$AF98-SUMPRODUCT(--($B$4:$K$4&lt;C$4),$B98:$K98-$L98:$U98))),2)</f>
        <v>0</v>
      </c>
      <c r="X98" s="39" t="n">
        <f aca="false">ROUND(D98-N98-MIN(D98-N98,MAX(0,$AF98-SUMPRODUCT(--($B$4:$K$4&lt;D$4),$B98:$K98-$L98:$U98))),2)</f>
        <v>0</v>
      </c>
      <c r="Y98" s="39" t="n">
        <f aca="false">ROUND(E98-O98-MIN(E98-O98,MAX(0,$AF98-SUMPRODUCT(--($B$4:$K$4&lt;E$4),$B98:$K98-$L98:$U98))),2)</f>
        <v>0</v>
      </c>
      <c r="Z98" s="39" t="n">
        <f aca="false">ROUND(F98-P98-MIN(F98-P98,MAX(0,$AF98-SUMPRODUCT(--($B$4:$K$4&lt;F$4),$B98:$K98-$L98:$U98))),2)</f>
        <v>0</v>
      </c>
      <c r="AA98" s="39" t="n">
        <f aca="false">ROUND(G98-Q98-MIN(G98-Q98,MAX(0,$AF98-SUMPRODUCT(--($B$4:$K$4&lt;G$4),$B98:$K98-$L98:$U98))),2)</f>
        <v>0</v>
      </c>
      <c r="AB98" s="39" t="n">
        <f aca="false">ROUND(H98-R98-MIN(H98-R98,MAX(0,$AF98-SUMPRODUCT(--($B$4:$K$4&lt;H$4),$B98:$K98-$L98:$U98))),2)</f>
        <v>0</v>
      </c>
      <c r="AC98" s="39" t="n">
        <f aca="false">ROUND(I98-S98-MIN(I98-S98,MAX(0,$AF98-SUMPRODUCT(--($B$4:$K$4&lt;I$4),$B98:$K98-$L98:$U98))),2)</f>
        <v>0</v>
      </c>
      <c r="AD98" s="39" t="n">
        <f aca="false">ROUND(J98-T98-MIN(J98-T98,MAX(0,$AF98-SUMPRODUCT(--($B$4:$K$4&lt;J$4),$B98:$K98-$L98:$U98))),2)</f>
        <v>0</v>
      </c>
      <c r="AE98" s="39" t="n">
        <f aca="false">ROUND(K98-U98-MIN(K98-U98,MAX(0,$AF98-SUMPRODUCT(--($B$4:$K$4&lt;K$4),$B98:$K98-$L98:$U98))),2)</f>
        <v>0</v>
      </c>
      <c r="AF98" s="39" t="n">
        <f aca="false">MAX(0,'Start Here'!$C$5-SUM($L98:$U98))</f>
        <v>1200</v>
      </c>
      <c r="AG98" s="39" t="n">
        <f aca="false">SUM(V98:AE98)</f>
        <v>0</v>
      </c>
      <c r="AH98" s="39" t="n">
        <f aca="false">SUM(B98:K98)-AG97</f>
        <v>0</v>
      </c>
    </row>
    <row r="99" customFormat="false" ht="15" hidden="false" customHeight="false" outlineLevel="0" collapsed="false">
      <c r="A99" s="40" t="n">
        <f aca="false">DATE(YEAR('Start Here'!$C$6),MONTH('Start Here'!$C$6)+92,1)</f>
        <v>49096</v>
      </c>
      <c r="B99" s="39" t="n">
        <f aca="false">ROUND(V98*(1+N('My Debts'!$D$6)/12),2)</f>
        <v>0</v>
      </c>
      <c r="C99" s="39" t="n">
        <f aca="false">ROUND(W98*(1+N('My Debts'!$D$7)/12),2)</f>
        <v>0</v>
      </c>
      <c r="D99" s="39" t="n">
        <f aca="false">ROUND(X98*(1+N('My Debts'!$D$8)/12),2)</f>
        <v>0</v>
      </c>
      <c r="E99" s="39" t="n">
        <f aca="false">ROUND(Y98*(1+N('My Debts'!$D$9)/12),2)</f>
        <v>0</v>
      </c>
      <c r="F99" s="39" t="n">
        <f aca="false">ROUND(Z98*(1+N('My Debts'!$D$10)/12),2)</f>
        <v>0</v>
      </c>
      <c r="G99" s="39" t="n">
        <f aca="false">ROUND(AA98*(1+N('My Debts'!$D$11)/12),2)</f>
        <v>0</v>
      </c>
      <c r="H99" s="39" t="n">
        <f aca="false">ROUND(AB98*(1+N('My Debts'!$D$12)/12),2)</f>
        <v>0</v>
      </c>
      <c r="I99" s="39" t="n">
        <f aca="false">ROUND(AC98*(1+N('My Debts'!$D$13)/12),2)</f>
        <v>0</v>
      </c>
      <c r="J99" s="39" t="n">
        <f aca="false">ROUND(AD98*(1+N('My Debts'!$D$14)/12),2)</f>
        <v>0</v>
      </c>
      <c r="K99" s="39" t="n">
        <f aca="false">ROUND(AE98*(1+N('My Debts'!$D$15)/12),2)</f>
        <v>0</v>
      </c>
      <c r="L99" s="39" t="n">
        <f aca="false">MIN(N('My Debts'!$E$6),B99)</f>
        <v>0</v>
      </c>
      <c r="M99" s="39" t="n">
        <f aca="false">MIN(N('My Debts'!$E$7),C99)</f>
        <v>0</v>
      </c>
      <c r="N99" s="39" t="n">
        <f aca="false">MIN(N('My Debts'!$E$8),D99)</f>
        <v>0</v>
      </c>
      <c r="O99" s="39" t="n">
        <f aca="false">MIN(N('My Debts'!$E$9),E99)</f>
        <v>0</v>
      </c>
      <c r="P99" s="39" t="n">
        <f aca="false">MIN(N('My Debts'!$E$10),F99)</f>
        <v>0</v>
      </c>
      <c r="Q99" s="39" t="n">
        <f aca="false">MIN(N('My Debts'!$E$11),G99)</f>
        <v>0</v>
      </c>
      <c r="R99" s="39" t="n">
        <f aca="false">MIN(N('My Debts'!$E$12),H99)</f>
        <v>0</v>
      </c>
      <c r="S99" s="39" t="n">
        <f aca="false">MIN(N('My Debts'!$E$13),I99)</f>
        <v>0</v>
      </c>
      <c r="T99" s="39" t="n">
        <f aca="false">MIN(N('My Debts'!$E$14),J99)</f>
        <v>0</v>
      </c>
      <c r="U99" s="39" t="n">
        <f aca="false">MIN(N('My Debts'!$E$15),K99)</f>
        <v>0</v>
      </c>
      <c r="V99" s="39" t="n">
        <f aca="false">ROUND(B99-L99-MIN(B99-L99,MAX(0,$AF99-SUMPRODUCT(--($B$4:$K$4&lt;B$4),$B99:$K99-$L99:$U99))),2)</f>
        <v>0</v>
      </c>
      <c r="W99" s="39" t="n">
        <f aca="false">ROUND(C99-M99-MIN(C99-M99,MAX(0,$AF99-SUMPRODUCT(--($B$4:$K$4&lt;C$4),$B99:$K99-$L99:$U99))),2)</f>
        <v>0</v>
      </c>
      <c r="X99" s="39" t="n">
        <f aca="false">ROUND(D99-N99-MIN(D99-N99,MAX(0,$AF99-SUMPRODUCT(--($B$4:$K$4&lt;D$4),$B99:$K99-$L99:$U99))),2)</f>
        <v>0</v>
      </c>
      <c r="Y99" s="39" t="n">
        <f aca="false">ROUND(E99-O99-MIN(E99-O99,MAX(0,$AF99-SUMPRODUCT(--($B$4:$K$4&lt;E$4),$B99:$K99-$L99:$U99))),2)</f>
        <v>0</v>
      </c>
      <c r="Z99" s="39" t="n">
        <f aca="false">ROUND(F99-P99-MIN(F99-P99,MAX(0,$AF99-SUMPRODUCT(--($B$4:$K$4&lt;F$4),$B99:$K99-$L99:$U99))),2)</f>
        <v>0</v>
      </c>
      <c r="AA99" s="39" t="n">
        <f aca="false">ROUND(G99-Q99-MIN(G99-Q99,MAX(0,$AF99-SUMPRODUCT(--($B$4:$K$4&lt;G$4),$B99:$K99-$L99:$U99))),2)</f>
        <v>0</v>
      </c>
      <c r="AB99" s="39" t="n">
        <f aca="false">ROUND(H99-R99-MIN(H99-R99,MAX(0,$AF99-SUMPRODUCT(--($B$4:$K$4&lt;H$4),$B99:$K99-$L99:$U99))),2)</f>
        <v>0</v>
      </c>
      <c r="AC99" s="39" t="n">
        <f aca="false">ROUND(I99-S99-MIN(I99-S99,MAX(0,$AF99-SUMPRODUCT(--($B$4:$K$4&lt;I$4),$B99:$K99-$L99:$U99))),2)</f>
        <v>0</v>
      </c>
      <c r="AD99" s="39" t="n">
        <f aca="false">ROUND(J99-T99-MIN(J99-T99,MAX(0,$AF99-SUMPRODUCT(--($B$4:$K$4&lt;J$4),$B99:$K99-$L99:$U99))),2)</f>
        <v>0</v>
      </c>
      <c r="AE99" s="39" t="n">
        <f aca="false">ROUND(K99-U99-MIN(K99-U99,MAX(0,$AF99-SUMPRODUCT(--($B$4:$K$4&lt;K$4),$B99:$K99-$L99:$U99))),2)</f>
        <v>0</v>
      </c>
      <c r="AF99" s="39" t="n">
        <f aca="false">MAX(0,'Start Here'!$C$5-SUM($L99:$U99))</f>
        <v>1200</v>
      </c>
      <c r="AG99" s="39" t="n">
        <f aca="false">SUM(V99:AE99)</f>
        <v>0</v>
      </c>
      <c r="AH99" s="39" t="n">
        <f aca="false">SUM(B99:K99)-AG98</f>
        <v>0</v>
      </c>
    </row>
    <row r="100" customFormat="false" ht="15" hidden="false" customHeight="false" outlineLevel="0" collapsed="false">
      <c r="A100" s="40" t="n">
        <f aca="false">DATE(YEAR('Start Here'!$C$6),MONTH('Start Here'!$C$6)+93,1)</f>
        <v>49126</v>
      </c>
      <c r="B100" s="39" t="n">
        <f aca="false">ROUND(V99*(1+N('My Debts'!$D$6)/12),2)</f>
        <v>0</v>
      </c>
      <c r="C100" s="39" t="n">
        <f aca="false">ROUND(W99*(1+N('My Debts'!$D$7)/12),2)</f>
        <v>0</v>
      </c>
      <c r="D100" s="39" t="n">
        <f aca="false">ROUND(X99*(1+N('My Debts'!$D$8)/12),2)</f>
        <v>0</v>
      </c>
      <c r="E100" s="39" t="n">
        <f aca="false">ROUND(Y99*(1+N('My Debts'!$D$9)/12),2)</f>
        <v>0</v>
      </c>
      <c r="F100" s="39" t="n">
        <f aca="false">ROUND(Z99*(1+N('My Debts'!$D$10)/12),2)</f>
        <v>0</v>
      </c>
      <c r="G100" s="39" t="n">
        <f aca="false">ROUND(AA99*(1+N('My Debts'!$D$11)/12),2)</f>
        <v>0</v>
      </c>
      <c r="H100" s="39" t="n">
        <f aca="false">ROUND(AB99*(1+N('My Debts'!$D$12)/12),2)</f>
        <v>0</v>
      </c>
      <c r="I100" s="39" t="n">
        <f aca="false">ROUND(AC99*(1+N('My Debts'!$D$13)/12),2)</f>
        <v>0</v>
      </c>
      <c r="J100" s="39" t="n">
        <f aca="false">ROUND(AD99*(1+N('My Debts'!$D$14)/12),2)</f>
        <v>0</v>
      </c>
      <c r="K100" s="39" t="n">
        <f aca="false">ROUND(AE99*(1+N('My Debts'!$D$15)/12),2)</f>
        <v>0</v>
      </c>
      <c r="L100" s="39" t="n">
        <f aca="false">MIN(N('My Debts'!$E$6),B100)</f>
        <v>0</v>
      </c>
      <c r="M100" s="39" t="n">
        <f aca="false">MIN(N('My Debts'!$E$7),C100)</f>
        <v>0</v>
      </c>
      <c r="N100" s="39" t="n">
        <f aca="false">MIN(N('My Debts'!$E$8),D100)</f>
        <v>0</v>
      </c>
      <c r="O100" s="39" t="n">
        <f aca="false">MIN(N('My Debts'!$E$9),E100)</f>
        <v>0</v>
      </c>
      <c r="P100" s="39" t="n">
        <f aca="false">MIN(N('My Debts'!$E$10),F100)</f>
        <v>0</v>
      </c>
      <c r="Q100" s="39" t="n">
        <f aca="false">MIN(N('My Debts'!$E$11),G100)</f>
        <v>0</v>
      </c>
      <c r="R100" s="39" t="n">
        <f aca="false">MIN(N('My Debts'!$E$12),H100)</f>
        <v>0</v>
      </c>
      <c r="S100" s="39" t="n">
        <f aca="false">MIN(N('My Debts'!$E$13),I100)</f>
        <v>0</v>
      </c>
      <c r="T100" s="39" t="n">
        <f aca="false">MIN(N('My Debts'!$E$14),J100)</f>
        <v>0</v>
      </c>
      <c r="U100" s="39" t="n">
        <f aca="false">MIN(N('My Debts'!$E$15),K100)</f>
        <v>0</v>
      </c>
      <c r="V100" s="39" t="n">
        <f aca="false">ROUND(B100-L100-MIN(B100-L100,MAX(0,$AF100-SUMPRODUCT(--($B$4:$K$4&lt;B$4),$B100:$K100-$L100:$U100))),2)</f>
        <v>0</v>
      </c>
      <c r="W100" s="39" t="n">
        <f aca="false">ROUND(C100-M100-MIN(C100-M100,MAX(0,$AF100-SUMPRODUCT(--($B$4:$K$4&lt;C$4),$B100:$K100-$L100:$U100))),2)</f>
        <v>0</v>
      </c>
      <c r="X100" s="39" t="n">
        <f aca="false">ROUND(D100-N100-MIN(D100-N100,MAX(0,$AF100-SUMPRODUCT(--($B$4:$K$4&lt;D$4),$B100:$K100-$L100:$U100))),2)</f>
        <v>0</v>
      </c>
      <c r="Y100" s="39" t="n">
        <f aca="false">ROUND(E100-O100-MIN(E100-O100,MAX(0,$AF100-SUMPRODUCT(--($B$4:$K$4&lt;E$4),$B100:$K100-$L100:$U100))),2)</f>
        <v>0</v>
      </c>
      <c r="Z100" s="39" t="n">
        <f aca="false">ROUND(F100-P100-MIN(F100-P100,MAX(0,$AF100-SUMPRODUCT(--($B$4:$K$4&lt;F$4),$B100:$K100-$L100:$U100))),2)</f>
        <v>0</v>
      </c>
      <c r="AA100" s="39" t="n">
        <f aca="false">ROUND(G100-Q100-MIN(G100-Q100,MAX(0,$AF100-SUMPRODUCT(--($B$4:$K$4&lt;G$4),$B100:$K100-$L100:$U100))),2)</f>
        <v>0</v>
      </c>
      <c r="AB100" s="39" t="n">
        <f aca="false">ROUND(H100-R100-MIN(H100-R100,MAX(0,$AF100-SUMPRODUCT(--($B$4:$K$4&lt;H$4),$B100:$K100-$L100:$U100))),2)</f>
        <v>0</v>
      </c>
      <c r="AC100" s="39" t="n">
        <f aca="false">ROUND(I100-S100-MIN(I100-S100,MAX(0,$AF100-SUMPRODUCT(--($B$4:$K$4&lt;I$4),$B100:$K100-$L100:$U100))),2)</f>
        <v>0</v>
      </c>
      <c r="AD100" s="39" t="n">
        <f aca="false">ROUND(J100-T100-MIN(J100-T100,MAX(0,$AF100-SUMPRODUCT(--($B$4:$K$4&lt;J$4),$B100:$K100-$L100:$U100))),2)</f>
        <v>0</v>
      </c>
      <c r="AE100" s="39" t="n">
        <f aca="false">ROUND(K100-U100-MIN(K100-U100,MAX(0,$AF100-SUMPRODUCT(--($B$4:$K$4&lt;K$4),$B100:$K100-$L100:$U100))),2)</f>
        <v>0</v>
      </c>
      <c r="AF100" s="39" t="n">
        <f aca="false">MAX(0,'Start Here'!$C$5-SUM($L100:$U100))</f>
        <v>1200</v>
      </c>
      <c r="AG100" s="39" t="n">
        <f aca="false">SUM(V100:AE100)</f>
        <v>0</v>
      </c>
      <c r="AH100" s="39" t="n">
        <f aca="false">SUM(B100:K100)-AG99</f>
        <v>0</v>
      </c>
    </row>
    <row r="101" customFormat="false" ht="15" hidden="false" customHeight="false" outlineLevel="0" collapsed="false">
      <c r="A101" s="40" t="n">
        <f aca="false">DATE(YEAR('Start Here'!$C$6),MONTH('Start Here'!$C$6)+94,1)</f>
        <v>49157</v>
      </c>
      <c r="B101" s="39" t="n">
        <f aca="false">ROUND(V100*(1+N('My Debts'!$D$6)/12),2)</f>
        <v>0</v>
      </c>
      <c r="C101" s="39" t="n">
        <f aca="false">ROUND(W100*(1+N('My Debts'!$D$7)/12),2)</f>
        <v>0</v>
      </c>
      <c r="D101" s="39" t="n">
        <f aca="false">ROUND(X100*(1+N('My Debts'!$D$8)/12),2)</f>
        <v>0</v>
      </c>
      <c r="E101" s="39" t="n">
        <f aca="false">ROUND(Y100*(1+N('My Debts'!$D$9)/12),2)</f>
        <v>0</v>
      </c>
      <c r="F101" s="39" t="n">
        <f aca="false">ROUND(Z100*(1+N('My Debts'!$D$10)/12),2)</f>
        <v>0</v>
      </c>
      <c r="G101" s="39" t="n">
        <f aca="false">ROUND(AA100*(1+N('My Debts'!$D$11)/12),2)</f>
        <v>0</v>
      </c>
      <c r="H101" s="39" t="n">
        <f aca="false">ROUND(AB100*(1+N('My Debts'!$D$12)/12),2)</f>
        <v>0</v>
      </c>
      <c r="I101" s="39" t="n">
        <f aca="false">ROUND(AC100*(1+N('My Debts'!$D$13)/12),2)</f>
        <v>0</v>
      </c>
      <c r="J101" s="39" t="n">
        <f aca="false">ROUND(AD100*(1+N('My Debts'!$D$14)/12),2)</f>
        <v>0</v>
      </c>
      <c r="K101" s="39" t="n">
        <f aca="false">ROUND(AE100*(1+N('My Debts'!$D$15)/12),2)</f>
        <v>0</v>
      </c>
      <c r="L101" s="39" t="n">
        <f aca="false">MIN(N('My Debts'!$E$6),B101)</f>
        <v>0</v>
      </c>
      <c r="M101" s="39" t="n">
        <f aca="false">MIN(N('My Debts'!$E$7),C101)</f>
        <v>0</v>
      </c>
      <c r="N101" s="39" t="n">
        <f aca="false">MIN(N('My Debts'!$E$8),D101)</f>
        <v>0</v>
      </c>
      <c r="O101" s="39" t="n">
        <f aca="false">MIN(N('My Debts'!$E$9),E101)</f>
        <v>0</v>
      </c>
      <c r="P101" s="39" t="n">
        <f aca="false">MIN(N('My Debts'!$E$10),F101)</f>
        <v>0</v>
      </c>
      <c r="Q101" s="39" t="n">
        <f aca="false">MIN(N('My Debts'!$E$11),G101)</f>
        <v>0</v>
      </c>
      <c r="R101" s="39" t="n">
        <f aca="false">MIN(N('My Debts'!$E$12),H101)</f>
        <v>0</v>
      </c>
      <c r="S101" s="39" t="n">
        <f aca="false">MIN(N('My Debts'!$E$13),I101)</f>
        <v>0</v>
      </c>
      <c r="T101" s="39" t="n">
        <f aca="false">MIN(N('My Debts'!$E$14),J101)</f>
        <v>0</v>
      </c>
      <c r="U101" s="39" t="n">
        <f aca="false">MIN(N('My Debts'!$E$15),K101)</f>
        <v>0</v>
      </c>
      <c r="V101" s="39" t="n">
        <f aca="false">ROUND(B101-L101-MIN(B101-L101,MAX(0,$AF101-SUMPRODUCT(--($B$4:$K$4&lt;B$4),$B101:$K101-$L101:$U101))),2)</f>
        <v>0</v>
      </c>
      <c r="W101" s="39" t="n">
        <f aca="false">ROUND(C101-M101-MIN(C101-M101,MAX(0,$AF101-SUMPRODUCT(--($B$4:$K$4&lt;C$4),$B101:$K101-$L101:$U101))),2)</f>
        <v>0</v>
      </c>
      <c r="X101" s="39" t="n">
        <f aca="false">ROUND(D101-N101-MIN(D101-N101,MAX(0,$AF101-SUMPRODUCT(--($B$4:$K$4&lt;D$4),$B101:$K101-$L101:$U101))),2)</f>
        <v>0</v>
      </c>
      <c r="Y101" s="39" t="n">
        <f aca="false">ROUND(E101-O101-MIN(E101-O101,MAX(0,$AF101-SUMPRODUCT(--($B$4:$K$4&lt;E$4),$B101:$K101-$L101:$U101))),2)</f>
        <v>0</v>
      </c>
      <c r="Z101" s="39" t="n">
        <f aca="false">ROUND(F101-P101-MIN(F101-P101,MAX(0,$AF101-SUMPRODUCT(--($B$4:$K$4&lt;F$4),$B101:$K101-$L101:$U101))),2)</f>
        <v>0</v>
      </c>
      <c r="AA101" s="39" t="n">
        <f aca="false">ROUND(G101-Q101-MIN(G101-Q101,MAX(0,$AF101-SUMPRODUCT(--($B$4:$K$4&lt;G$4),$B101:$K101-$L101:$U101))),2)</f>
        <v>0</v>
      </c>
      <c r="AB101" s="39" t="n">
        <f aca="false">ROUND(H101-R101-MIN(H101-R101,MAX(0,$AF101-SUMPRODUCT(--($B$4:$K$4&lt;H$4),$B101:$K101-$L101:$U101))),2)</f>
        <v>0</v>
      </c>
      <c r="AC101" s="39" t="n">
        <f aca="false">ROUND(I101-S101-MIN(I101-S101,MAX(0,$AF101-SUMPRODUCT(--($B$4:$K$4&lt;I$4),$B101:$K101-$L101:$U101))),2)</f>
        <v>0</v>
      </c>
      <c r="AD101" s="39" t="n">
        <f aca="false">ROUND(J101-T101-MIN(J101-T101,MAX(0,$AF101-SUMPRODUCT(--($B$4:$K$4&lt;J$4),$B101:$K101-$L101:$U101))),2)</f>
        <v>0</v>
      </c>
      <c r="AE101" s="39" t="n">
        <f aca="false">ROUND(K101-U101-MIN(K101-U101,MAX(0,$AF101-SUMPRODUCT(--($B$4:$K$4&lt;K$4),$B101:$K101-$L101:$U101))),2)</f>
        <v>0</v>
      </c>
      <c r="AF101" s="39" t="n">
        <f aca="false">MAX(0,'Start Here'!$C$5-SUM($L101:$U101))</f>
        <v>1200</v>
      </c>
      <c r="AG101" s="39" t="n">
        <f aca="false">SUM(V101:AE101)</f>
        <v>0</v>
      </c>
      <c r="AH101" s="39" t="n">
        <f aca="false">SUM(B101:K101)-AG100</f>
        <v>0</v>
      </c>
    </row>
    <row r="102" customFormat="false" ht="15" hidden="false" customHeight="false" outlineLevel="0" collapsed="false">
      <c r="A102" s="40" t="n">
        <f aca="false">DATE(YEAR('Start Here'!$C$6),MONTH('Start Here'!$C$6)+95,1)</f>
        <v>49188</v>
      </c>
      <c r="B102" s="39" t="n">
        <f aca="false">ROUND(V101*(1+N('My Debts'!$D$6)/12),2)</f>
        <v>0</v>
      </c>
      <c r="C102" s="39" t="n">
        <f aca="false">ROUND(W101*(1+N('My Debts'!$D$7)/12),2)</f>
        <v>0</v>
      </c>
      <c r="D102" s="39" t="n">
        <f aca="false">ROUND(X101*(1+N('My Debts'!$D$8)/12),2)</f>
        <v>0</v>
      </c>
      <c r="E102" s="39" t="n">
        <f aca="false">ROUND(Y101*(1+N('My Debts'!$D$9)/12),2)</f>
        <v>0</v>
      </c>
      <c r="F102" s="39" t="n">
        <f aca="false">ROUND(Z101*(1+N('My Debts'!$D$10)/12),2)</f>
        <v>0</v>
      </c>
      <c r="G102" s="39" t="n">
        <f aca="false">ROUND(AA101*(1+N('My Debts'!$D$11)/12),2)</f>
        <v>0</v>
      </c>
      <c r="H102" s="39" t="n">
        <f aca="false">ROUND(AB101*(1+N('My Debts'!$D$12)/12),2)</f>
        <v>0</v>
      </c>
      <c r="I102" s="39" t="n">
        <f aca="false">ROUND(AC101*(1+N('My Debts'!$D$13)/12),2)</f>
        <v>0</v>
      </c>
      <c r="J102" s="39" t="n">
        <f aca="false">ROUND(AD101*(1+N('My Debts'!$D$14)/12),2)</f>
        <v>0</v>
      </c>
      <c r="K102" s="39" t="n">
        <f aca="false">ROUND(AE101*(1+N('My Debts'!$D$15)/12),2)</f>
        <v>0</v>
      </c>
      <c r="L102" s="39" t="n">
        <f aca="false">MIN(N('My Debts'!$E$6),B102)</f>
        <v>0</v>
      </c>
      <c r="M102" s="39" t="n">
        <f aca="false">MIN(N('My Debts'!$E$7),C102)</f>
        <v>0</v>
      </c>
      <c r="N102" s="39" t="n">
        <f aca="false">MIN(N('My Debts'!$E$8),D102)</f>
        <v>0</v>
      </c>
      <c r="O102" s="39" t="n">
        <f aca="false">MIN(N('My Debts'!$E$9),E102)</f>
        <v>0</v>
      </c>
      <c r="P102" s="39" t="n">
        <f aca="false">MIN(N('My Debts'!$E$10),F102)</f>
        <v>0</v>
      </c>
      <c r="Q102" s="39" t="n">
        <f aca="false">MIN(N('My Debts'!$E$11),G102)</f>
        <v>0</v>
      </c>
      <c r="R102" s="39" t="n">
        <f aca="false">MIN(N('My Debts'!$E$12),H102)</f>
        <v>0</v>
      </c>
      <c r="S102" s="39" t="n">
        <f aca="false">MIN(N('My Debts'!$E$13),I102)</f>
        <v>0</v>
      </c>
      <c r="T102" s="39" t="n">
        <f aca="false">MIN(N('My Debts'!$E$14),J102)</f>
        <v>0</v>
      </c>
      <c r="U102" s="39" t="n">
        <f aca="false">MIN(N('My Debts'!$E$15),K102)</f>
        <v>0</v>
      </c>
      <c r="V102" s="39" t="n">
        <f aca="false">ROUND(B102-L102-MIN(B102-L102,MAX(0,$AF102-SUMPRODUCT(--($B$4:$K$4&lt;B$4),$B102:$K102-$L102:$U102))),2)</f>
        <v>0</v>
      </c>
      <c r="W102" s="39" t="n">
        <f aca="false">ROUND(C102-M102-MIN(C102-M102,MAX(0,$AF102-SUMPRODUCT(--($B$4:$K$4&lt;C$4),$B102:$K102-$L102:$U102))),2)</f>
        <v>0</v>
      </c>
      <c r="X102" s="39" t="n">
        <f aca="false">ROUND(D102-N102-MIN(D102-N102,MAX(0,$AF102-SUMPRODUCT(--($B$4:$K$4&lt;D$4),$B102:$K102-$L102:$U102))),2)</f>
        <v>0</v>
      </c>
      <c r="Y102" s="39" t="n">
        <f aca="false">ROUND(E102-O102-MIN(E102-O102,MAX(0,$AF102-SUMPRODUCT(--($B$4:$K$4&lt;E$4),$B102:$K102-$L102:$U102))),2)</f>
        <v>0</v>
      </c>
      <c r="Z102" s="39" t="n">
        <f aca="false">ROUND(F102-P102-MIN(F102-P102,MAX(0,$AF102-SUMPRODUCT(--($B$4:$K$4&lt;F$4),$B102:$K102-$L102:$U102))),2)</f>
        <v>0</v>
      </c>
      <c r="AA102" s="39" t="n">
        <f aca="false">ROUND(G102-Q102-MIN(G102-Q102,MAX(0,$AF102-SUMPRODUCT(--($B$4:$K$4&lt;G$4),$B102:$K102-$L102:$U102))),2)</f>
        <v>0</v>
      </c>
      <c r="AB102" s="39" t="n">
        <f aca="false">ROUND(H102-R102-MIN(H102-R102,MAX(0,$AF102-SUMPRODUCT(--($B$4:$K$4&lt;H$4),$B102:$K102-$L102:$U102))),2)</f>
        <v>0</v>
      </c>
      <c r="AC102" s="39" t="n">
        <f aca="false">ROUND(I102-S102-MIN(I102-S102,MAX(0,$AF102-SUMPRODUCT(--($B$4:$K$4&lt;I$4),$B102:$K102-$L102:$U102))),2)</f>
        <v>0</v>
      </c>
      <c r="AD102" s="39" t="n">
        <f aca="false">ROUND(J102-T102-MIN(J102-T102,MAX(0,$AF102-SUMPRODUCT(--($B$4:$K$4&lt;J$4),$B102:$K102-$L102:$U102))),2)</f>
        <v>0</v>
      </c>
      <c r="AE102" s="39" t="n">
        <f aca="false">ROUND(K102-U102-MIN(K102-U102,MAX(0,$AF102-SUMPRODUCT(--($B$4:$K$4&lt;K$4),$B102:$K102-$L102:$U102))),2)</f>
        <v>0</v>
      </c>
      <c r="AF102" s="39" t="n">
        <f aca="false">MAX(0,'Start Here'!$C$5-SUM($L102:$U102))</f>
        <v>1200</v>
      </c>
      <c r="AG102" s="39" t="n">
        <f aca="false">SUM(V102:AE102)</f>
        <v>0</v>
      </c>
      <c r="AH102" s="39" t="n">
        <f aca="false">SUM(B102:K102)-AG101</f>
        <v>0</v>
      </c>
    </row>
    <row r="103" customFormat="false" ht="15" hidden="false" customHeight="false" outlineLevel="0" collapsed="false">
      <c r="A103" s="40" t="n">
        <f aca="false">DATE(YEAR('Start Here'!$C$6),MONTH('Start Here'!$C$6)+96,1)</f>
        <v>49218</v>
      </c>
      <c r="B103" s="39" t="n">
        <f aca="false">ROUND(V102*(1+N('My Debts'!$D$6)/12),2)</f>
        <v>0</v>
      </c>
      <c r="C103" s="39" t="n">
        <f aca="false">ROUND(W102*(1+N('My Debts'!$D$7)/12),2)</f>
        <v>0</v>
      </c>
      <c r="D103" s="39" t="n">
        <f aca="false">ROUND(X102*(1+N('My Debts'!$D$8)/12),2)</f>
        <v>0</v>
      </c>
      <c r="E103" s="39" t="n">
        <f aca="false">ROUND(Y102*(1+N('My Debts'!$D$9)/12),2)</f>
        <v>0</v>
      </c>
      <c r="F103" s="39" t="n">
        <f aca="false">ROUND(Z102*(1+N('My Debts'!$D$10)/12),2)</f>
        <v>0</v>
      </c>
      <c r="G103" s="39" t="n">
        <f aca="false">ROUND(AA102*(1+N('My Debts'!$D$11)/12),2)</f>
        <v>0</v>
      </c>
      <c r="H103" s="39" t="n">
        <f aca="false">ROUND(AB102*(1+N('My Debts'!$D$12)/12),2)</f>
        <v>0</v>
      </c>
      <c r="I103" s="39" t="n">
        <f aca="false">ROUND(AC102*(1+N('My Debts'!$D$13)/12),2)</f>
        <v>0</v>
      </c>
      <c r="J103" s="39" t="n">
        <f aca="false">ROUND(AD102*(1+N('My Debts'!$D$14)/12),2)</f>
        <v>0</v>
      </c>
      <c r="K103" s="39" t="n">
        <f aca="false">ROUND(AE102*(1+N('My Debts'!$D$15)/12),2)</f>
        <v>0</v>
      </c>
      <c r="L103" s="39" t="n">
        <f aca="false">MIN(N('My Debts'!$E$6),B103)</f>
        <v>0</v>
      </c>
      <c r="M103" s="39" t="n">
        <f aca="false">MIN(N('My Debts'!$E$7),C103)</f>
        <v>0</v>
      </c>
      <c r="N103" s="39" t="n">
        <f aca="false">MIN(N('My Debts'!$E$8),D103)</f>
        <v>0</v>
      </c>
      <c r="O103" s="39" t="n">
        <f aca="false">MIN(N('My Debts'!$E$9),E103)</f>
        <v>0</v>
      </c>
      <c r="P103" s="39" t="n">
        <f aca="false">MIN(N('My Debts'!$E$10),F103)</f>
        <v>0</v>
      </c>
      <c r="Q103" s="39" t="n">
        <f aca="false">MIN(N('My Debts'!$E$11),G103)</f>
        <v>0</v>
      </c>
      <c r="R103" s="39" t="n">
        <f aca="false">MIN(N('My Debts'!$E$12),H103)</f>
        <v>0</v>
      </c>
      <c r="S103" s="39" t="n">
        <f aca="false">MIN(N('My Debts'!$E$13),I103)</f>
        <v>0</v>
      </c>
      <c r="T103" s="39" t="n">
        <f aca="false">MIN(N('My Debts'!$E$14),J103)</f>
        <v>0</v>
      </c>
      <c r="U103" s="39" t="n">
        <f aca="false">MIN(N('My Debts'!$E$15),K103)</f>
        <v>0</v>
      </c>
      <c r="V103" s="39" t="n">
        <f aca="false">ROUND(B103-L103-MIN(B103-L103,MAX(0,$AF103-SUMPRODUCT(--($B$4:$K$4&lt;B$4),$B103:$K103-$L103:$U103))),2)</f>
        <v>0</v>
      </c>
      <c r="W103" s="39" t="n">
        <f aca="false">ROUND(C103-M103-MIN(C103-M103,MAX(0,$AF103-SUMPRODUCT(--($B$4:$K$4&lt;C$4),$B103:$K103-$L103:$U103))),2)</f>
        <v>0</v>
      </c>
      <c r="X103" s="39" t="n">
        <f aca="false">ROUND(D103-N103-MIN(D103-N103,MAX(0,$AF103-SUMPRODUCT(--($B$4:$K$4&lt;D$4),$B103:$K103-$L103:$U103))),2)</f>
        <v>0</v>
      </c>
      <c r="Y103" s="39" t="n">
        <f aca="false">ROUND(E103-O103-MIN(E103-O103,MAX(0,$AF103-SUMPRODUCT(--($B$4:$K$4&lt;E$4),$B103:$K103-$L103:$U103))),2)</f>
        <v>0</v>
      </c>
      <c r="Z103" s="39" t="n">
        <f aca="false">ROUND(F103-P103-MIN(F103-P103,MAX(0,$AF103-SUMPRODUCT(--($B$4:$K$4&lt;F$4),$B103:$K103-$L103:$U103))),2)</f>
        <v>0</v>
      </c>
      <c r="AA103" s="39" t="n">
        <f aca="false">ROUND(G103-Q103-MIN(G103-Q103,MAX(0,$AF103-SUMPRODUCT(--($B$4:$K$4&lt;G$4),$B103:$K103-$L103:$U103))),2)</f>
        <v>0</v>
      </c>
      <c r="AB103" s="39" t="n">
        <f aca="false">ROUND(H103-R103-MIN(H103-R103,MAX(0,$AF103-SUMPRODUCT(--($B$4:$K$4&lt;H$4),$B103:$K103-$L103:$U103))),2)</f>
        <v>0</v>
      </c>
      <c r="AC103" s="39" t="n">
        <f aca="false">ROUND(I103-S103-MIN(I103-S103,MAX(0,$AF103-SUMPRODUCT(--($B$4:$K$4&lt;I$4),$B103:$K103-$L103:$U103))),2)</f>
        <v>0</v>
      </c>
      <c r="AD103" s="39" t="n">
        <f aca="false">ROUND(J103-T103-MIN(J103-T103,MAX(0,$AF103-SUMPRODUCT(--($B$4:$K$4&lt;J$4),$B103:$K103-$L103:$U103))),2)</f>
        <v>0</v>
      </c>
      <c r="AE103" s="39" t="n">
        <f aca="false">ROUND(K103-U103-MIN(K103-U103,MAX(0,$AF103-SUMPRODUCT(--($B$4:$K$4&lt;K$4),$B103:$K103-$L103:$U103))),2)</f>
        <v>0</v>
      </c>
      <c r="AF103" s="39" t="n">
        <f aca="false">MAX(0,'Start Here'!$C$5-SUM($L103:$U103))</f>
        <v>1200</v>
      </c>
      <c r="AG103" s="39" t="n">
        <f aca="false">SUM(V103:AE103)</f>
        <v>0</v>
      </c>
      <c r="AH103" s="39" t="n">
        <f aca="false">SUM(B103:K103)-AG102</f>
        <v>0</v>
      </c>
    </row>
    <row r="104" customFormat="false" ht="15" hidden="false" customHeight="false" outlineLevel="0" collapsed="false">
      <c r="A104" s="40" t="n">
        <f aca="false">DATE(YEAR('Start Here'!$C$6),MONTH('Start Here'!$C$6)+97,1)</f>
        <v>49249</v>
      </c>
      <c r="B104" s="39" t="n">
        <f aca="false">ROUND(V103*(1+N('My Debts'!$D$6)/12),2)</f>
        <v>0</v>
      </c>
      <c r="C104" s="39" t="n">
        <f aca="false">ROUND(W103*(1+N('My Debts'!$D$7)/12),2)</f>
        <v>0</v>
      </c>
      <c r="D104" s="39" t="n">
        <f aca="false">ROUND(X103*(1+N('My Debts'!$D$8)/12),2)</f>
        <v>0</v>
      </c>
      <c r="E104" s="39" t="n">
        <f aca="false">ROUND(Y103*(1+N('My Debts'!$D$9)/12),2)</f>
        <v>0</v>
      </c>
      <c r="F104" s="39" t="n">
        <f aca="false">ROUND(Z103*(1+N('My Debts'!$D$10)/12),2)</f>
        <v>0</v>
      </c>
      <c r="G104" s="39" t="n">
        <f aca="false">ROUND(AA103*(1+N('My Debts'!$D$11)/12),2)</f>
        <v>0</v>
      </c>
      <c r="H104" s="39" t="n">
        <f aca="false">ROUND(AB103*(1+N('My Debts'!$D$12)/12),2)</f>
        <v>0</v>
      </c>
      <c r="I104" s="39" t="n">
        <f aca="false">ROUND(AC103*(1+N('My Debts'!$D$13)/12),2)</f>
        <v>0</v>
      </c>
      <c r="J104" s="39" t="n">
        <f aca="false">ROUND(AD103*(1+N('My Debts'!$D$14)/12),2)</f>
        <v>0</v>
      </c>
      <c r="K104" s="39" t="n">
        <f aca="false">ROUND(AE103*(1+N('My Debts'!$D$15)/12),2)</f>
        <v>0</v>
      </c>
      <c r="L104" s="39" t="n">
        <f aca="false">MIN(N('My Debts'!$E$6),B104)</f>
        <v>0</v>
      </c>
      <c r="M104" s="39" t="n">
        <f aca="false">MIN(N('My Debts'!$E$7),C104)</f>
        <v>0</v>
      </c>
      <c r="N104" s="39" t="n">
        <f aca="false">MIN(N('My Debts'!$E$8),D104)</f>
        <v>0</v>
      </c>
      <c r="O104" s="39" t="n">
        <f aca="false">MIN(N('My Debts'!$E$9),E104)</f>
        <v>0</v>
      </c>
      <c r="P104" s="39" t="n">
        <f aca="false">MIN(N('My Debts'!$E$10),F104)</f>
        <v>0</v>
      </c>
      <c r="Q104" s="39" t="n">
        <f aca="false">MIN(N('My Debts'!$E$11),G104)</f>
        <v>0</v>
      </c>
      <c r="R104" s="39" t="n">
        <f aca="false">MIN(N('My Debts'!$E$12),H104)</f>
        <v>0</v>
      </c>
      <c r="S104" s="39" t="n">
        <f aca="false">MIN(N('My Debts'!$E$13),I104)</f>
        <v>0</v>
      </c>
      <c r="T104" s="39" t="n">
        <f aca="false">MIN(N('My Debts'!$E$14),J104)</f>
        <v>0</v>
      </c>
      <c r="U104" s="39" t="n">
        <f aca="false">MIN(N('My Debts'!$E$15),K104)</f>
        <v>0</v>
      </c>
      <c r="V104" s="39" t="n">
        <f aca="false">ROUND(B104-L104-MIN(B104-L104,MAX(0,$AF104-SUMPRODUCT(--($B$4:$K$4&lt;B$4),$B104:$K104-$L104:$U104))),2)</f>
        <v>0</v>
      </c>
      <c r="W104" s="39" t="n">
        <f aca="false">ROUND(C104-M104-MIN(C104-M104,MAX(0,$AF104-SUMPRODUCT(--($B$4:$K$4&lt;C$4),$B104:$K104-$L104:$U104))),2)</f>
        <v>0</v>
      </c>
      <c r="X104" s="39" t="n">
        <f aca="false">ROUND(D104-N104-MIN(D104-N104,MAX(0,$AF104-SUMPRODUCT(--($B$4:$K$4&lt;D$4),$B104:$K104-$L104:$U104))),2)</f>
        <v>0</v>
      </c>
      <c r="Y104" s="39" t="n">
        <f aca="false">ROUND(E104-O104-MIN(E104-O104,MAX(0,$AF104-SUMPRODUCT(--($B$4:$K$4&lt;E$4),$B104:$K104-$L104:$U104))),2)</f>
        <v>0</v>
      </c>
      <c r="Z104" s="39" t="n">
        <f aca="false">ROUND(F104-P104-MIN(F104-P104,MAX(0,$AF104-SUMPRODUCT(--($B$4:$K$4&lt;F$4),$B104:$K104-$L104:$U104))),2)</f>
        <v>0</v>
      </c>
      <c r="AA104" s="39" t="n">
        <f aca="false">ROUND(G104-Q104-MIN(G104-Q104,MAX(0,$AF104-SUMPRODUCT(--($B$4:$K$4&lt;G$4),$B104:$K104-$L104:$U104))),2)</f>
        <v>0</v>
      </c>
      <c r="AB104" s="39" t="n">
        <f aca="false">ROUND(H104-R104-MIN(H104-R104,MAX(0,$AF104-SUMPRODUCT(--($B$4:$K$4&lt;H$4),$B104:$K104-$L104:$U104))),2)</f>
        <v>0</v>
      </c>
      <c r="AC104" s="39" t="n">
        <f aca="false">ROUND(I104-S104-MIN(I104-S104,MAX(0,$AF104-SUMPRODUCT(--($B$4:$K$4&lt;I$4),$B104:$K104-$L104:$U104))),2)</f>
        <v>0</v>
      </c>
      <c r="AD104" s="39" t="n">
        <f aca="false">ROUND(J104-T104-MIN(J104-T104,MAX(0,$AF104-SUMPRODUCT(--($B$4:$K$4&lt;J$4),$B104:$K104-$L104:$U104))),2)</f>
        <v>0</v>
      </c>
      <c r="AE104" s="39" t="n">
        <f aca="false">ROUND(K104-U104-MIN(K104-U104,MAX(0,$AF104-SUMPRODUCT(--($B$4:$K$4&lt;K$4),$B104:$K104-$L104:$U104))),2)</f>
        <v>0</v>
      </c>
      <c r="AF104" s="39" t="n">
        <f aca="false">MAX(0,'Start Here'!$C$5-SUM($L104:$U104))</f>
        <v>1200</v>
      </c>
      <c r="AG104" s="39" t="n">
        <f aca="false">SUM(V104:AE104)</f>
        <v>0</v>
      </c>
      <c r="AH104" s="39" t="n">
        <f aca="false">SUM(B104:K104)-AG103</f>
        <v>0</v>
      </c>
    </row>
    <row r="105" customFormat="false" ht="15" hidden="false" customHeight="false" outlineLevel="0" collapsed="false">
      <c r="A105" s="40" t="n">
        <f aca="false">DATE(YEAR('Start Here'!$C$6),MONTH('Start Here'!$C$6)+98,1)</f>
        <v>49279</v>
      </c>
      <c r="B105" s="39" t="n">
        <f aca="false">ROUND(V104*(1+N('My Debts'!$D$6)/12),2)</f>
        <v>0</v>
      </c>
      <c r="C105" s="39" t="n">
        <f aca="false">ROUND(W104*(1+N('My Debts'!$D$7)/12),2)</f>
        <v>0</v>
      </c>
      <c r="D105" s="39" t="n">
        <f aca="false">ROUND(X104*(1+N('My Debts'!$D$8)/12),2)</f>
        <v>0</v>
      </c>
      <c r="E105" s="39" t="n">
        <f aca="false">ROUND(Y104*(1+N('My Debts'!$D$9)/12),2)</f>
        <v>0</v>
      </c>
      <c r="F105" s="39" t="n">
        <f aca="false">ROUND(Z104*(1+N('My Debts'!$D$10)/12),2)</f>
        <v>0</v>
      </c>
      <c r="G105" s="39" t="n">
        <f aca="false">ROUND(AA104*(1+N('My Debts'!$D$11)/12),2)</f>
        <v>0</v>
      </c>
      <c r="H105" s="39" t="n">
        <f aca="false">ROUND(AB104*(1+N('My Debts'!$D$12)/12),2)</f>
        <v>0</v>
      </c>
      <c r="I105" s="39" t="n">
        <f aca="false">ROUND(AC104*(1+N('My Debts'!$D$13)/12),2)</f>
        <v>0</v>
      </c>
      <c r="J105" s="39" t="n">
        <f aca="false">ROUND(AD104*(1+N('My Debts'!$D$14)/12),2)</f>
        <v>0</v>
      </c>
      <c r="K105" s="39" t="n">
        <f aca="false">ROUND(AE104*(1+N('My Debts'!$D$15)/12),2)</f>
        <v>0</v>
      </c>
      <c r="L105" s="39" t="n">
        <f aca="false">MIN(N('My Debts'!$E$6),B105)</f>
        <v>0</v>
      </c>
      <c r="M105" s="39" t="n">
        <f aca="false">MIN(N('My Debts'!$E$7),C105)</f>
        <v>0</v>
      </c>
      <c r="N105" s="39" t="n">
        <f aca="false">MIN(N('My Debts'!$E$8),D105)</f>
        <v>0</v>
      </c>
      <c r="O105" s="39" t="n">
        <f aca="false">MIN(N('My Debts'!$E$9),E105)</f>
        <v>0</v>
      </c>
      <c r="P105" s="39" t="n">
        <f aca="false">MIN(N('My Debts'!$E$10),F105)</f>
        <v>0</v>
      </c>
      <c r="Q105" s="39" t="n">
        <f aca="false">MIN(N('My Debts'!$E$11),G105)</f>
        <v>0</v>
      </c>
      <c r="R105" s="39" t="n">
        <f aca="false">MIN(N('My Debts'!$E$12),H105)</f>
        <v>0</v>
      </c>
      <c r="S105" s="39" t="n">
        <f aca="false">MIN(N('My Debts'!$E$13),I105)</f>
        <v>0</v>
      </c>
      <c r="T105" s="39" t="n">
        <f aca="false">MIN(N('My Debts'!$E$14),J105)</f>
        <v>0</v>
      </c>
      <c r="U105" s="39" t="n">
        <f aca="false">MIN(N('My Debts'!$E$15),K105)</f>
        <v>0</v>
      </c>
      <c r="V105" s="39" t="n">
        <f aca="false">ROUND(B105-L105-MIN(B105-L105,MAX(0,$AF105-SUMPRODUCT(--($B$4:$K$4&lt;B$4),$B105:$K105-$L105:$U105))),2)</f>
        <v>0</v>
      </c>
      <c r="W105" s="39" t="n">
        <f aca="false">ROUND(C105-M105-MIN(C105-M105,MAX(0,$AF105-SUMPRODUCT(--($B$4:$K$4&lt;C$4),$B105:$K105-$L105:$U105))),2)</f>
        <v>0</v>
      </c>
      <c r="X105" s="39" t="n">
        <f aca="false">ROUND(D105-N105-MIN(D105-N105,MAX(0,$AF105-SUMPRODUCT(--($B$4:$K$4&lt;D$4),$B105:$K105-$L105:$U105))),2)</f>
        <v>0</v>
      </c>
      <c r="Y105" s="39" t="n">
        <f aca="false">ROUND(E105-O105-MIN(E105-O105,MAX(0,$AF105-SUMPRODUCT(--($B$4:$K$4&lt;E$4),$B105:$K105-$L105:$U105))),2)</f>
        <v>0</v>
      </c>
      <c r="Z105" s="39" t="n">
        <f aca="false">ROUND(F105-P105-MIN(F105-P105,MAX(0,$AF105-SUMPRODUCT(--($B$4:$K$4&lt;F$4),$B105:$K105-$L105:$U105))),2)</f>
        <v>0</v>
      </c>
      <c r="AA105" s="39" t="n">
        <f aca="false">ROUND(G105-Q105-MIN(G105-Q105,MAX(0,$AF105-SUMPRODUCT(--($B$4:$K$4&lt;G$4),$B105:$K105-$L105:$U105))),2)</f>
        <v>0</v>
      </c>
      <c r="AB105" s="39" t="n">
        <f aca="false">ROUND(H105-R105-MIN(H105-R105,MAX(0,$AF105-SUMPRODUCT(--($B$4:$K$4&lt;H$4),$B105:$K105-$L105:$U105))),2)</f>
        <v>0</v>
      </c>
      <c r="AC105" s="39" t="n">
        <f aca="false">ROUND(I105-S105-MIN(I105-S105,MAX(0,$AF105-SUMPRODUCT(--($B$4:$K$4&lt;I$4),$B105:$K105-$L105:$U105))),2)</f>
        <v>0</v>
      </c>
      <c r="AD105" s="39" t="n">
        <f aca="false">ROUND(J105-T105-MIN(J105-T105,MAX(0,$AF105-SUMPRODUCT(--($B$4:$K$4&lt;J$4),$B105:$K105-$L105:$U105))),2)</f>
        <v>0</v>
      </c>
      <c r="AE105" s="39" t="n">
        <f aca="false">ROUND(K105-U105-MIN(K105-U105,MAX(0,$AF105-SUMPRODUCT(--($B$4:$K$4&lt;K$4),$B105:$K105-$L105:$U105))),2)</f>
        <v>0</v>
      </c>
      <c r="AF105" s="39" t="n">
        <f aca="false">MAX(0,'Start Here'!$C$5-SUM($L105:$U105))</f>
        <v>1200</v>
      </c>
      <c r="AG105" s="39" t="n">
        <f aca="false">SUM(V105:AE105)</f>
        <v>0</v>
      </c>
      <c r="AH105" s="39" t="n">
        <f aca="false">SUM(B105:K105)-AG104</f>
        <v>0</v>
      </c>
    </row>
    <row r="106" customFormat="false" ht="15" hidden="false" customHeight="false" outlineLevel="0" collapsed="false">
      <c r="A106" s="40" t="n">
        <f aca="false">DATE(YEAR('Start Here'!$C$6),MONTH('Start Here'!$C$6)+99,1)</f>
        <v>49310</v>
      </c>
      <c r="B106" s="39" t="n">
        <f aca="false">ROUND(V105*(1+N('My Debts'!$D$6)/12),2)</f>
        <v>0</v>
      </c>
      <c r="C106" s="39" t="n">
        <f aca="false">ROUND(W105*(1+N('My Debts'!$D$7)/12),2)</f>
        <v>0</v>
      </c>
      <c r="D106" s="39" t="n">
        <f aca="false">ROUND(X105*(1+N('My Debts'!$D$8)/12),2)</f>
        <v>0</v>
      </c>
      <c r="E106" s="39" t="n">
        <f aca="false">ROUND(Y105*(1+N('My Debts'!$D$9)/12),2)</f>
        <v>0</v>
      </c>
      <c r="F106" s="39" t="n">
        <f aca="false">ROUND(Z105*(1+N('My Debts'!$D$10)/12),2)</f>
        <v>0</v>
      </c>
      <c r="G106" s="39" t="n">
        <f aca="false">ROUND(AA105*(1+N('My Debts'!$D$11)/12),2)</f>
        <v>0</v>
      </c>
      <c r="H106" s="39" t="n">
        <f aca="false">ROUND(AB105*(1+N('My Debts'!$D$12)/12),2)</f>
        <v>0</v>
      </c>
      <c r="I106" s="39" t="n">
        <f aca="false">ROUND(AC105*(1+N('My Debts'!$D$13)/12),2)</f>
        <v>0</v>
      </c>
      <c r="J106" s="39" t="n">
        <f aca="false">ROUND(AD105*(1+N('My Debts'!$D$14)/12),2)</f>
        <v>0</v>
      </c>
      <c r="K106" s="39" t="n">
        <f aca="false">ROUND(AE105*(1+N('My Debts'!$D$15)/12),2)</f>
        <v>0</v>
      </c>
      <c r="L106" s="39" t="n">
        <f aca="false">MIN(N('My Debts'!$E$6),B106)</f>
        <v>0</v>
      </c>
      <c r="M106" s="39" t="n">
        <f aca="false">MIN(N('My Debts'!$E$7),C106)</f>
        <v>0</v>
      </c>
      <c r="N106" s="39" t="n">
        <f aca="false">MIN(N('My Debts'!$E$8),D106)</f>
        <v>0</v>
      </c>
      <c r="O106" s="39" t="n">
        <f aca="false">MIN(N('My Debts'!$E$9),E106)</f>
        <v>0</v>
      </c>
      <c r="P106" s="39" t="n">
        <f aca="false">MIN(N('My Debts'!$E$10),F106)</f>
        <v>0</v>
      </c>
      <c r="Q106" s="39" t="n">
        <f aca="false">MIN(N('My Debts'!$E$11),G106)</f>
        <v>0</v>
      </c>
      <c r="R106" s="39" t="n">
        <f aca="false">MIN(N('My Debts'!$E$12),H106)</f>
        <v>0</v>
      </c>
      <c r="S106" s="39" t="n">
        <f aca="false">MIN(N('My Debts'!$E$13),I106)</f>
        <v>0</v>
      </c>
      <c r="T106" s="39" t="n">
        <f aca="false">MIN(N('My Debts'!$E$14),J106)</f>
        <v>0</v>
      </c>
      <c r="U106" s="39" t="n">
        <f aca="false">MIN(N('My Debts'!$E$15),K106)</f>
        <v>0</v>
      </c>
      <c r="V106" s="39" t="n">
        <f aca="false">ROUND(B106-L106-MIN(B106-L106,MAX(0,$AF106-SUMPRODUCT(--($B$4:$K$4&lt;B$4),$B106:$K106-$L106:$U106))),2)</f>
        <v>0</v>
      </c>
      <c r="W106" s="39" t="n">
        <f aca="false">ROUND(C106-M106-MIN(C106-M106,MAX(0,$AF106-SUMPRODUCT(--($B$4:$K$4&lt;C$4),$B106:$K106-$L106:$U106))),2)</f>
        <v>0</v>
      </c>
      <c r="X106" s="39" t="n">
        <f aca="false">ROUND(D106-N106-MIN(D106-N106,MAX(0,$AF106-SUMPRODUCT(--($B$4:$K$4&lt;D$4),$B106:$K106-$L106:$U106))),2)</f>
        <v>0</v>
      </c>
      <c r="Y106" s="39" t="n">
        <f aca="false">ROUND(E106-O106-MIN(E106-O106,MAX(0,$AF106-SUMPRODUCT(--($B$4:$K$4&lt;E$4),$B106:$K106-$L106:$U106))),2)</f>
        <v>0</v>
      </c>
      <c r="Z106" s="39" t="n">
        <f aca="false">ROUND(F106-P106-MIN(F106-P106,MAX(0,$AF106-SUMPRODUCT(--($B$4:$K$4&lt;F$4),$B106:$K106-$L106:$U106))),2)</f>
        <v>0</v>
      </c>
      <c r="AA106" s="39" t="n">
        <f aca="false">ROUND(G106-Q106-MIN(G106-Q106,MAX(0,$AF106-SUMPRODUCT(--($B$4:$K$4&lt;G$4),$B106:$K106-$L106:$U106))),2)</f>
        <v>0</v>
      </c>
      <c r="AB106" s="39" t="n">
        <f aca="false">ROUND(H106-R106-MIN(H106-R106,MAX(0,$AF106-SUMPRODUCT(--($B$4:$K$4&lt;H$4),$B106:$K106-$L106:$U106))),2)</f>
        <v>0</v>
      </c>
      <c r="AC106" s="39" t="n">
        <f aca="false">ROUND(I106-S106-MIN(I106-S106,MAX(0,$AF106-SUMPRODUCT(--($B$4:$K$4&lt;I$4),$B106:$K106-$L106:$U106))),2)</f>
        <v>0</v>
      </c>
      <c r="AD106" s="39" t="n">
        <f aca="false">ROUND(J106-T106-MIN(J106-T106,MAX(0,$AF106-SUMPRODUCT(--($B$4:$K$4&lt;J$4),$B106:$K106-$L106:$U106))),2)</f>
        <v>0</v>
      </c>
      <c r="AE106" s="39" t="n">
        <f aca="false">ROUND(K106-U106-MIN(K106-U106,MAX(0,$AF106-SUMPRODUCT(--($B$4:$K$4&lt;K$4),$B106:$K106-$L106:$U106))),2)</f>
        <v>0</v>
      </c>
      <c r="AF106" s="39" t="n">
        <f aca="false">MAX(0,'Start Here'!$C$5-SUM($L106:$U106))</f>
        <v>1200</v>
      </c>
      <c r="AG106" s="39" t="n">
        <f aca="false">SUM(V106:AE106)</f>
        <v>0</v>
      </c>
      <c r="AH106" s="39" t="n">
        <f aca="false">SUM(B106:K106)-AG105</f>
        <v>0</v>
      </c>
    </row>
    <row r="107" customFormat="false" ht="15" hidden="false" customHeight="false" outlineLevel="0" collapsed="false">
      <c r="A107" s="40" t="n">
        <f aca="false">DATE(YEAR('Start Here'!$C$6),MONTH('Start Here'!$C$6)+100,1)</f>
        <v>49341</v>
      </c>
      <c r="B107" s="39" t="n">
        <f aca="false">ROUND(V106*(1+N('My Debts'!$D$6)/12),2)</f>
        <v>0</v>
      </c>
      <c r="C107" s="39" t="n">
        <f aca="false">ROUND(W106*(1+N('My Debts'!$D$7)/12),2)</f>
        <v>0</v>
      </c>
      <c r="D107" s="39" t="n">
        <f aca="false">ROUND(X106*(1+N('My Debts'!$D$8)/12),2)</f>
        <v>0</v>
      </c>
      <c r="E107" s="39" t="n">
        <f aca="false">ROUND(Y106*(1+N('My Debts'!$D$9)/12),2)</f>
        <v>0</v>
      </c>
      <c r="F107" s="39" t="n">
        <f aca="false">ROUND(Z106*(1+N('My Debts'!$D$10)/12),2)</f>
        <v>0</v>
      </c>
      <c r="G107" s="39" t="n">
        <f aca="false">ROUND(AA106*(1+N('My Debts'!$D$11)/12),2)</f>
        <v>0</v>
      </c>
      <c r="H107" s="39" t="n">
        <f aca="false">ROUND(AB106*(1+N('My Debts'!$D$12)/12),2)</f>
        <v>0</v>
      </c>
      <c r="I107" s="39" t="n">
        <f aca="false">ROUND(AC106*(1+N('My Debts'!$D$13)/12),2)</f>
        <v>0</v>
      </c>
      <c r="J107" s="39" t="n">
        <f aca="false">ROUND(AD106*(1+N('My Debts'!$D$14)/12),2)</f>
        <v>0</v>
      </c>
      <c r="K107" s="39" t="n">
        <f aca="false">ROUND(AE106*(1+N('My Debts'!$D$15)/12),2)</f>
        <v>0</v>
      </c>
      <c r="L107" s="39" t="n">
        <f aca="false">MIN(N('My Debts'!$E$6),B107)</f>
        <v>0</v>
      </c>
      <c r="M107" s="39" t="n">
        <f aca="false">MIN(N('My Debts'!$E$7),C107)</f>
        <v>0</v>
      </c>
      <c r="N107" s="39" t="n">
        <f aca="false">MIN(N('My Debts'!$E$8),D107)</f>
        <v>0</v>
      </c>
      <c r="O107" s="39" t="n">
        <f aca="false">MIN(N('My Debts'!$E$9),E107)</f>
        <v>0</v>
      </c>
      <c r="P107" s="39" t="n">
        <f aca="false">MIN(N('My Debts'!$E$10),F107)</f>
        <v>0</v>
      </c>
      <c r="Q107" s="39" t="n">
        <f aca="false">MIN(N('My Debts'!$E$11),G107)</f>
        <v>0</v>
      </c>
      <c r="R107" s="39" t="n">
        <f aca="false">MIN(N('My Debts'!$E$12),H107)</f>
        <v>0</v>
      </c>
      <c r="S107" s="39" t="n">
        <f aca="false">MIN(N('My Debts'!$E$13),I107)</f>
        <v>0</v>
      </c>
      <c r="T107" s="39" t="n">
        <f aca="false">MIN(N('My Debts'!$E$14),J107)</f>
        <v>0</v>
      </c>
      <c r="U107" s="39" t="n">
        <f aca="false">MIN(N('My Debts'!$E$15),K107)</f>
        <v>0</v>
      </c>
      <c r="V107" s="39" t="n">
        <f aca="false">ROUND(B107-L107-MIN(B107-L107,MAX(0,$AF107-SUMPRODUCT(--($B$4:$K$4&lt;B$4),$B107:$K107-$L107:$U107))),2)</f>
        <v>0</v>
      </c>
      <c r="W107" s="39" t="n">
        <f aca="false">ROUND(C107-M107-MIN(C107-M107,MAX(0,$AF107-SUMPRODUCT(--($B$4:$K$4&lt;C$4),$B107:$K107-$L107:$U107))),2)</f>
        <v>0</v>
      </c>
      <c r="X107" s="39" t="n">
        <f aca="false">ROUND(D107-N107-MIN(D107-N107,MAX(0,$AF107-SUMPRODUCT(--($B$4:$K$4&lt;D$4),$B107:$K107-$L107:$U107))),2)</f>
        <v>0</v>
      </c>
      <c r="Y107" s="39" t="n">
        <f aca="false">ROUND(E107-O107-MIN(E107-O107,MAX(0,$AF107-SUMPRODUCT(--($B$4:$K$4&lt;E$4),$B107:$K107-$L107:$U107))),2)</f>
        <v>0</v>
      </c>
      <c r="Z107" s="39" t="n">
        <f aca="false">ROUND(F107-P107-MIN(F107-P107,MAX(0,$AF107-SUMPRODUCT(--($B$4:$K$4&lt;F$4),$B107:$K107-$L107:$U107))),2)</f>
        <v>0</v>
      </c>
      <c r="AA107" s="39" t="n">
        <f aca="false">ROUND(G107-Q107-MIN(G107-Q107,MAX(0,$AF107-SUMPRODUCT(--($B$4:$K$4&lt;G$4),$B107:$K107-$L107:$U107))),2)</f>
        <v>0</v>
      </c>
      <c r="AB107" s="39" t="n">
        <f aca="false">ROUND(H107-R107-MIN(H107-R107,MAX(0,$AF107-SUMPRODUCT(--($B$4:$K$4&lt;H$4),$B107:$K107-$L107:$U107))),2)</f>
        <v>0</v>
      </c>
      <c r="AC107" s="39" t="n">
        <f aca="false">ROUND(I107-S107-MIN(I107-S107,MAX(0,$AF107-SUMPRODUCT(--($B$4:$K$4&lt;I$4),$B107:$K107-$L107:$U107))),2)</f>
        <v>0</v>
      </c>
      <c r="AD107" s="39" t="n">
        <f aca="false">ROUND(J107-T107-MIN(J107-T107,MAX(0,$AF107-SUMPRODUCT(--($B$4:$K$4&lt;J$4),$B107:$K107-$L107:$U107))),2)</f>
        <v>0</v>
      </c>
      <c r="AE107" s="39" t="n">
        <f aca="false">ROUND(K107-U107-MIN(K107-U107,MAX(0,$AF107-SUMPRODUCT(--($B$4:$K$4&lt;K$4),$B107:$K107-$L107:$U107))),2)</f>
        <v>0</v>
      </c>
      <c r="AF107" s="39" t="n">
        <f aca="false">MAX(0,'Start Here'!$C$5-SUM($L107:$U107))</f>
        <v>1200</v>
      </c>
      <c r="AG107" s="39" t="n">
        <f aca="false">SUM(V107:AE107)</f>
        <v>0</v>
      </c>
      <c r="AH107" s="39" t="n">
        <f aca="false">SUM(B107:K107)-AG106</f>
        <v>0</v>
      </c>
    </row>
    <row r="108" customFormat="false" ht="15" hidden="false" customHeight="false" outlineLevel="0" collapsed="false">
      <c r="A108" s="40" t="n">
        <f aca="false">DATE(YEAR('Start Here'!$C$6),MONTH('Start Here'!$C$6)+101,1)</f>
        <v>49369</v>
      </c>
      <c r="B108" s="39" t="n">
        <f aca="false">ROUND(V107*(1+N('My Debts'!$D$6)/12),2)</f>
        <v>0</v>
      </c>
      <c r="C108" s="39" t="n">
        <f aca="false">ROUND(W107*(1+N('My Debts'!$D$7)/12),2)</f>
        <v>0</v>
      </c>
      <c r="D108" s="39" t="n">
        <f aca="false">ROUND(X107*(1+N('My Debts'!$D$8)/12),2)</f>
        <v>0</v>
      </c>
      <c r="E108" s="39" t="n">
        <f aca="false">ROUND(Y107*(1+N('My Debts'!$D$9)/12),2)</f>
        <v>0</v>
      </c>
      <c r="F108" s="39" t="n">
        <f aca="false">ROUND(Z107*(1+N('My Debts'!$D$10)/12),2)</f>
        <v>0</v>
      </c>
      <c r="G108" s="39" t="n">
        <f aca="false">ROUND(AA107*(1+N('My Debts'!$D$11)/12),2)</f>
        <v>0</v>
      </c>
      <c r="H108" s="39" t="n">
        <f aca="false">ROUND(AB107*(1+N('My Debts'!$D$12)/12),2)</f>
        <v>0</v>
      </c>
      <c r="I108" s="39" t="n">
        <f aca="false">ROUND(AC107*(1+N('My Debts'!$D$13)/12),2)</f>
        <v>0</v>
      </c>
      <c r="J108" s="39" t="n">
        <f aca="false">ROUND(AD107*(1+N('My Debts'!$D$14)/12),2)</f>
        <v>0</v>
      </c>
      <c r="K108" s="39" t="n">
        <f aca="false">ROUND(AE107*(1+N('My Debts'!$D$15)/12),2)</f>
        <v>0</v>
      </c>
      <c r="L108" s="39" t="n">
        <f aca="false">MIN(N('My Debts'!$E$6),B108)</f>
        <v>0</v>
      </c>
      <c r="M108" s="39" t="n">
        <f aca="false">MIN(N('My Debts'!$E$7),C108)</f>
        <v>0</v>
      </c>
      <c r="N108" s="39" t="n">
        <f aca="false">MIN(N('My Debts'!$E$8),D108)</f>
        <v>0</v>
      </c>
      <c r="O108" s="39" t="n">
        <f aca="false">MIN(N('My Debts'!$E$9),E108)</f>
        <v>0</v>
      </c>
      <c r="P108" s="39" t="n">
        <f aca="false">MIN(N('My Debts'!$E$10),F108)</f>
        <v>0</v>
      </c>
      <c r="Q108" s="39" t="n">
        <f aca="false">MIN(N('My Debts'!$E$11),G108)</f>
        <v>0</v>
      </c>
      <c r="R108" s="39" t="n">
        <f aca="false">MIN(N('My Debts'!$E$12),H108)</f>
        <v>0</v>
      </c>
      <c r="S108" s="39" t="n">
        <f aca="false">MIN(N('My Debts'!$E$13),I108)</f>
        <v>0</v>
      </c>
      <c r="T108" s="39" t="n">
        <f aca="false">MIN(N('My Debts'!$E$14),J108)</f>
        <v>0</v>
      </c>
      <c r="U108" s="39" t="n">
        <f aca="false">MIN(N('My Debts'!$E$15),K108)</f>
        <v>0</v>
      </c>
      <c r="V108" s="39" t="n">
        <f aca="false">ROUND(B108-L108-MIN(B108-L108,MAX(0,$AF108-SUMPRODUCT(--($B$4:$K$4&lt;B$4),$B108:$K108-$L108:$U108))),2)</f>
        <v>0</v>
      </c>
      <c r="W108" s="39" t="n">
        <f aca="false">ROUND(C108-M108-MIN(C108-M108,MAX(0,$AF108-SUMPRODUCT(--($B$4:$K$4&lt;C$4),$B108:$K108-$L108:$U108))),2)</f>
        <v>0</v>
      </c>
      <c r="X108" s="39" t="n">
        <f aca="false">ROUND(D108-N108-MIN(D108-N108,MAX(0,$AF108-SUMPRODUCT(--($B$4:$K$4&lt;D$4),$B108:$K108-$L108:$U108))),2)</f>
        <v>0</v>
      </c>
      <c r="Y108" s="39" t="n">
        <f aca="false">ROUND(E108-O108-MIN(E108-O108,MAX(0,$AF108-SUMPRODUCT(--($B$4:$K$4&lt;E$4),$B108:$K108-$L108:$U108))),2)</f>
        <v>0</v>
      </c>
      <c r="Z108" s="39" t="n">
        <f aca="false">ROUND(F108-P108-MIN(F108-P108,MAX(0,$AF108-SUMPRODUCT(--($B$4:$K$4&lt;F$4),$B108:$K108-$L108:$U108))),2)</f>
        <v>0</v>
      </c>
      <c r="AA108" s="39" t="n">
        <f aca="false">ROUND(G108-Q108-MIN(G108-Q108,MAX(0,$AF108-SUMPRODUCT(--($B$4:$K$4&lt;G$4),$B108:$K108-$L108:$U108))),2)</f>
        <v>0</v>
      </c>
      <c r="AB108" s="39" t="n">
        <f aca="false">ROUND(H108-R108-MIN(H108-R108,MAX(0,$AF108-SUMPRODUCT(--($B$4:$K$4&lt;H$4),$B108:$K108-$L108:$U108))),2)</f>
        <v>0</v>
      </c>
      <c r="AC108" s="39" t="n">
        <f aca="false">ROUND(I108-S108-MIN(I108-S108,MAX(0,$AF108-SUMPRODUCT(--($B$4:$K$4&lt;I$4),$B108:$K108-$L108:$U108))),2)</f>
        <v>0</v>
      </c>
      <c r="AD108" s="39" t="n">
        <f aca="false">ROUND(J108-T108-MIN(J108-T108,MAX(0,$AF108-SUMPRODUCT(--($B$4:$K$4&lt;J$4),$B108:$K108-$L108:$U108))),2)</f>
        <v>0</v>
      </c>
      <c r="AE108" s="39" t="n">
        <f aca="false">ROUND(K108-U108-MIN(K108-U108,MAX(0,$AF108-SUMPRODUCT(--($B$4:$K$4&lt;K$4),$B108:$K108-$L108:$U108))),2)</f>
        <v>0</v>
      </c>
      <c r="AF108" s="39" t="n">
        <f aca="false">MAX(0,'Start Here'!$C$5-SUM($L108:$U108))</f>
        <v>1200</v>
      </c>
      <c r="AG108" s="39" t="n">
        <f aca="false">SUM(V108:AE108)</f>
        <v>0</v>
      </c>
      <c r="AH108" s="39" t="n">
        <f aca="false">SUM(B108:K108)-AG107</f>
        <v>0</v>
      </c>
    </row>
    <row r="109" customFormat="false" ht="15" hidden="false" customHeight="false" outlineLevel="0" collapsed="false">
      <c r="A109" s="40" t="n">
        <f aca="false">DATE(YEAR('Start Here'!$C$6),MONTH('Start Here'!$C$6)+102,1)</f>
        <v>49400</v>
      </c>
      <c r="B109" s="39" t="n">
        <f aca="false">ROUND(V108*(1+N('My Debts'!$D$6)/12),2)</f>
        <v>0</v>
      </c>
      <c r="C109" s="39" t="n">
        <f aca="false">ROUND(W108*(1+N('My Debts'!$D$7)/12),2)</f>
        <v>0</v>
      </c>
      <c r="D109" s="39" t="n">
        <f aca="false">ROUND(X108*(1+N('My Debts'!$D$8)/12),2)</f>
        <v>0</v>
      </c>
      <c r="E109" s="39" t="n">
        <f aca="false">ROUND(Y108*(1+N('My Debts'!$D$9)/12),2)</f>
        <v>0</v>
      </c>
      <c r="F109" s="39" t="n">
        <f aca="false">ROUND(Z108*(1+N('My Debts'!$D$10)/12),2)</f>
        <v>0</v>
      </c>
      <c r="G109" s="39" t="n">
        <f aca="false">ROUND(AA108*(1+N('My Debts'!$D$11)/12),2)</f>
        <v>0</v>
      </c>
      <c r="H109" s="39" t="n">
        <f aca="false">ROUND(AB108*(1+N('My Debts'!$D$12)/12),2)</f>
        <v>0</v>
      </c>
      <c r="I109" s="39" t="n">
        <f aca="false">ROUND(AC108*(1+N('My Debts'!$D$13)/12),2)</f>
        <v>0</v>
      </c>
      <c r="J109" s="39" t="n">
        <f aca="false">ROUND(AD108*(1+N('My Debts'!$D$14)/12),2)</f>
        <v>0</v>
      </c>
      <c r="K109" s="39" t="n">
        <f aca="false">ROUND(AE108*(1+N('My Debts'!$D$15)/12),2)</f>
        <v>0</v>
      </c>
      <c r="L109" s="39" t="n">
        <f aca="false">MIN(N('My Debts'!$E$6),B109)</f>
        <v>0</v>
      </c>
      <c r="M109" s="39" t="n">
        <f aca="false">MIN(N('My Debts'!$E$7),C109)</f>
        <v>0</v>
      </c>
      <c r="N109" s="39" t="n">
        <f aca="false">MIN(N('My Debts'!$E$8),D109)</f>
        <v>0</v>
      </c>
      <c r="O109" s="39" t="n">
        <f aca="false">MIN(N('My Debts'!$E$9),E109)</f>
        <v>0</v>
      </c>
      <c r="P109" s="39" t="n">
        <f aca="false">MIN(N('My Debts'!$E$10),F109)</f>
        <v>0</v>
      </c>
      <c r="Q109" s="39" t="n">
        <f aca="false">MIN(N('My Debts'!$E$11),G109)</f>
        <v>0</v>
      </c>
      <c r="R109" s="39" t="n">
        <f aca="false">MIN(N('My Debts'!$E$12),H109)</f>
        <v>0</v>
      </c>
      <c r="S109" s="39" t="n">
        <f aca="false">MIN(N('My Debts'!$E$13),I109)</f>
        <v>0</v>
      </c>
      <c r="T109" s="39" t="n">
        <f aca="false">MIN(N('My Debts'!$E$14),J109)</f>
        <v>0</v>
      </c>
      <c r="U109" s="39" t="n">
        <f aca="false">MIN(N('My Debts'!$E$15),K109)</f>
        <v>0</v>
      </c>
      <c r="V109" s="39" t="n">
        <f aca="false">ROUND(B109-L109-MIN(B109-L109,MAX(0,$AF109-SUMPRODUCT(--($B$4:$K$4&lt;B$4),$B109:$K109-$L109:$U109))),2)</f>
        <v>0</v>
      </c>
      <c r="W109" s="39" t="n">
        <f aca="false">ROUND(C109-M109-MIN(C109-M109,MAX(0,$AF109-SUMPRODUCT(--($B$4:$K$4&lt;C$4),$B109:$K109-$L109:$U109))),2)</f>
        <v>0</v>
      </c>
      <c r="X109" s="39" t="n">
        <f aca="false">ROUND(D109-N109-MIN(D109-N109,MAX(0,$AF109-SUMPRODUCT(--($B$4:$K$4&lt;D$4),$B109:$K109-$L109:$U109))),2)</f>
        <v>0</v>
      </c>
      <c r="Y109" s="39" t="n">
        <f aca="false">ROUND(E109-O109-MIN(E109-O109,MAX(0,$AF109-SUMPRODUCT(--($B$4:$K$4&lt;E$4),$B109:$K109-$L109:$U109))),2)</f>
        <v>0</v>
      </c>
      <c r="Z109" s="39" t="n">
        <f aca="false">ROUND(F109-P109-MIN(F109-P109,MAX(0,$AF109-SUMPRODUCT(--($B$4:$K$4&lt;F$4),$B109:$K109-$L109:$U109))),2)</f>
        <v>0</v>
      </c>
      <c r="AA109" s="39" t="n">
        <f aca="false">ROUND(G109-Q109-MIN(G109-Q109,MAX(0,$AF109-SUMPRODUCT(--($B$4:$K$4&lt;G$4),$B109:$K109-$L109:$U109))),2)</f>
        <v>0</v>
      </c>
      <c r="AB109" s="39" t="n">
        <f aca="false">ROUND(H109-R109-MIN(H109-R109,MAX(0,$AF109-SUMPRODUCT(--($B$4:$K$4&lt;H$4),$B109:$K109-$L109:$U109))),2)</f>
        <v>0</v>
      </c>
      <c r="AC109" s="39" t="n">
        <f aca="false">ROUND(I109-S109-MIN(I109-S109,MAX(0,$AF109-SUMPRODUCT(--($B$4:$K$4&lt;I$4),$B109:$K109-$L109:$U109))),2)</f>
        <v>0</v>
      </c>
      <c r="AD109" s="39" t="n">
        <f aca="false">ROUND(J109-T109-MIN(J109-T109,MAX(0,$AF109-SUMPRODUCT(--($B$4:$K$4&lt;J$4),$B109:$K109-$L109:$U109))),2)</f>
        <v>0</v>
      </c>
      <c r="AE109" s="39" t="n">
        <f aca="false">ROUND(K109-U109-MIN(K109-U109,MAX(0,$AF109-SUMPRODUCT(--($B$4:$K$4&lt;K$4),$B109:$K109-$L109:$U109))),2)</f>
        <v>0</v>
      </c>
      <c r="AF109" s="39" t="n">
        <f aca="false">MAX(0,'Start Here'!$C$5-SUM($L109:$U109))</f>
        <v>1200</v>
      </c>
      <c r="AG109" s="39" t="n">
        <f aca="false">SUM(V109:AE109)</f>
        <v>0</v>
      </c>
      <c r="AH109" s="39" t="n">
        <f aca="false">SUM(B109:K109)-AG108</f>
        <v>0</v>
      </c>
    </row>
    <row r="110" customFormat="false" ht="15" hidden="false" customHeight="false" outlineLevel="0" collapsed="false">
      <c r="A110" s="40" t="n">
        <f aca="false">DATE(YEAR('Start Here'!$C$6),MONTH('Start Here'!$C$6)+103,1)</f>
        <v>49430</v>
      </c>
      <c r="B110" s="39" t="n">
        <f aca="false">ROUND(V109*(1+N('My Debts'!$D$6)/12),2)</f>
        <v>0</v>
      </c>
      <c r="C110" s="39" t="n">
        <f aca="false">ROUND(W109*(1+N('My Debts'!$D$7)/12),2)</f>
        <v>0</v>
      </c>
      <c r="D110" s="39" t="n">
        <f aca="false">ROUND(X109*(1+N('My Debts'!$D$8)/12),2)</f>
        <v>0</v>
      </c>
      <c r="E110" s="39" t="n">
        <f aca="false">ROUND(Y109*(1+N('My Debts'!$D$9)/12),2)</f>
        <v>0</v>
      </c>
      <c r="F110" s="39" t="n">
        <f aca="false">ROUND(Z109*(1+N('My Debts'!$D$10)/12),2)</f>
        <v>0</v>
      </c>
      <c r="G110" s="39" t="n">
        <f aca="false">ROUND(AA109*(1+N('My Debts'!$D$11)/12),2)</f>
        <v>0</v>
      </c>
      <c r="H110" s="39" t="n">
        <f aca="false">ROUND(AB109*(1+N('My Debts'!$D$12)/12),2)</f>
        <v>0</v>
      </c>
      <c r="I110" s="39" t="n">
        <f aca="false">ROUND(AC109*(1+N('My Debts'!$D$13)/12),2)</f>
        <v>0</v>
      </c>
      <c r="J110" s="39" t="n">
        <f aca="false">ROUND(AD109*(1+N('My Debts'!$D$14)/12),2)</f>
        <v>0</v>
      </c>
      <c r="K110" s="39" t="n">
        <f aca="false">ROUND(AE109*(1+N('My Debts'!$D$15)/12),2)</f>
        <v>0</v>
      </c>
      <c r="L110" s="39" t="n">
        <f aca="false">MIN(N('My Debts'!$E$6),B110)</f>
        <v>0</v>
      </c>
      <c r="M110" s="39" t="n">
        <f aca="false">MIN(N('My Debts'!$E$7),C110)</f>
        <v>0</v>
      </c>
      <c r="N110" s="39" t="n">
        <f aca="false">MIN(N('My Debts'!$E$8),D110)</f>
        <v>0</v>
      </c>
      <c r="O110" s="39" t="n">
        <f aca="false">MIN(N('My Debts'!$E$9),E110)</f>
        <v>0</v>
      </c>
      <c r="P110" s="39" t="n">
        <f aca="false">MIN(N('My Debts'!$E$10),F110)</f>
        <v>0</v>
      </c>
      <c r="Q110" s="39" t="n">
        <f aca="false">MIN(N('My Debts'!$E$11),G110)</f>
        <v>0</v>
      </c>
      <c r="R110" s="39" t="n">
        <f aca="false">MIN(N('My Debts'!$E$12),H110)</f>
        <v>0</v>
      </c>
      <c r="S110" s="39" t="n">
        <f aca="false">MIN(N('My Debts'!$E$13),I110)</f>
        <v>0</v>
      </c>
      <c r="T110" s="39" t="n">
        <f aca="false">MIN(N('My Debts'!$E$14),J110)</f>
        <v>0</v>
      </c>
      <c r="U110" s="39" t="n">
        <f aca="false">MIN(N('My Debts'!$E$15),K110)</f>
        <v>0</v>
      </c>
      <c r="V110" s="39" t="n">
        <f aca="false">ROUND(B110-L110-MIN(B110-L110,MAX(0,$AF110-SUMPRODUCT(--($B$4:$K$4&lt;B$4),$B110:$K110-$L110:$U110))),2)</f>
        <v>0</v>
      </c>
      <c r="W110" s="39" t="n">
        <f aca="false">ROUND(C110-M110-MIN(C110-M110,MAX(0,$AF110-SUMPRODUCT(--($B$4:$K$4&lt;C$4),$B110:$K110-$L110:$U110))),2)</f>
        <v>0</v>
      </c>
      <c r="X110" s="39" t="n">
        <f aca="false">ROUND(D110-N110-MIN(D110-N110,MAX(0,$AF110-SUMPRODUCT(--($B$4:$K$4&lt;D$4),$B110:$K110-$L110:$U110))),2)</f>
        <v>0</v>
      </c>
      <c r="Y110" s="39" t="n">
        <f aca="false">ROUND(E110-O110-MIN(E110-O110,MAX(0,$AF110-SUMPRODUCT(--($B$4:$K$4&lt;E$4),$B110:$K110-$L110:$U110))),2)</f>
        <v>0</v>
      </c>
      <c r="Z110" s="39" t="n">
        <f aca="false">ROUND(F110-P110-MIN(F110-P110,MAX(0,$AF110-SUMPRODUCT(--($B$4:$K$4&lt;F$4),$B110:$K110-$L110:$U110))),2)</f>
        <v>0</v>
      </c>
      <c r="AA110" s="39" t="n">
        <f aca="false">ROUND(G110-Q110-MIN(G110-Q110,MAX(0,$AF110-SUMPRODUCT(--($B$4:$K$4&lt;G$4),$B110:$K110-$L110:$U110))),2)</f>
        <v>0</v>
      </c>
      <c r="AB110" s="39" t="n">
        <f aca="false">ROUND(H110-R110-MIN(H110-R110,MAX(0,$AF110-SUMPRODUCT(--($B$4:$K$4&lt;H$4),$B110:$K110-$L110:$U110))),2)</f>
        <v>0</v>
      </c>
      <c r="AC110" s="39" t="n">
        <f aca="false">ROUND(I110-S110-MIN(I110-S110,MAX(0,$AF110-SUMPRODUCT(--($B$4:$K$4&lt;I$4),$B110:$K110-$L110:$U110))),2)</f>
        <v>0</v>
      </c>
      <c r="AD110" s="39" t="n">
        <f aca="false">ROUND(J110-T110-MIN(J110-T110,MAX(0,$AF110-SUMPRODUCT(--($B$4:$K$4&lt;J$4),$B110:$K110-$L110:$U110))),2)</f>
        <v>0</v>
      </c>
      <c r="AE110" s="39" t="n">
        <f aca="false">ROUND(K110-U110-MIN(K110-U110,MAX(0,$AF110-SUMPRODUCT(--($B$4:$K$4&lt;K$4),$B110:$K110-$L110:$U110))),2)</f>
        <v>0</v>
      </c>
      <c r="AF110" s="39" t="n">
        <f aca="false">MAX(0,'Start Here'!$C$5-SUM($L110:$U110))</f>
        <v>1200</v>
      </c>
      <c r="AG110" s="39" t="n">
        <f aca="false">SUM(V110:AE110)</f>
        <v>0</v>
      </c>
      <c r="AH110" s="39" t="n">
        <f aca="false">SUM(B110:K110)-AG109</f>
        <v>0</v>
      </c>
    </row>
    <row r="111" customFormat="false" ht="15" hidden="false" customHeight="false" outlineLevel="0" collapsed="false">
      <c r="A111" s="40" t="n">
        <f aca="false">DATE(YEAR('Start Here'!$C$6),MONTH('Start Here'!$C$6)+104,1)</f>
        <v>49461</v>
      </c>
      <c r="B111" s="39" t="n">
        <f aca="false">ROUND(V110*(1+N('My Debts'!$D$6)/12),2)</f>
        <v>0</v>
      </c>
      <c r="C111" s="39" t="n">
        <f aca="false">ROUND(W110*(1+N('My Debts'!$D$7)/12),2)</f>
        <v>0</v>
      </c>
      <c r="D111" s="39" t="n">
        <f aca="false">ROUND(X110*(1+N('My Debts'!$D$8)/12),2)</f>
        <v>0</v>
      </c>
      <c r="E111" s="39" t="n">
        <f aca="false">ROUND(Y110*(1+N('My Debts'!$D$9)/12),2)</f>
        <v>0</v>
      </c>
      <c r="F111" s="39" t="n">
        <f aca="false">ROUND(Z110*(1+N('My Debts'!$D$10)/12),2)</f>
        <v>0</v>
      </c>
      <c r="G111" s="39" t="n">
        <f aca="false">ROUND(AA110*(1+N('My Debts'!$D$11)/12),2)</f>
        <v>0</v>
      </c>
      <c r="H111" s="39" t="n">
        <f aca="false">ROUND(AB110*(1+N('My Debts'!$D$12)/12),2)</f>
        <v>0</v>
      </c>
      <c r="I111" s="39" t="n">
        <f aca="false">ROUND(AC110*(1+N('My Debts'!$D$13)/12),2)</f>
        <v>0</v>
      </c>
      <c r="J111" s="39" t="n">
        <f aca="false">ROUND(AD110*(1+N('My Debts'!$D$14)/12),2)</f>
        <v>0</v>
      </c>
      <c r="K111" s="39" t="n">
        <f aca="false">ROUND(AE110*(1+N('My Debts'!$D$15)/12),2)</f>
        <v>0</v>
      </c>
      <c r="L111" s="39" t="n">
        <f aca="false">MIN(N('My Debts'!$E$6),B111)</f>
        <v>0</v>
      </c>
      <c r="M111" s="39" t="n">
        <f aca="false">MIN(N('My Debts'!$E$7),C111)</f>
        <v>0</v>
      </c>
      <c r="N111" s="39" t="n">
        <f aca="false">MIN(N('My Debts'!$E$8),D111)</f>
        <v>0</v>
      </c>
      <c r="O111" s="39" t="n">
        <f aca="false">MIN(N('My Debts'!$E$9),E111)</f>
        <v>0</v>
      </c>
      <c r="P111" s="39" t="n">
        <f aca="false">MIN(N('My Debts'!$E$10),F111)</f>
        <v>0</v>
      </c>
      <c r="Q111" s="39" t="n">
        <f aca="false">MIN(N('My Debts'!$E$11),G111)</f>
        <v>0</v>
      </c>
      <c r="R111" s="39" t="n">
        <f aca="false">MIN(N('My Debts'!$E$12),H111)</f>
        <v>0</v>
      </c>
      <c r="S111" s="39" t="n">
        <f aca="false">MIN(N('My Debts'!$E$13),I111)</f>
        <v>0</v>
      </c>
      <c r="T111" s="39" t="n">
        <f aca="false">MIN(N('My Debts'!$E$14),J111)</f>
        <v>0</v>
      </c>
      <c r="U111" s="39" t="n">
        <f aca="false">MIN(N('My Debts'!$E$15),K111)</f>
        <v>0</v>
      </c>
      <c r="V111" s="39" t="n">
        <f aca="false">ROUND(B111-L111-MIN(B111-L111,MAX(0,$AF111-SUMPRODUCT(--($B$4:$K$4&lt;B$4),$B111:$K111-$L111:$U111))),2)</f>
        <v>0</v>
      </c>
      <c r="W111" s="39" t="n">
        <f aca="false">ROUND(C111-M111-MIN(C111-M111,MAX(0,$AF111-SUMPRODUCT(--($B$4:$K$4&lt;C$4),$B111:$K111-$L111:$U111))),2)</f>
        <v>0</v>
      </c>
      <c r="X111" s="39" t="n">
        <f aca="false">ROUND(D111-N111-MIN(D111-N111,MAX(0,$AF111-SUMPRODUCT(--($B$4:$K$4&lt;D$4),$B111:$K111-$L111:$U111))),2)</f>
        <v>0</v>
      </c>
      <c r="Y111" s="39" t="n">
        <f aca="false">ROUND(E111-O111-MIN(E111-O111,MAX(0,$AF111-SUMPRODUCT(--($B$4:$K$4&lt;E$4),$B111:$K111-$L111:$U111))),2)</f>
        <v>0</v>
      </c>
      <c r="Z111" s="39" t="n">
        <f aca="false">ROUND(F111-P111-MIN(F111-P111,MAX(0,$AF111-SUMPRODUCT(--($B$4:$K$4&lt;F$4),$B111:$K111-$L111:$U111))),2)</f>
        <v>0</v>
      </c>
      <c r="AA111" s="39" t="n">
        <f aca="false">ROUND(G111-Q111-MIN(G111-Q111,MAX(0,$AF111-SUMPRODUCT(--($B$4:$K$4&lt;G$4),$B111:$K111-$L111:$U111))),2)</f>
        <v>0</v>
      </c>
      <c r="AB111" s="39" t="n">
        <f aca="false">ROUND(H111-R111-MIN(H111-R111,MAX(0,$AF111-SUMPRODUCT(--($B$4:$K$4&lt;H$4),$B111:$K111-$L111:$U111))),2)</f>
        <v>0</v>
      </c>
      <c r="AC111" s="39" t="n">
        <f aca="false">ROUND(I111-S111-MIN(I111-S111,MAX(0,$AF111-SUMPRODUCT(--($B$4:$K$4&lt;I$4),$B111:$K111-$L111:$U111))),2)</f>
        <v>0</v>
      </c>
      <c r="AD111" s="39" t="n">
        <f aca="false">ROUND(J111-T111-MIN(J111-T111,MAX(0,$AF111-SUMPRODUCT(--($B$4:$K$4&lt;J$4),$B111:$K111-$L111:$U111))),2)</f>
        <v>0</v>
      </c>
      <c r="AE111" s="39" t="n">
        <f aca="false">ROUND(K111-U111-MIN(K111-U111,MAX(0,$AF111-SUMPRODUCT(--($B$4:$K$4&lt;K$4),$B111:$K111-$L111:$U111))),2)</f>
        <v>0</v>
      </c>
      <c r="AF111" s="39" t="n">
        <f aca="false">MAX(0,'Start Here'!$C$5-SUM($L111:$U111))</f>
        <v>1200</v>
      </c>
      <c r="AG111" s="39" t="n">
        <f aca="false">SUM(V111:AE111)</f>
        <v>0</v>
      </c>
      <c r="AH111" s="39" t="n">
        <f aca="false">SUM(B111:K111)-AG110</f>
        <v>0</v>
      </c>
    </row>
    <row r="112" customFormat="false" ht="15" hidden="false" customHeight="false" outlineLevel="0" collapsed="false">
      <c r="A112" s="40" t="n">
        <f aca="false">DATE(YEAR('Start Here'!$C$6),MONTH('Start Here'!$C$6)+105,1)</f>
        <v>49491</v>
      </c>
      <c r="B112" s="39" t="n">
        <f aca="false">ROUND(V111*(1+N('My Debts'!$D$6)/12),2)</f>
        <v>0</v>
      </c>
      <c r="C112" s="39" t="n">
        <f aca="false">ROUND(W111*(1+N('My Debts'!$D$7)/12),2)</f>
        <v>0</v>
      </c>
      <c r="D112" s="39" t="n">
        <f aca="false">ROUND(X111*(1+N('My Debts'!$D$8)/12),2)</f>
        <v>0</v>
      </c>
      <c r="E112" s="39" t="n">
        <f aca="false">ROUND(Y111*(1+N('My Debts'!$D$9)/12),2)</f>
        <v>0</v>
      </c>
      <c r="F112" s="39" t="n">
        <f aca="false">ROUND(Z111*(1+N('My Debts'!$D$10)/12),2)</f>
        <v>0</v>
      </c>
      <c r="G112" s="39" t="n">
        <f aca="false">ROUND(AA111*(1+N('My Debts'!$D$11)/12),2)</f>
        <v>0</v>
      </c>
      <c r="H112" s="39" t="n">
        <f aca="false">ROUND(AB111*(1+N('My Debts'!$D$12)/12),2)</f>
        <v>0</v>
      </c>
      <c r="I112" s="39" t="n">
        <f aca="false">ROUND(AC111*(1+N('My Debts'!$D$13)/12),2)</f>
        <v>0</v>
      </c>
      <c r="J112" s="39" t="n">
        <f aca="false">ROUND(AD111*(1+N('My Debts'!$D$14)/12),2)</f>
        <v>0</v>
      </c>
      <c r="K112" s="39" t="n">
        <f aca="false">ROUND(AE111*(1+N('My Debts'!$D$15)/12),2)</f>
        <v>0</v>
      </c>
      <c r="L112" s="39" t="n">
        <f aca="false">MIN(N('My Debts'!$E$6),B112)</f>
        <v>0</v>
      </c>
      <c r="M112" s="39" t="n">
        <f aca="false">MIN(N('My Debts'!$E$7),C112)</f>
        <v>0</v>
      </c>
      <c r="N112" s="39" t="n">
        <f aca="false">MIN(N('My Debts'!$E$8),D112)</f>
        <v>0</v>
      </c>
      <c r="O112" s="39" t="n">
        <f aca="false">MIN(N('My Debts'!$E$9),E112)</f>
        <v>0</v>
      </c>
      <c r="P112" s="39" t="n">
        <f aca="false">MIN(N('My Debts'!$E$10),F112)</f>
        <v>0</v>
      </c>
      <c r="Q112" s="39" t="n">
        <f aca="false">MIN(N('My Debts'!$E$11),G112)</f>
        <v>0</v>
      </c>
      <c r="R112" s="39" t="n">
        <f aca="false">MIN(N('My Debts'!$E$12),H112)</f>
        <v>0</v>
      </c>
      <c r="S112" s="39" t="n">
        <f aca="false">MIN(N('My Debts'!$E$13),I112)</f>
        <v>0</v>
      </c>
      <c r="T112" s="39" t="n">
        <f aca="false">MIN(N('My Debts'!$E$14),J112)</f>
        <v>0</v>
      </c>
      <c r="U112" s="39" t="n">
        <f aca="false">MIN(N('My Debts'!$E$15),K112)</f>
        <v>0</v>
      </c>
      <c r="V112" s="39" t="n">
        <f aca="false">ROUND(B112-L112-MIN(B112-L112,MAX(0,$AF112-SUMPRODUCT(--($B$4:$K$4&lt;B$4),$B112:$K112-$L112:$U112))),2)</f>
        <v>0</v>
      </c>
      <c r="W112" s="39" t="n">
        <f aca="false">ROUND(C112-M112-MIN(C112-M112,MAX(0,$AF112-SUMPRODUCT(--($B$4:$K$4&lt;C$4),$B112:$K112-$L112:$U112))),2)</f>
        <v>0</v>
      </c>
      <c r="X112" s="39" t="n">
        <f aca="false">ROUND(D112-N112-MIN(D112-N112,MAX(0,$AF112-SUMPRODUCT(--($B$4:$K$4&lt;D$4),$B112:$K112-$L112:$U112))),2)</f>
        <v>0</v>
      </c>
      <c r="Y112" s="39" t="n">
        <f aca="false">ROUND(E112-O112-MIN(E112-O112,MAX(0,$AF112-SUMPRODUCT(--($B$4:$K$4&lt;E$4),$B112:$K112-$L112:$U112))),2)</f>
        <v>0</v>
      </c>
      <c r="Z112" s="39" t="n">
        <f aca="false">ROUND(F112-P112-MIN(F112-P112,MAX(0,$AF112-SUMPRODUCT(--($B$4:$K$4&lt;F$4),$B112:$K112-$L112:$U112))),2)</f>
        <v>0</v>
      </c>
      <c r="AA112" s="39" t="n">
        <f aca="false">ROUND(G112-Q112-MIN(G112-Q112,MAX(0,$AF112-SUMPRODUCT(--($B$4:$K$4&lt;G$4),$B112:$K112-$L112:$U112))),2)</f>
        <v>0</v>
      </c>
      <c r="AB112" s="39" t="n">
        <f aca="false">ROUND(H112-R112-MIN(H112-R112,MAX(0,$AF112-SUMPRODUCT(--($B$4:$K$4&lt;H$4),$B112:$K112-$L112:$U112))),2)</f>
        <v>0</v>
      </c>
      <c r="AC112" s="39" t="n">
        <f aca="false">ROUND(I112-S112-MIN(I112-S112,MAX(0,$AF112-SUMPRODUCT(--($B$4:$K$4&lt;I$4),$B112:$K112-$L112:$U112))),2)</f>
        <v>0</v>
      </c>
      <c r="AD112" s="39" t="n">
        <f aca="false">ROUND(J112-T112-MIN(J112-T112,MAX(0,$AF112-SUMPRODUCT(--($B$4:$K$4&lt;J$4),$B112:$K112-$L112:$U112))),2)</f>
        <v>0</v>
      </c>
      <c r="AE112" s="39" t="n">
        <f aca="false">ROUND(K112-U112-MIN(K112-U112,MAX(0,$AF112-SUMPRODUCT(--($B$4:$K$4&lt;K$4),$B112:$K112-$L112:$U112))),2)</f>
        <v>0</v>
      </c>
      <c r="AF112" s="39" t="n">
        <f aca="false">MAX(0,'Start Here'!$C$5-SUM($L112:$U112))</f>
        <v>1200</v>
      </c>
      <c r="AG112" s="39" t="n">
        <f aca="false">SUM(V112:AE112)</f>
        <v>0</v>
      </c>
      <c r="AH112" s="39" t="n">
        <f aca="false">SUM(B112:K112)-AG111</f>
        <v>0</v>
      </c>
    </row>
    <row r="113" customFormat="false" ht="15" hidden="false" customHeight="false" outlineLevel="0" collapsed="false">
      <c r="A113" s="40" t="n">
        <f aca="false">DATE(YEAR('Start Here'!$C$6),MONTH('Start Here'!$C$6)+106,1)</f>
        <v>49522</v>
      </c>
      <c r="B113" s="39" t="n">
        <f aca="false">ROUND(V112*(1+N('My Debts'!$D$6)/12),2)</f>
        <v>0</v>
      </c>
      <c r="C113" s="39" t="n">
        <f aca="false">ROUND(W112*(1+N('My Debts'!$D$7)/12),2)</f>
        <v>0</v>
      </c>
      <c r="D113" s="39" t="n">
        <f aca="false">ROUND(X112*(1+N('My Debts'!$D$8)/12),2)</f>
        <v>0</v>
      </c>
      <c r="E113" s="39" t="n">
        <f aca="false">ROUND(Y112*(1+N('My Debts'!$D$9)/12),2)</f>
        <v>0</v>
      </c>
      <c r="F113" s="39" t="n">
        <f aca="false">ROUND(Z112*(1+N('My Debts'!$D$10)/12),2)</f>
        <v>0</v>
      </c>
      <c r="G113" s="39" t="n">
        <f aca="false">ROUND(AA112*(1+N('My Debts'!$D$11)/12),2)</f>
        <v>0</v>
      </c>
      <c r="H113" s="39" t="n">
        <f aca="false">ROUND(AB112*(1+N('My Debts'!$D$12)/12),2)</f>
        <v>0</v>
      </c>
      <c r="I113" s="39" t="n">
        <f aca="false">ROUND(AC112*(1+N('My Debts'!$D$13)/12),2)</f>
        <v>0</v>
      </c>
      <c r="J113" s="39" t="n">
        <f aca="false">ROUND(AD112*(1+N('My Debts'!$D$14)/12),2)</f>
        <v>0</v>
      </c>
      <c r="K113" s="39" t="n">
        <f aca="false">ROUND(AE112*(1+N('My Debts'!$D$15)/12),2)</f>
        <v>0</v>
      </c>
      <c r="L113" s="39" t="n">
        <f aca="false">MIN(N('My Debts'!$E$6),B113)</f>
        <v>0</v>
      </c>
      <c r="M113" s="39" t="n">
        <f aca="false">MIN(N('My Debts'!$E$7),C113)</f>
        <v>0</v>
      </c>
      <c r="N113" s="39" t="n">
        <f aca="false">MIN(N('My Debts'!$E$8),D113)</f>
        <v>0</v>
      </c>
      <c r="O113" s="39" t="n">
        <f aca="false">MIN(N('My Debts'!$E$9),E113)</f>
        <v>0</v>
      </c>
      <c r="P113" s="39" t="n">
        <f aca="false">MIN(N('My Debts'!$E$10),F113)</f>
        <v>0</v>
      </c>
      <c r="Q113" s="39" t="n">
        <f aca="false">MIN(N('My Debts'!$E$11),G113)</f>
        <v>0</v>
      </c>
      <c r="R113" s="39" t="n">
        <f aca="false">MIN(N('My Debts'!$E$12),H113)</f>
        <v>0</v>
      </c>
      <c r="S113" s="39" t="n">
        <f aca="false">MIN(N('My Debts'!$E$13),I113)</f>
        <v>0</v>
      </c>
      <c r="T113" s="39" t="n">
        <f aca="false">MIN(N('My Debts'!$E$14),J113)</f>
        <v>0</v>
      </c>
      <c r="U113" s="39" t="n">
        <f aca="false">MIN(N('My Debts'!$E$15),K113)</f>
        <v>0</v>
      </c>
      <c r="V113" s="39" t="n">
        <f aca="false">ROUND(B113-L113-MIN(B113-L113,MAX(0,$AF113-SUMPRODUCT(--($B$4:$K$4&lt;B$4),$B113:$K113-$L113:$U113))),2)</f>
        <v>0</v>
      </c>
      <c r="W113" s="39" t="n">
        <f aca="false">ROUND(C113-M113-MIN(C113-M113,MAX(0,$AF113-SUMPRODUCT(--($B$4:$K$4&lt;C$4),$B113:$K113-$L113:$U113))),2)</f>
        <v>0</v>
      </c>
      <c r="X113" s="39" t="n">
        <f aca="false">ROUND(D113-N113-MIN(D113-N113,MAX(0,$AF113-SUMPRODUCT(--($B$4:$K$4&lt;D$4),$B113:$K113-$L113:$U113))),2)</f>
        <v>0</v>
      </c>
      <c r="Y113" s="39" t="n">
        <f aca="false">ROUND(E113-O113-MIN(E113-O113,MAX(0,$AF113-SUMPRODUCT(--($B$4:$K$4&lt;E$4),$B113:$K113-$L113:$U113))),2)</f>
        <v>0</v>
      </c>
      <c r="Z113" s="39" t="n">
        <f aca="false">ROUND(F113-P113-MIN(F113-P113,MAX(0,$AF113-SUMPRODUCT(--($B$4:$K$4&lt;F$4),$B113:$K113-$L113:$U113))),2)</f>
        <v>0</v>
      </c>
      <c r="AA113" s="39" t="n">
        <f aca="false">ROUND(G113-Q113-MIN(G113-Q113,MAX(0,$AF113-SUMPRODUCT(--($B$4:$K$4&lt;G$4),$B113:$K113-$L113:$U113))),2)</f>
        <v>0</v>
      </c>
      <c r="AB113" s="39" t="n">
        <f aca="false">ROUND(H113-R113-MIN(H113-R113,MAX(0,$AF113-SUMPRODUCT(--($B$4:$K$4&lt;H$4),$B113:$K113-$L113:$U113))),2)</f>
        <v>0</v>
      </c>
      <c r="AC113" s="39" t="n">
        <f aca="false">ROUND(I113-S113-MIN(I113-S113,MAX(0,$AF113-SUMPRODUCT(--($B$4:$K$4&lt;I$4),$B113:$K113-$L113:$U113))),2)</f>
        <v>0</v>
      </c>
      <c r="AD113" s="39" t="n">
        <f aca="false">ROUND(J113-T113-MIN(J113-T113,MAX(0,$AF113-SUMPRODUCT(--($B$4:$K$4&lt;J$4),$B113:$K113-$L113:$U113))),2)</f>
        <v>0</v>
      </c>
      <c r="AE113" s="39" t="n">
        <f aca="false">ROUND(K113-U113-MIN(K113-U113,MAX(0,$AF113-SUMPRODUCT(--($B$4:$K$4&lt;K$4),$B113:$K113-$L113:$U113))),2)</f>
        <v>0</v>
      </c>
      <c r="AF113" s="39" t="n">
        <f aca="false">MAX(0,'Start Here'!$C$5-SUM($L113:$U113))</f>
        <v>1200</v>
      </c>
      <c r="AG113" s="39" t="n">
        <f aca="false">SUM(V113:AE113)</f>
        <v>0</v>
      </c>
      <c r="AH113" s="39" t="n">
        <f aca="false">SUM(B113:K113)-AG112</f>
        <v>0</v>
      </c>
    </row>
    <row r="114" customFormat="false" ht="15" hidden="false" customHeight="false" outlineLevel="0" collapsed="false">
      <c r="A114" s="40" t="n">
        <f aca="false">DATE(YEAR('Start Here'!$C$6),MONTH('Start Here'!$C$6)+107,1)</f>
        <v>49553</v>
      </c>
      <c r="B114" s="39" t="n">
        <f aca="false">ROUND(V113*(1+N('My Debts'!$D$6)/12),2)</f>
        <v>0</v>
      </c>
      <c r="C114" s="39" t="n">
        <f aca="false">ROUND(W113*(1+N('My Debts'!$D$7)/12),2)</f>
        <v>0</v>
      </c>
      <c r="D114" s="39" t="n">
        <f aca="false">ROUND(X113*(1+N('My Debts'!$D$8)/12),2)</f>
        <v>0</v>
      </c>
      <c r="E114" s="39" t="n">
        <f aca="false">ROUND(Y113*(1+N('My Debts'!$D$9)/12),2)</f>
        <v>0</v>
      </c>
      <c r="F114" s="39" t="n">
        <f aca="false">ROUND(Z113*(1+N('My Debts'!$D$10)/12),2)</f>
        <v>0</v>
      </c>
      <c r="G114" s="39" t="n">
        <f aca="false">ROUND(AA113*(1+N('My Debts'!$D$11)/12),2)</f>
        <v>0</v>
      </c>
      <c r="H114" s="39" t="n">
        <f aca="false">ROUND(AB113*(1+N('My Debts'!$D$12)/12),2)</f>
        <v>0</v>
      </c>
      <c r="I114" s="39" t="n">
        <f aca="false">ROUND(AC113*(1+N('My Debts'!$D$13)/12),2)</f>
        <v>0</v>
      </c>
      <c r="J114" s="39" t="n">
        <f aca="false">ROUND(AD113*(1+N('My Debts'!$D$14)/12),2)</f>
        <v>0</v>
      </c>
      <c r="K114" s="39" t="n">
        <f aca="false">ROUND(AE113*(1+N('My Debts'!$D$15)/12),2)</f>
        <v>0</v>
      </c>
      <c r="L114" s="39" t="n">
        <f aca="false">MIN(N('My Debts'!$E$6),B114)</f>
        <v>0</v>
      </c>
      <c r="M114" s="39" t="n">
        <f aca="false">MIN(N('My Debts'!$E$7),C114)</f>
        <v>0</v>
      </c>
      <c r="N114" s="39" t="n">
        <f aca="false">MIN(N('My Debts'!$E$8),D114)</f>
        <v>0</v>
      </c>
      <c r="O114" s="39" t="n">
        <f aca="false">MIN(N('My Debts'!$E$9),E114)</f>
        <v>0</v>
      </c>
      <c r="P114" s="39" t="n">
        <f aca="false">MIN(N('My Debts'!$E$10),F114)</f>
        <v>0</v>
      </c>
      <c r="Q114" s="39" t="n">
        <f aca="false">MIN(N('My Debts'!$E$11),G114)</f>
        <v>0</v>
      </c>
      <c r="R114" s="39" t="n">
        <f aca="false">MIN(N('My Debts'!$E$12),H114)</f>
        <v>0</v>
      </c>
      <c r="S114" s="39" t="n">
        <f aca="false">MIN(N('My Debts'!$E$13),I114)</f>
        <v>0</v>
      </c>
      <c r="T114" s="39" t="n">
        <f aca="false">MIN(N('My Debts'!$E$14),J114)</f>
        <v>0</v>
      </c>
      <c r="U114" s="39" t="n">
        <f aca="false">MIN(N('My Debts'!$E$15),K114)</f>
        <v>0</v>
      </c>
      <c r="V114" s="39" t="n">
        <f aca="false">ROUND(B114-L114-MIN(B114-L114,MAX(0,$AF114-SUMPRODUCT(--($B$4:$K$4&lt;B$4),$B114:$K114-$L114:$U114))),2)</f>
        <v>0</v>
      </c>
      <c r="W114" s="39" t="n">
        <f aca="false">ROUND(C114-M114-MIN(C114-M114,MAX(0,$AF114-SUMPRODUCT(--($B$4:$K$4&lt;C$4),$B114:$K114-$L114:$U114))),2)</f>
        <v>0</v>
      </c>
      <c r="X114" s="39" t="n">
        <f aca="false">ROUND(D114-N114-MIN(D114-N114,MAX(0,$AF114-SUMPRODUCT(--($B$4:$K$4&lt;D$4),$B114:$K114-$L114:$U114))),2)</f>
        <v>0</v>
      </c>
      <c r="Y114" s="39" t="n">
        <f aca="false">ROUND(E114-O114-MIN(E114-O114,MAX(0,$AF114-SUMPRODUCT(--($B$4:$K$4&lt;E$4),$B114:$K114-$L114:$U114))),2)</f>
        <v>0</v>
      </c>
      <c r="Z114" s="39" t="n">
        <f aca="false">ROUND(F114-P114-MIN(F114-P114,MAX(0,$AF114-SUMPRODUCT(--($B$4:$K$4&lt;F$4),$B114:$K114-$L114:$U114))),2)</f>
        <v>0</v>
      </c>
      <c r="AA114" s="39" t="n">
        <f aca="false">ROUND(G114-Q114-MIN(G114-Q114,MAX(0,$AF114-SUMPRODUCT(--($B$4:$K$4&lt;G$4),$B114:$K114-$L114:$U114))),2)</f>
        <v>0</v>
      </c>
      <c r="AB114" s="39" t="n">
        <f aca="false">ROUND(H114-R114-MIN(H114-R114,MAX(0,$AF114-SUMPRODUCT(--($B$4:$K$4&lt;H$4),$B114:$K114-$L114:$U114))),2)</f>
        <v>0</v>
      </c>
      <c r="AC114" s="39" t="n">
        <f aca="false">ROUND(I114-S114-MIN(I114-S114,MAX(0,$AF114-SUMPRODUCT(--($B$4:$K$4&lt;I$4),$B114:$K114-$L114:$U114))),2)</f>
        <v>0</v>
      </c>
      <c r="AD114" s="39" t="n">
        <f aca="false">ROUND(J114-T114-MIN(J114-T114,MAX(0,$AF114-SUMPRODUCT(--($B$4:$K$4&lt;J$4),$B114:$K114-$L114:$U114))),2)</f>
        <v>0</v>
      </c>
      <c r="AE114" s="39" t="n">
        <f aca="false">ROUND(K114-U114-MIN(K114-U114,MAX(0,$AF114-SUMPRODUCT(--($B$4:$K$4&lt;K$4),$B114:$K114-$L114:$U114))),2)</f>
        <v>0</v>
      </c>
      <c r="AF114" s="39" t="n">
        <f aca="false">MAX(0,'Start Here'!$C$5-SUM($L114:$U114))</f>
        <v>1200</v>
      </c>
      <c r="AG114" s="39" t="n">
        <f aca="false">SUM(V114:AE114)</f>
        <v>0</v>
      </c>
      <c r="AH114" s="39" t="n">
        <f aca="false">SUM(B114:K114)-AG113</f>
        <v>0</v>
      </c>
    </row>
    <row r="115" customFormat="false" ht="15" hidden="false" customHeight="false" outlineLevel="0" collapsed="false">
      <c r="A115" s="40" t="n">
        <f aca="false">DATE(YEAR('Start Here'!$C$6),MONTH('Start Here'!$C$6)+108,1)</f>
        <v>49583</v>
      </c>
      <c r="B115" s="39" t="n">
        <f aca="false">ROUND(V114*(1+N('My Debts'!$D$6)/12),2)</f>
        <v>0</v>
      </c>
      <c r="C115" s="39" t="n">
        <f aca="false">ROUND(W114*(1+N('My Debts'!$D$7)/12),2)</f>
        <v>0</v>
      </c>
      <c r="D115" s="39" t="n">
        <f aca="false">ROUND(X114*(1+N('My Debts'!$D$8)/12),2)</f>
        <v>0</v>
      </c>
      <c r="E115" s="39" t="n">
        <f aca="false">ROUND(Y114*(1+N('My Debts'!$D$9)/12),2)</f>
        <v>0</v>
      </c>
      <c r="F115" s="39" t="n">
        <f aca="false">ROUND(Z114*(1+N('My Debts'!$D$10)/12),2)</f>
        <v>0</v>
      </c>
      <c r="G115" s="39" t="n">
        <f aca="false">ROUND(AA114*(1+N('My Debts'!$D$11)/12),2)</f>
        <v>0</v>
      </c>
      <c r="H115" s="39" t="n">
        <f aca="false">ROUND(AB114*(1+N('My Debts'!$D$12)/12),2)</f>
        <v>0</v>
      </c>
      <c r="I115" s="39" t="n">
        <f aca="false">ROUND(AC114*(1+N('My Debts'!$D$13)/12),2)</f>
        <v>0</v>
      </c>
      <c r="J115" s="39" t="n">
        <f aca="false">ROUND(AD114*(1+N('My Debts'!$D$14)/12),2)</f>
        <v>0</v>
      </c>
      <c r="K115" s="39" t="n">
        <f aca="false">ROUND(AE114*(1+N('My Debts'!$D$15)/12),2)</f>
        <v>0</v>
      </c>
      <c r="L115" s="39" t="n">
        <f aca="false">MIN(N('My Debts'!$E$6),B115)</f>
        <v>0</v>
      </c>
      <c r="M115" s="39" t="n">
        <f aca="false">MIN(N('My Debts'!$E$7),C115)</f>
        <v>0</v>
      </c>
      <c r="N115" s="39" t="n">
        <f aca="false">MIN(N('My Debts'!$E$8),D115)</f>
        <v>0</v>
      </c>
      <c r="O115" s="39" t="n">
        <f aca="false">MIN(N('My Debts'!$E$9),E115)</f>
        <v>0</v>
      </c>
      <c r="P115" s="39" t="n">
        <f aca="false">MIN(N('My Debts'!$E$10),F115)</f>
        <v>0</v>
      </c>
      <c r="Q115" s="39" t="n">
        <f aca="false">MIN(N('My Debts'!$E$11),G115)</f>
        <v>0</v>
      </c>
      <c r="R115" s="39" t="n">
        <f aca="false">MIN(N('My Debts'!$E$12),H115)</f>
        <v>0</v>
      </c>
      <c r="S115" s="39" t="n">
        <f aca="false">MIN(N('My Debts'!$E$13),I115)</f>
        <v>0</v>
      </c>
      <c r="T115" s="39" t="n">
        <f aca="false">MIN(N('My Debts'!$E$14),J115)</f>
        <v>0</v>
      </c>
      <c r="U115" s="39" t="n">
        <f aca="false">MIN(N('My Debts'!$E$15),K115)</f>
        <v>0</v>
      </c>
      <c r="V115" s="39" t="n">
        <f aca="false">ROUND(B115-L115-MIN(B115-L115,MAX(0,$AF115-SUMPRODUCT(--($B$4:$K$4&lt;B$4),$B115:$K115-$L115:$U115))),2)</f>
        <v>0</v>
      </c>
      <c r="W115" s="39" t="n">
        <f aca="false">ROUND(C115-M115-MIN(C115-M115,MAX(0,$AF115-SUMPRODUCT(--($B$4:$K$4&lt;C$4),$B115:$K115-$L115:$U115))),2)</f>
        <v>0</v>
      </c>
      <c r="X115" s="39" t="n">
        <f aca="false">ROUND(D115-N115-MIN(D115-N115,MAX(0,$AF115-SUMPRODUCT(--($B$4:$K$4&lt;D$4),$B115:$K115-$L115:$U115))),2)</f>
        <v>0</v>
      </c>
      <c r="Y115" s="39" t="n">
        <f aca="false">ROUND(E115-O115-MIN(E115-O115,MAX(0,$AF115-SUMPRODUCT(--($B$4:$K$4&lt;E$4),$B115:$K115-$L115:$U115))),2)</f>
        <v>0</v>
      </c>
      <c r="Z115" s="39" t="n">
        <f aca="false">ROUND(F115-P115-MIN(F115-P115,MAX(0,$AF115-SUMPRODUCT(--($B$4:$K$4&lt;F$4),$B115:$K115-$L115:$U115))),2)</f>
        <v>0</v>
      </c>
      <c r="AA115" s="39" t="n">
        <f aca="false">ROUND(G115-Q115-MIN(G115-Q115,MAX(0,$AF115-SUMPRODUCT(--($B$4:$K$4&lt;G$4),$B115:$K115-$L115:$U115))),2)</f>
        <v>0</v>
      </c>
      <c r="AB115" s="39" t="n">
        <f aca="false">ROUND(H115-R115-MIN(H115-R115,MAX(0,$AF115-SUMPRODUCT(--($B$4:$K$4&lt;H$4),$B115:$K115-$L115:$U115))),2)</f>
        <v>0</v>
      </c>
      <c r="AC115" s="39" t="n">
        <f aca="false">ROUND(I115-S115-MIN(I115-S115,MAX(0,$AF115-SUMPRODUCT(--($B$4:$K$4&lt;I$4),$B115:$K115-$L115:$U115))),2)</f>
        <v>0</v>
      </c>
      <c r="AD115" s="39" t="n">
        <f aca="false">ROUND(J115-T115-MIN(J115-T115,MAX(0,$AF115-SUMPRODUCT(--($B$4:$K$4&lt;J$4),$B115:$K115-$L115:$U115))),2)</f>
        <v>0</v>
      </c>
      <c r="AE115" s="39" t="n">
        <f aca="false">ROUND(K115-U115-MIN(K115-U115,MAX(0,$AF115-SUMPRODUCT(--($B$4:$K$4&lt;K$4),$B115:$K115-$L115:$U115))),2)</f>
        <v>0</v>
      </c>
      <c r="AF115" s="39" t="n">
        <f aca="false">MAX(0,'Start Here'!$C$5-SUM($L115:$U115))</f>
        <v>1200</v>
      </c>
      <c r="AG115" s="39" t="n">
        <f aca="false">SUM(V115:AE115)</f>
        <v>0</v>
      </c>
      <c r="AH115" s="39" t="n">
        <f aca="false">SUM(B115:K115)-AG114</f>
        <v>0</v>
      </c>
    </row>
    <row r="116" customFormat="false" ht="15" hidden="false" customHeight="false" outlineLevel="0" collapsed="false">
      <c r="A116" s="40" t="n">
        <f aca="false">DATE(YEAR('Start Here'!$C$6),MONTH('Start Here'!$C$6)+109,1)</f>
        <v>49614</v>
      </c>
      <c r="B116" s="39" t="n">
        <f aca="false">ROUND(V115*(1+N('My Debts'!$D$6)/12),2)</f>
        <v>0</v>
      </c>
      <c r="C116" s="39" t="n">
        <f aca="false">ROUND(W115*(1+N('My Debts'!$D$7)/12),2)</f>
        <v>0</v>
      </c>
      <c r="D116" s="39" t="n">
        <f aca="false">ROUND(X115*(1+N('My Debts'!$D$8)/12),2)</f>
        <v>0</v>
      </c>
      <c r="E116" s="39" t="n">
        <f aca="false">ROUND(Y115*(1+N('My Debts'!$D$9)/12),2)</f>
        <v>0</v>
      </c>
      <c r="F116" s="39" t="n">
        <f aca="false">ROUND(Z115*(1+N('My Debts'!$D$10)/12),2)</f>
        <v>0</v>
      </c>
      <c r="G116" s="39" t="n">
        <f aca="false">ROUND(AA115*(1+N('My Debts'!$D$11)/12),2)</f>
        <v>0</v>
      </c>
      <c r="H116" s="39" t="n">
        <f aca="false">ROUND(AB115*(1+N('My Debts'!$D$12)/12),2)</f>
        <v>0</v>
      </c>
      <c r="I116" s="39" t="n">
        <f aca="false">ROUND(AC115*(1+N('My Debts'!$D$13)/12),2)</f>
        <v>0</v>
      </c>
      <c r="J116" s="39" t="n">
        <f aca="false">ROUND(AD115*(1+N('My Debts'!$D$14)/12),2)</f>
        <v>0</v>
      </c>
      <c r="K116" s="39" t="n">
        <f aca="false">ROUND(AE115*(1+N('My Debts'!$D$15)/12),2)</f>
        <v>0</v>
      </c>
      <c r="L116" s="39" t="n">
        <f aca="false">MIN(N('My Debts'!$E$6),B116)</f>
        <v>0</v>
      </c>
      <c r="M116" s="39" t="n">
        <f aca="false">MIN(N('My Debts'!$E$7),C116)</f>
        <v>0</v>
      </c>
      <c r="N116" s="39" t="n">
        <f aca="false">MIN(N('My Debts'!$E$8),D116)</f>
        <v>0</v>
      </c>
      <c r="O116" s="39" t="n">
        <f aca="false">MIN(N('My Debts'!$E$9),E116)</f>
        <v>0</v>
      </c>
      <c r="P116" s="39" t="n">
        <f aca="false">MIN(N('My Debts'!$E$10),F116)</f>
        <v>0</v>
      </c>
      <c r="Q116" s="39" t="n">
        <f aca="false">MIN(N('My Debts'!$E$11),G116)</f>
        <v>0</v>
      </c>
      <c r="R116" s="39" t="n">
        <f aca="false">MIN(N('My Debts'!$E$12),H116)</f>
        <v>0</v>
      </c>
      <c r="S116" s="39" t="n">
        <f aca="false">MIN(N('My Debts'!$E$13),I116)</f>
        <v>0</v>
      </c>
      <c r="T116" s="39" t="n">
        <f aca="false">MIN(N('My Debts'!$E$14),J116)</f>
        <v>0</v>
      </c>
      <c r="U116" s="39" t="n">
        <f aca="false">MIN(N('My Debts'!$E$15),K116)</f>
        <v>0</v>
      </c>
      <c r="V116" s="39" t="n">
        <f aca="false">ROUND(B116-L116-MIN(B116-L116,MAX(0,$AF116-SUMPRODUCT(--($B$4:$K$4&lt;B$4),$B116:$K116-$L116:$U116))),2)</f>
        <v>0</v>
      </c>
      <c r="W116" s="39" t="n">
        <f aca="false">ROUND(C116-M116-MIN(C116-M116,MAX(0,$AF116-SUMPRODUCT(--($B$4:$K$4&lt;C$4),$B116:$K116-$L116:$U116))),2)</f>
        <v>0</v>
      </c>
      <c r="X116" s="39" t="n">
        <f aca="false">ROUND(D116-N116-MIN(D116-N116,MAX(0,$AF116-SUMPRODUCT(--($B$4:$K$4&lt;D$4),$B116:$K116-$L116:$U116))),2)</f>
        <v>0</v>
      </c>
      <c r="Y116" s="39" t="n">
        <f aca="false">ROUND(E116-O116-MIN(E116-O116,MAX(0,$AF116-SUMPRODUCT(--($B$4:$K$4&lt;E$4),$B116:$K116-$L116:$U116))),2)</f>
        <v>0</v>
      </c>
      <c r="Z116" s="39" t="n">
        <f aca="false">ROUND(F116-P116-MIN(F116-P116,MAX(0,$AF116-SUMPRODUCT(--($B$4:$K$4&lt;F$4),$B116:$K116-$L116:$U116))),2)</f>
        <v>0</v>
      </c>
      <c r="AA116" s="39" t="n">
        <f aca="false">ROUND(G116-Q116-MIN(G116-Q116,MAX(0,$AF116-SUMPRODUCT(--($B$4:$K$4&lt;G$4),$B116:$K116-$L116:$U116))),2)</f>
        <v>0</v>
      </c>
      <c r="AB116" s="39" t="n">
        <f aca="false">ROUND(H116-R116-MIN(H116-R116,MAX(0,$AF116-SUMPRODUCT(--($B$4:$K$4&lt;H$4),$B116:$K116-$L116:$U116))),2)</f>
        <v>0</v>
      </c>
      <c r="AC116" s="39" t="n">
        <f aca="false">ROUND(I116-S116-MIN(I116-S116,MAX(0,$AF116-SUMPRODUCT(--($B$4:$K$4&lt;I$4),$B116:$K116-$L116:$U116))),2)</f>
        <v>0</v>
      </c>
      <c r="AD116" s="39" t="n">
        <f aca="false">ROUND(J116-T116-MIN(J116-T116,MAX(0,$AF116-SUMPRODUCT(--($B$4:$K$4&lt;J$4),$B116:$K116-$L116:$U116))),2)</f>
        <v>0</v>
      </c>
      <c r="AE116" s="39" t="n">
        <f aca="false">ROUND(K116-U116-MIN(K116-U116,MAX(0,$AF116-SUMPRODUCT(--($B$4:$K$4&lt;K$4),$B116:$K116-$L116:$U116))),2)</f>
        <v>0</v>
      </c>
      <c r="AF116" s="39" t="n">
        <f aca="false">MAX(0,'Start Here'!$C$5-SUM($L116:$U116))</f>
        <v>1200</v>
      </c>
      <c r="AG116" s="39" t="n">
        <f aca="false">SUM(V116:AE116)</f>
        <v>0</v>
      </c>
      <c r="AH116" s="39" t="n">
        <f aca="false">SUM(B116:K116)-AG115</f>
        <v>0</v>
      </c>
    </row>
    <row r="117" customFormat="false" ht="15" hidden="false" customHeight="false" outlineLevel="0" collapsed="false">
      <c r="A117" s="40" t="n">
        <f aca="false">DATE(YEAR('Start Here'!$C$6),MONTH('Start Here'!$C$6)+110,1)</f>
        <v>49644</v>
      </c>
      <c r="B117" s="39" t="n">
        <f aca="false">ROUND(V116*(1+N('My Debts'!$D$6)/12),2)</f>
        <v>0</v>
      </c>
      <c r="C117" s="39" t="n">
        <f aca="false">ROUND(W116*(1+N('My Debts'!$D$7)/12),2)</f>
        <v>0</v>
      </c>
      <c r="D117" s="39" t="n">
        <f aca="false">ROUND(X116*(1+N('My Debts'!$D$8)/12),2)</f>
        <v>0</v>
      </c>
      <c r="E117" s="39" t="n">
        <f aca="false">ROUND(Y116*(1+N('My Debts'!$D$9)/12),2)</f>
        <v>0</v>
      </c>
      <c r="F117" s="39" t="n">
        <f aca="false">ROUND(Z116*(1+N('My Debts'!$D$10)/12),2)</f>
        <v>0</v>
      </c>
      <c r="G117" s="39" t="n">
        <f aca="false">ROUND(AA116*(1+N('My Debts'!$D$11)/12),2)</f>
        <v>0</v>
      </c>
      <c r="H117" s="39" t="n">
        <f aca="false">ROUND(AB116*(1+N('My Debts'!$D$12)/12),2)</f>
        <v>0</v>
      </c>
      <c r="I117" s="39" t="n">
        <f aca="false">ROUND(AC116*(1+N('My Debts'!$D$13)/12),2)</f>
        <v>0</v>
      </c>
      <c r="J117" s="39" t="n">
        <f aca="false">ROUND(AD116*(1+N('My Debts'!$D$14)/12),2)</f>
        <v>0</v>
      </c>
      <c r="K117" s="39" t="n">
        <f aca="false">ROUND(AE116*(1+N('My Debts'!$D$15)/12),2)</f>
        <v>0</v>
      </c>
      <c r="L117" s="39" t="n">
        <f aca="false">MIN(N('My Debts'!$E$6),B117)</f>
        <v>0</v>
      </c>
      <c r="M117" s="39" t="n">
        <f aca="false">MIN(N('My Debts'!$E$7),C117)</f>
        <v>0</v>
      </c>
      <c r="N117" s="39" t="n">
        <f aca="false">MIN(N('My Debts'!$E$8),D117)</f>
        <v>0</v>
      </c>
      <c r="O117" s="39" t="n">
        <f aca="false">MIN(N('My Debts'!$E$9),E117)</f>
        <v>0</v>
      </c>
      <c r="P117" s="39" t="n">
        <f aca="false">MIN(N('My Debts'!$E$10),F117)</f>
        <v>0</v>
      </c>
      <c r="Q117" s="39" t="n">
        <f aca="false">MIN(N('My Debts'!$E$11),G117)</f>
        <v>0</v>
      </c>
      <c r="R117" s="39" t="n">
        <f aca="false">MIN(N('My Debts'!$E$12),H117)</f>
        <v>0</v>
      </c>
      <c r="S117" s="39" t="n">
        <f aca="false">MIN(N('My Debts'!$E$13),I117)</f>
        <v>0</v>
      </c>
      <c r="T117" s="39" t="n">
        <f aca="false">MIN(N('My Debts'!$E$14),J117)</f>
        <v>0</v>
      </c>
      <c r="U117" s="39" t="n">
        <f aca="false">MIN(N('My Debts'!$E$15),K117)</f>
        <v>0</v>
      </c>
      <c r="V117" s="39" t="n">
        <f aca="false">ROUND(B117-L117-MIN(B117-L117,MAX(0,$AF117-SUMPRODUCT(--($B$4:$K$4&lt;B$4),$B117:$K117-$L117:$U117))),2)</f>
        <v>0</v>
      </c>
      <c r="W117" s="39" t="n">
        <f aca="false">ROUND(C117-M117-MIN(C117-M117,MAX(0,$AF117-SUMPRODUCT(--($B$4:$K$4&lt;C$4),$B117:$K117-$L117:$U117))),2)</f>
        <v>0</v>
      </c>
      <c r="X117" s="39" t="n">
        <f aca="false">ROUND(D117-N117-MIN(D117-N117,MAX(0,$AF117-SUMPRODUCT(--($B$4:$K$4&lt;D$4),$B117:$K117-$L117:$U117))),2)</f>
        <v>0</v>
      </c>
      <c r="Y117" s="39" t="n">
        <f aca="false">ROUND(E117-O117-MIN(E117-O117,MAX(0,$AF117-SUMPRODUCT(--($B$4:$K$4&lt;E$4),$B117:$K117-$L117:$U117))),2)</f>
        <v>0</v>
      </c>
      <c r="Z117" s="39" t="n">
        <f aca="false">ROUND(F117-P117-MIN(F117-P117,MAX(0,$AF117-SUMPRODUCT(--($B$4:$K$4&lt;F$4),$B117:$K117-$L117:$U117))),2)</f>
        <v>0</v>
      </c>
      <c r="AA117" s="39" t="n">
        <f aca="false">ROUND(G117-Q117-MIN(G117-Q117,MAX(0,$AF117-SUMPRODUCT(--($B$4:$K$4&lt;G$4),$B117:$K117-$L117:$U117))),2)</f>
        <v>0</v>
      </c>
      <c r="AB117" s="39" t="n">
        <f aca="false">ROUND(H117-R117-MIN(H117-R117,MAX(0,$AF117-SUMPRODUCT(--($B$4:$K$4&lt;H$4),$B117:$K117-$L117:$U117))),2)</f>
        <v>0</v>
      </c>
      <c r="AC117" s="39" t="n">
        <f aca="false">ROUND(I117-S117-MIN(I117-S117,MAX(0,$AF117-SUMPRODUCT(--($B$4:$K$4&lt;I$4),$B117:$K117-$L117:$U117))),2)</f>
        <v>0</v>
      </c>
      <c r="AD117" s="39" t="n">
        <f aca="false">ROUND(J117-T117-MIN(J117-T117,MAX(0,$AF117-SUMPRODUCT(--($B$4:$K$4&lt;J$4),$B117:$K117-$L117:$U117))),2)</f>
        <v>0</v>
      </c>
      <c r="AE117" s="39" t="n">
        <f aca="false">ROUND(K117-U117-MIN(K117-U117,MAX(0,$AF117-SUMPRODUCT(--($B$4:$K$4&lt;K$4),$B117:$K117-$L117:$U117))),2)</f>
        <v>0</v>
      </c>
      <c r="AF117" s="39" t="n">
        <f aca="false">MAX(0,'Start Here'!$C$5-SUM($L117:$U117))</f>
        <v>1200</v>
      </c>
      <c r="AG117" s="39" t="n">
        <f aca="false">SUM(V117:AE117)</f>
        <v>0</v>
      </c>
      <c r="AH117" s="39" t="n">
        <f aca="false">SUM(B117:K117)-AG116</f>
        <v>0</v>
      </c>
    </row>
    <row r="118" customFormat="false" ht="15" hidden="false" customHeight="false" outlineLevel="0" collapsed="false">
      <c r="A118" s="40" t="n">
        <f aca="false">DATE(YEAR('Start Here'!$C$6),MONTH('Start Here'!$C$6)+111,1)</f>
        <v>49675</v>
      </c>
      <c r="B118" s="39" t="n">
        <f aca="false">ROUND(V117*(1+N('My Debts'!$D$6)/12),2)</f>
        <v>0</v>
      </c>
      <c r="C118" s="39" t="n">
        <f aca="false">ROUND(W117*(1+N('My Debts'!$D$7)/12),2)</f>
        <v>0</v>
      </c>
      <c r="D118" s="39" t="n">
        <f aca="false">ROUND(X117*(1+N('My Debts'!$D$8)/12),2)</f>
        <v>0</v>
      </c>
      <c r="E118" s="39" t="n">
        <f aca="false">ROUND(Y117*(1+N('My Debts'!$D$9)/12),2)</f>
        <v>0</v>
      </c>
      <c r="F118" s="39" t="n">
        <f aca="false">ROUND(Z117*(1+N('My Debts'!$D$10)/12),2)</f>
        <v>0</v>
      </c>
      <c r="G118" s="39" t="n">
        <f aca="false">ROUND(AA117*(1+N('My Debts'!$D$11)/12),2)</f>
        <v>0</v>
      </c>
      <c r="H118" s="39" t="n">
        <f aca="false">ROUND(AB117*(1+N('My Debts'!$D$12)/12),2)</f>
        <v>0</v>
      </c>
      <c r="I118" s="39" t="n">
        <f aca="false">ROUND(AC117*(1+N('My Debts'!$D$13)/12),2)</f>
        <v>0</v>
      </c>
      <c r="J118" s="39" t="n">
        <f aca="false">ROUND(AD117*(1+N('My Debts'!$D$14)/12),2)</f>
        <v>0</v>
      </c>
      <c r="K118" s="39" t="n">
        <f aca="false">ROUND(AE117*(1+N('My Debts'!$D$15)/12),2)</f>
        <v>0</v>
      </c>
      <c r="L118" s="39" t="n">
        <f aca="false">MIN(N('My Debts'!$E$6),B118)</f>
        <v>0</v>
      </c>
      <c r="M118" s="39" t="n">
        <f aca="false">MIN(N('My Debts'!$E$7),C118)</f>
        <v>0</v>
      </c>
      <c r="N118" s="39" t="n">
        <f aca="false">MIN(N('My Debts'!$E$8),D118)</f>
        <v>0</v>
      </c>
      <c r="O118" s="39" t="n">
        <f aca="false">MIN(N('My Debts'!$E$9),E118)</f>
        <v>0</v>
      </c>
      <c r="P118" s="39" t="n">
        <f aca="false">MIN(N('My Debts'!$E$10),F118)</f>
        <v>0</v>
      </c>
      <c r="Q118" s="39" t="n">
        <f aca="false">MIN(N('My Debts'!$E$11),G118)</f>
        <v>0</v>
      </c>
      <c r="R118" s="39" t="n">
        <f aca="false">MIN(N('My Debts'!$E$12),H118)</f>
        <v>0</v>
      </c>
      <c r="S118" s="39" t="n">
        <f aca="false">MIN(N('My Debts'!$E$13),I118)</f>
        <v>0</v>
      </c>
      <c r="T118" s="39" t="n">
        <f aca="false">MIN(N('My Debts'!$E$14),J118)</f>
        <v>0</v>
      </c>
      <c r="U118" s="39" t="n">
        <f aca="false">MIN(N('My Debts'!$E$15),K118)</f>
        <v>0</v>
      </c>
      <c r="V118" s="39" t="n">
        <f aca="false">ROUND(B118-L118-MIN(B118-L118,MAX(0,$AF118-SUMPRODUCT(--($B$4:$K$4&lt;B$4),$B118:$K118-$L118:$U118))),2)</f>
        <v>0</v>
      </c>
      <c r="W118" s="39" t="n">
        <f aca="false">ROUND(C118-M118-MIN(C118-M118,MAX(0,$AF118-SUMPRODUCT(--($B$4:$K$4&lt;C$4),$B118:$K118-$L118:$U118))),2)</f>
        <v>0</v>
      </c>
      <c r="X118" s="39" t="n">
        <f aca="false">ROUND(D118-N118-MIN(D118-N118,MAX(0,$AF118-SUMPRODUCT(--($B$4:$K$4&lt;D$4),$B118:$K118-$L118:$U118))),2)</f>
        <v>0</v>
      </c>
      <c r="Y118" s="39" t="n">
        <f aca="false">ROUND(E118-O118-MIN(E118-O118,MAX(0,$AF118-SUMPRODUCT(--($B$4:$K$4&lt;E$4),$B118:$K118-$L118:$U118))),2)</f>
        <v>0</v>
      </c>
      <c r="Z118" s="39" t="n">
        <f aca="false">ROUND(F118-P118-MIN(F118-P118,MAX(0,$AF118-SUMPRODUCT(--($B$4:$K$4&lt;F$4),$B118:$K118-$L118:$U118))),2)</f>
        <v>0</v>
      </c>
      <c r="AA118" s="39" t="n">
        <f aca="false">ROUND(G118-Q118-MIN(G118-Q118,MAX(0,$AF118-SUMPRODUCT(--($B$4:$K$4&lt;G$4),$B118:$K118-$L118:$U118))),2)</f>
        <v>0</v>
      </c>
      <c r="AB118" s="39" t="n">
        <f aca="false">ROUND(H118-R118-MIN(H118-R118,MAX(0,$AF118-SUMPRODUCT(--($B$4:$K$4&lt;H$4),$B118:$K118-$L118:$U118))),2)</f>
        <v>0</v>
      </c>
      <c r="AC118" s="39" t="n">
        <f aca="false">ROUND(I118-S118-MIN(I118-S118,MAX(0,$AF118-SUMPRODUCT(--($B$4:$K$4&lt;I$4),$B118:$K118-$L118:$U118))),2)</f>
        <v>0</v>
      </c>
      <c r="AD118" s="39" t="n">
        <f aca="false">ROUND(J118-T118-MIN(J118-T118,MAX(0,$AF118-SUMPRODUCT(--($B$4:$K$4&lt;J$4),$B118:$K118-$L118:$U118))),2)</f>
        <v>0</v>
      </c>
      <c r="AE118" s="39" t="n">
        <f aca="false">ROUND(K118-U118-MIN(K118-U118,MAX(0,$AF118-SUMPRODUCT(--($B$4:$K$4&lt;K$4),$B118:$K118-$L118:$U118))),2)</f>
        <v>0</v>
      </c>
      <c r="AF118" s="39" t="n">
        <f aca="false">MAX(0,'Start Here'!$C$5-SUM($L118:$U118))</f>
        <v>1200</v>
      </c>
      <c r="AG118" s="39" t="n">
        <f aca="false">SUM(V118:AE118)</f>
        <v>0</v>
      </c>
      <c r="AH118" s="39" t="n">
        <f aca="false">SUM(B118:K118)-AG117</f>
        <v>0</v>
      </c>
    </row>
    <row r="119" customFormat="false" ht="15" hidden="false" customHeight="false" outlineLevel="0" collapsed="false">
      <c r="A119" s="40" t="n">
        <f aca="false">DATE(YEAR('Start Here'!$C$6),MONTH('Start Here'!$C$6)+112,1)</f>
        <v>49706</v>
      </c>
      <c r="B119" s="39" t="n">
        <f aca="false">ROUND(V118*(1+N('My Debts'!$D$6)/12),2)</f>
        <v>0</v>
      </c>
      <c r="C119" s="39" t="n">
        <f aca="false">ROUND(W118*(1+N('My Debts'!$D$7)/12),2)</f>
        <v>0</v>
      </c>
      <c r="D119" s="39" t="n">
        <f aca="false">ROUND(X118*(1+N('My Debts'!$D$8)/12),2)</f>
        <v>0</v>
      </c>
      <c r="E119" s="39" t="n">
        <f aca="false">ROUND(Y118*(1+N('My Debts'!$D$9)/12),2)</f>
        <v>0</v>
      </c>
      <c r="F119" s="39" t="n">
        <f aca="false">ROUND(Z118*(1+N('My Debts'!$D$10)/12),2)</f>
        <v>0</v>
      </c>
      <c r="G119" s="39" t="n">
        <f aca="false">ROUND(AA118*(1+N('My Debts'!$D$11)/12),2)</f>
        <v>0</v>
      </c>
      <c r="H119" s="39" t="n">
        <f aca="false">ROUND(AB118*(1+N('My Debts'!$D$12)/12),2)</f>
        <v>0</v>
      </c>
      <c r="I119" s="39" t="n">
        <f aca="false">ROUND(AC118*(1+N('My Debts'!$D$13)/12),2)</f>
        <v>0</v>
      </c>
      <c r="J119" s="39" t="n">
        <f aca="false">ROUND(AD118*(1+N('My Debts'!$D$14)/12),2)</f>
        <v>0</v>
      </c>
      <c r="K119" s="39" t="n">
        <f aca="false">ROUND(AE118*(1+N('My Debts'!$D$15)/12),2)</f>
        <v>0</v>
      </c>
      <c r="L119" s="39" t="n">
        <f aca="false">MIN(N('My Debts'!$E$6),B119)</f>
        <v>0</v>
      </c>
      <c r="M119" s="39" t="n">
        <f aca="false">MIN(N('My Debts'!$E$7),C119)</f>
        <v>0</v>
      </c>
      <c r="N119" s="39" t="n">
        <f aca="false">MIN(N('My Debts'!$E$8),D119)</f>
        <v>0</v>
      </c>
      <c r="O119" s="39" t="n">
        <f aca="false">MIN(N('My Debts'!$E$9),E119)</f>
        <v>0</v>
      </c>
      <c r="P119" s="39" t="n">
        <f aca="false">MIN(N('My Debts'!$E$10),F119)</f>
        <v>0</v>
      </c>
      <c r="Q119" s="39" t="n">
        <f aca="false">MIN(N('My Debts'!$E$11),G119)</f>
        <v>0</v>
      </c>
      <c r="R119" s="39" t="n">
        <f aca="false">MIN(N('My Debts'!$E$12),H119)</f>
        <v>0</v>
      </c>
      <c r="S119" s="39" t="n">
        <f aca="false">MIN(N('My Debts'!$E$13),I119)</f>
        <v>0</v>
      </c>
      <c r="T119" s="39" t="n">
        <f aca="false">MIN(N('My Debts'!$E$14),J119)</f>
        <v>0</v>
      </c>
      <c r="U119" s="39" t="n">
        <f aca="false">MIN(N('My Debts'!$E$15),K119)</f>
        <v>0</v>
      </c>
      <c r="V119" s="39" t="n">
        <f aca="false">ROUND(B119-L119-MIN(B119-L119,MAX(0,$AF119-SUMPRODUCT(--($B$4:$K$4&lt;B$4),$B119:$K119-$L119:$U119))),2)</f>
        <v>0</v>
      </c>
      <c r="W119" s="39" t="n">
        <f aca="false">ROUND(C119-M119-MIN(C119-M119,MAX(0,$AF119-SUMPRODUCT(--($B$4:$K$4&lt;C$4),$B119:$K119-$L119:$U119))),2)</f>
        <v>0</v>
      </c>
      <c r="X119" s="39" t="n">
        <f aca="false">ROUND(D119-N119-MIN(D119-N119,MAX(0,$AF119-SUMPRODUCT(--($B$4:$K$4&lt;D$4),$B119:$K119-$L119:$U119))),2)</f>
        <v>0</v>
      </c>
      <c r="Y119" s="39" t="n">
        <f aca="false">ROUND(E119-O119-MIN(E119-O119,MAX(0,$AF119-SUMPRODUCT(--($B$4:$K$4&lt;E$4),$B119:$K119-$L119:$U119))),2)</f>
        <v>0</v>
      </c>
      <c r="Z119" s="39" t="n">
        <f aca="false">ROUND(F119-P119-MIN(F119-P119,MAX(0,$AF119-SUMPRODUCT(--($B$4:$K$4&lt;F$4),$B119:$K119-$L119:$U119))),2)</f>
        <v>0</v>
      </c>
      <c r="AA119" s="39" t="n">
        <f aca="false">ROUND(G119-Q119-MIN(G119-Q119,MAX(0,$AF119-SUMPRODUCT(--($B$4:$K$4&lt;G$4),$B119:$K119-$L119:$U119))),2)</f>
        <v>0</v>
      </c>
      <c r="AB119" s="39" t="n">
        <f aca="false">ROUND(H119-R119-MIN(H119-R119,MAX(0,$AF119-SUMPRODUCT(--($B$4:$K$4&lt;H$4),$B119:$K119-$L119:$U119))),2)</f>
        <v>0</v>
      </c>
      <c r="AC119" s="39" t="n">
        <f aca="false">ROUND(I119-S119-MIN(I119-S119,MAX(0,$AF119-SUMPRODUCT(--($B$4:$K$4&lt;I$4),$B119:$K119-$L119:$U119))),2)</f>
        <v>0</v>
      </c>
      <c r="AD119" s="39" t="n">
        <f aca="false">ROUND(J119-T119-MIN(J119-T119,MAX(0,$AF119-SUMPRODUCT(--($B$4:$K$4&lt;J$4),$B119:$K119-$L119:$U119))),2)</f>
        <v>0</v>
      </c>
      <c r="AE119" s="39" t="n">
        <f aca="false">ROUND(K119-U119-MIN(K119-U119,MAX(0,$AF119-SUMPRODUCT(--($B$4:$K$4&lt;K$4),$B119:$K119-$L119:$U119))),2)</f>
        <v>0</v>
      </c>
      <c r="AF119" s="39" t="n">
        <f aca="false">MAX(0,'Start Here'!$C$5-SUM($L119:$U119))</f>
        <v>1200</v>
      </c>
      <c r="AG119" s="39" t="n">
        <f aca="false">SUM(V119:AE119)</f>
        <v>0</v>
      </c>
      <c r="AH119" s="39" t="n">
        <f aca="false">SUM(B119:K119)-AG118</f>
        <v>0</v>
      </c>
    </row>
    <row r="120" customFormat="false" ht="15" hidden="false" customHeight="false" outlineLevel="0" collapsed="false">
      <c r="A120" s="40" t="n">
        <f aca="false">DATE(YEAR('Start Here'!$C$6),MONTH('Start Here'!$C$6)+113,1)</f>
        <v>49735</v>
      </c>
      <c r="B120" s="39" t="n">
        <f aca="false">ROUND(V119*(1+N('My Debts'!$D$6)/12),2)</f>
        <v>0</v>
      </c>
      <c r="C120" s="39" t="n">
        <f aca="false">ROUND(W119*(1+N('My Debts'!$D$7)/12),2)</f>
        <v>0</v>
      </c>
      <c r="D120" s="39" t="n">
        <f aca="false">ROUND(X119*(1+N('My Debts'!$D$8)/12),2)</f>
        <v>0</v>
      </c>
      <c r="E120" s="39" t="n">
        <f aca="false">ROUND(Y119*(1+N('My Debts'!$D$9)/12),2)</f>
        <v>0</v>
      </c>
      <c r="F120" s="39" t="n">
        <f aca="false">ROUND(Z119*(1+N('My Debts'!$D$10)/12),2)</f>
        <v>0</v>
      </c>
      <c r="G120" s="39" t="n">
        <f aca="false">ROUND(AA119*(1+N('My Debts'!$D$11)/12),2)</f>
        <v>0</v>
      </c>
      <c r="H120" s="39" t="n">
        <f aca="false">ROUND(AB119*(1+N('My Debts'!$D$12)/12),2)</f>
        <v>0</v>
      </c>
      <c r="I120" s="39" t="n">
        <f aca="false">ROUND(AC119*(1+N('My Debts'!$D$13)/12),2)</f>
        <v>0</v>
      </c>
      <c r="J120" s="39" t="n">
        <f aca="false">ROUND(AD119*(1+N('My Debts'!$D$14)/12),2)</f>
        <v>0</v>
      </c>
      <c r="K120" s="39" t="n">
        <f aca="false">ROUND(AE119*(1+N('My Debts'!$D$15)/12),2)</f>
        <v>0</v>
      </c>
      <c r="L120" s="39" t="n">
        <f aca="false">MIN(N('My Debts'!$E$6),B120)</f>
        <v>0</v>
      </c>
      <c r="M120" s="39" t="n">
        <f aca="false">MIN(N('My Debts'!$E$7),C120)</f>
        <v>0</v>
      </c>
      <c r="N120" s="39" t="n">
        <f aca="false">MIN(N('My Debts'!$E$8),D120)</f>
        <v>0</v>
      </c>
      <c r="O120" s="39" t="n">
        <f aca="false">MIN(N('My Debts'!$E$9),E120)</f>
        <v>0</v>
      </c>
      <c r="P120" s="39" t="n">
        <f aca="false">MIN(N('My Debts'!$E$10),F120)</f>
        <v>0</v>
      </c>
      <c r="Q120" s="39" t="n">
        <f aca="false">MIN(N('My Debts'!$E$11),G120)</f>
        <v>0</v>
      </c>
      <c r="R120" s="39" t="n">
        <f aca="false">MIN(N('My Debts'!$E$12),H120)</f>
        <v>0</v>
      </c>
      <c r="S120" s="39" t="n">
        <f aca="false">MIN(N('My Debts'!$E$13),I120)</f>
        <v>0</v>
      </c>
      <c r="T120" s="39" t="n">
        <f aca="false">MIN(N('My Debts'!$E$14),J120)</f>
        <v>0</v>
      </c>
      <c r="U120" s="39" t="n">
        <f aca="false">MIN(N('My Debts'!$E$15),K120)</f>
        <v>0</v>
      </c>
      <c r="V120" s="39" t="n">
        <f aca="false">ROUND(B120-L120-MIN(B120-L120,MAX(0,$AF120-SUMPRODUCT(--($B$4:$K$4&lt;B$4),$B120:$K120-$L120:$U120))),2)</f>
        <v>0</v>
      </c>
      <c r="W120" s="39" t="n">
        <f aca="false">ROUND(C120-M120-MIN(C120-M120,MAX(0,$AF120-SUMPRODUCT(--($B$4:$K$4&lt;C$4),$B120:$K120-$L120:$U120))),2)</f>
        <v>0</v>
      </c>
      <c r="X120" s="39" t="n">
        <f aca="false">ROUND(D120-N120-MIN(D120-N120,MAX(0,$AF120-SUMPRODUCT(--($B$4:$K$4&lt;D$4),$B120:$K120-$L120:$U120))),2)</f>
        <v>0</v>
      </c>
      <c r="Y120" s="39" t="n">
        <f aca="false">ROUND(E120-O120-MIN(E120-O120,MAX(0,$AF120-SUMPRODUCT(--($B$4:$K$4&lt;E$4),$B120:$K120-$L120:$U120))),2)</f>
        <v>0</v>
      </c>
      <c r="Z120" s="39" t="n">
        <f aca="false">ROUND(F120-P120-MIN(F120-P120,MAX(0,$AF120-SUMPRODUCT(--($B$4:$K$4&lt;F$4),$B120:$K120-$L120:$U120))),2)</f>
        <v>0</v>
      </c>
      <c r="AA120" s="39" t="n">
        <f aca="false">ROUND(G120-Q120-MIN(G120-Q120,MAX(0,$AF120-SUMPRODUCT(--($B$4:$K$4&lt;G$4),$B120:$K120-$L120:$U120))),2)</f>
        <v>0</v>
      </c>
      <c r="AB120" s="39" t="n">
        <f aca="false">ROUND(H120-R120-MIN(H120-R120,MAX(0,$AF120-SUMPRODUCT(--($B$4:$K$4&lt;H$4),$B120:$K120-$L120:$U120))),2)</f>
        <v>0</v>
      </c>
      <c r="AC120" s="39" t="n">
        <f aca="false">ROUND(I120-S120-MIN(I120-S120,MAX(0,$AF120-SUMPRODUCT(--($B$4:$K$4&lt;I$4),$B120:$K120-$L120:$U120))),2)</f>
        <v>0</v>
      </c>
      <c r="AD120" s="39" t="n">
        <f aca="false">ROUND(J120-T120-MIN(J120-T120,MAX(0,$AF120-SUMPRODUCT(--($B$4:$K$4&lt;J$4),$B120:$K120-$L120:$U120))),2)</f>
        <v>0</v>
      </c>
      <c r="AE120" s="39" t="n">
        <f aca="false">ROUND(K120-U120-MIN(K120-U120,MAX(0,$AF120-SUMPRODUCT(--($B$4:$K$4&lt;K$4),$B120:$K120-$L120:$U120))),2)</f>
        <v>0</v>
      </c>
      <c r="AF120" s="39" t="n">
        <f aca="false">MAX(0,'Start Here'!$C$5-SUM($L120:$U120))</f>
        <v>1200</v>
      </c>
      <c r="AG120" s="39" t="n">
        <f aca="false">SUM(V120:AE120)</f>
        <v>0</v>
      </c>
      <c r="AH120" s="39" t="n">
        <f aca="false">SUM(B120:K120)-AG119</f>
        <v>0</v>
      </c>
    </row>
    <row r="121" customFormat="false" ht="15" hidden="false" customHeight="false" outlineLevel="0" collapsed="false">
      <c r="A121" s="40" t="n">
        <f aca="false">DATE(YEAR('Start Here'!$C$6),MONTH('Start Here'!$C$6)+114,1)</f>
        <v>49766</v>
      </c>
      <c r="B121" s="39" t="n">
        <f aca="false">ROUND(V120*(1+N('My Debts'!$D$6)/12),2)</f>
        <v>0</v>
      </c>
      <c r="C121" s="39" t="n">
        <f aca="false">ROUND(W120*(1+N('My Debts'!$D$7)/12),2)</f>
        <v>0</v>
      </c>
      <c r="D121" s="39" t="n">
        <f aca="false">ROUND(X120*(1+N('My Debts'!$D$8)/12),2)</f>
        <v>0</v>
      </c>
      <c r="E121" s="39" t="n">
        <f aca="false">ROUND(Y120*(1+N('My Debts'!$D$9)/12),2)</f>
        <v>0</v>
      </c>
      <c r="F121" s="39" t="n">
        <f aca="false">ROUND(Z120*(1+N('My Debts'!$D$10)/12),2)</f>
        <v>0</v>
      </c>
      <c r="G121" s="39" t="n">
        <f aca="false">ROUND(AA120*(1+N('My Debts'!$D$11)/12),2)</f>
        <v>0</v>
      </c>
      <c r="H121" s="39" t="n">
        <f aca="false">ROUND(AB120*(1+N('My Debts'!$D$12)/12),2)</f>
        <v>0</v>
      </c>
      <c r="I121" s="39" t="n">
        <f aca="false">ROUND(AC120*(1+N('My Debts'!$D$13)/12),2)</f>
        <v>0</v>
      </c>
      <c r="J121" s="39" t="n">
        <f aca="false">ROUND(AD120*(1+N('My Debts'!$D$14)/12),2)</f>
        <v>0</v>
      </c>
      <c r="K121" s="39" t="n">
        <f aca="false">ROUND(AE120*(1+N('My Debts'!$D$15)/12),2)</f>
        <v>0</v>
      </c>
      <c r="L121" s="39" t="n">
        <f aca="false">MIN(N('My Debts'!$E$6),B121)</f>
        <v>0</v>
      </c>
      <c r="M121" s="39" t="n">
        <f aca="false">MIN(N('My Debts'!$E$7),C121)</f>
        <v>0</v>
      </c>
      <c r="N121" s="39" t="n">
        <f aca="false">MIN(N('My Debts'!$E$8),D121)</f>
        <v>0</v>
      </c>
      <c r="O121" s="39" t="n">
        <f aca="false">MIN(N('My Debts'!$E$9),E121)</f>
        <v>0</v>
      </c>
      <c r="P121" s="39" t="n">
        <f aca="false">MIN(N('My Debts'!$E$10),F121)</f>
        <v>0</v>
      </c>
      <c r="Q121" s="39" t="n">
        <f aca="false">MIN(N('My Debts'!$E$11),G121)</f>
        <v>0</v>
      </c>
      <c r="R121" s="39" t="n">
        <f aca="false">MIN(N('My Debts'!$E$12),H121)</f>
        <v>0</v>
      </c>
      <c r="S121" s="39" t="n">
        <f aca="false">MIN(N('My Debts'!$E$13),I121)</f>
        <v>0</v>
      </c>
      <c r="T121" s="39" t="n">
        <f aca="false">MIN(N('My Debts'!$E$14),J121)</f>
        <v>0</v>
      </c>
      <c r="U121" s="39" t="n">
        <f aca="false">MIN(N('My Debts'!$E$15),K121)</f>
        <v>0</v>
      </c>
      <c r="V121" s="39" t="n">
        <f aca="false">ROUND(B121-L121-MIN(B121-L121,MAX(0,$AF121-SUMPRODUCT(--($B$4:$K$4&lt;B$4),$B121:$K121-$L121:$U121))),2)</f>
        <v>0</v>
      </c>
      <c r="W121" s="39" t="n">
        <f aca="false">ROUND(C121-M121-MIN(C121-M121,MAX(0,$AF121-SUMPRODUCT(--($B$4:$K$4&lt;C$4),$B121:$K121-$L121:$U121))),2)</f>
        <v>0</v>
      </c>
      <c r="X121" s="39" t="n">
        <f aca="false">ROUND(D121-N121-MIN(D121-N121,MAX(0,$AF121-SUMPRODUCT(--($B$4:$K$4&lt;D$4),$B121:$K121-$L121:$U121))),2)</f>
        <v>0</v>
      </c>
      <c r="Y121" s="39" t="n">
        <f aca="false">ROUND(E121-O121-MIN(E121-O121,MAX(0,$AF121-SUMPRODUCT(--($B$4:$K$4&lt;E$4),$B121:$K121-$L121:$U121))),2)</f>
        <v>0</v>
      </c>
      <c r="Z121" s="39" t="n">
        <f aca="false">ROUND(F121-P121-MIN(F121-P121,MAX(0,$AF121-SUMPRODUCT(--($B$4:$K$4&lt;F$4),$B121:$K121-$L121:$U121))),2)</f>
        <v>0</v>
      </c>
      <c r="AA121" s="39" t="n">
        <f aca="false">ROUND(G121-Q121-MIN(G121-Q121,MAX(0,$AF121-SUMPRODUCT(--($B$4:$K$4&lt;G$4),$B121:$K121-$L121:$U121))),2)</f>
        <v>0</v>
      </c>
      <c r="AB121" s="39" t="n">
        <f aca="false">ROUND(H121-R121-MIN(H121-R121,MAX(0,$AF121-SUMPRODUCT(--($B$4:$K$4&lt;H$4),$B121:$K121-$L121:$U121))),2)</f>
        <v>0</v>
      </c>
      <c r="AC121" s="39" t="n">
        <f aca="false">ROUND(I121-S121-MIN(I121-S121,MAX(0,$AF121-SUMPRODUCT(--($B$4:$K$4&lt;I$4),$B121:$K121-$L121:$U121))),2)</f>
        <v>0</v>
      </c>
      <c r="AD121" s="39" t="n">
        <f aca="false">ROUND(J121-T121-MIN(J121-T121,MAX(0,$AF121-SUMPRODUCT(--($B$4:$K$4&lt;J$4),$B121:$K121-$L121:$U121))),2)</f>
        <v>0</v>
      </c>
      <c r="AE121" s="39" t="n">
        <f aca="false">ROUND(K121-U121-MIN(K121-U121,MAX(0,$AF121-SUMPRODUCT(--($B$4:$K$4&lt;K$4),$B121:$K121-$L121:$U121))),2)</f>
        <v>0</v>
      </c>
      <c r="AF121" s="39" t="n">
        <f aca="false">MAX(0,'Start Here'!$C$5-SUM($L121:$U121))</f>
        <v>1200</v>
      </c>
      <c r="AG121" s="39" t="n">
        <f aca="false">SUM(V121:AE121)</f>
        <v>0</v>
      </c>
      <c r="AH121" s="39" t="n">
        <f aca="false">SUM(B121:K121)-AG120</f>
        <v>0</v>
      </c>
    </row>
    <row r="122" customFormat="false" ht="15" hidden="false" customHeight="false" outlineLevel="0" collapsed="false">
      <c r="A122" s="40" t="n">
        <f aca="false">DATE(YEAR('Start Here'!$C$6),MONTH('Start Here'!$C$6)+115,1)</f>
        <v>49796</v>
      </c>
      <c r="B122" s="39" t="n">
        <f aca="false">ROUND(V121*(1+N('My Debts'!$D$6)/12),2)</f>
        <v>0</v>
      </c>
      <c r="C122" s="39" t="n">
        <f aca="false">ROUND(W121*(1+N('My Debts'!$D$7)/12),2)</f>
        <v>0</v>
      </c>
      <c r="D122" s="39" t="n">
        <f aca="false">ROUND(X121*(1+N('My Debts'!$D$8)/12),2)</f>
        <v>0</v>
      </c>
      <c r="E122" s="39" t="n">
        <f aca="false">ROUND(Y121*(1+N('My Debts'!$D$9)/12),2)</f>
        <v>0</v>
      </c>
      <c r="F122" s="39" t="n">
        <f aca="false">ROUND(Z121*(1+N('My Debts'!$D$10)/12),2)</f>
        <v>0</v>
      </c>
      <c r="G122" s="39" t="n">
        <f aca="false">ROUND(AA121*(1+N('My Debts'!$D$11)/12),2)</f>
        <v>0</v>
      </c>
      <c r="H122" s="39" t="n">
        <f aca="false">ROUND(AB121*(1+N('My Debts'!$D$12)/12),2)</f>
        <v>0</v>
      </c>
      <c r="I122" s="39" t="n">
        <f aca="false">ROUND(AC121*(1+N('My Debts'!$D$13)/12),2)</f>
        <v>0</v>
      </c>
      <c r="J122" s="39" t="n">
        <f aca="false">ROUND(AD121*(1+N('My Debts'!$D$14)/12),2)</f>
        <v>0</v>
      </c>
      <c r="K122" s="39" t="n">
        <f aca="false">ROUND(AE121*(1+N('My Debts'!$D$15)/12),2)</f>
        <v>0</v>
      </c>
      <c r="L122" s="39" t="n">
        <f aca="false">MIN(N('My Debts'!$E$6),B122)</f>
        <v>0</v>
      </c>
      <c r="M122" s="39" t="n">
        <f aca="false">MIN(N('My Debts'!$E$7),C122)</f>
        <v>0</v>
      </c>
      <c r="N122" s="39" t="n">
        <f aca="false">MIN(N('My Debts'!$E$8),D122)</f>
        <v>0</v>
      </c>
      <c r="O122" s="39" t="n">
        <f aca="false">MIN(N('My Debts'!$E$9),E122)</f>
        <v>0</v>
      </c>
      <c r="P122" s="39" t="n">
        <f aca="false">MIN(N('My Debts'!$E$10),F122)</f>
        <v>0</v>
      </c>
      <c r="Q122" s="39" t="n">
        <f aca="false">MIN(N('My Debts'!$E$11),G122)</f>
        <v>0</v>
      </c>
      <c r="R122" s="39" t="n">
        <f aca="false">MIN(N('My Debts'!$E$12),H122)</f>
        <v>0</v>
      </c>
      <c r="S122" s="39" t="n">
        <f aca="false">MIN(N('My Debts'!$E$13),I122)</f>
        <v>0</v>
      </c>
      <c r="T122" s="39" t="n">
        <f aca="false">MIN(N('My Debts'!$E$14),J122)</f>
        <v>0</v>
      </c>
      <c r="U122" s="39" t="n">
        <f aca="false">MIN(N('My Debts'!$E$15),K122)</f>
        <v>0</v>
      </c>
      <c r="V122" s="39" t="n">
        <f aca="false">ROUND(B122-L122-MIN(B122-L122,MAX(0,$AF122-SUMPRODUCT(--($B$4:$K$4&lt;B$4),$B122:$K122-$L122:$U122))),2)</f>
        <v>0</v>
      </c>
      <c r="W122" s="39" t="n">
        <f aca="false">ROUND(C122-M122-MIN(C122-M122,MAX(0,$AF122-SUMPRODUCT(--($B$4:$K$4&lt;C$4),$B122:$K122-$L122:$U122))),2)</f>
        <v>0</v>
      </c>
      <c r="X122" s="39" t="n">
        <f aca="false">ROUND(D122-N122-MIN(D122-N122,MAX(0,$AF122-SUMPRODUCT(--($B$4:$K$4&lt;D$4),$B122:$K122-$L122:$U122))),2)</f>
        <v>0</v>
      </c>
      <c r="Y122" s="39" t="n">
        <f aca="false">ROUND(E122-O122-MIN(E122-O122,MAX(0,$AF122-SUMPRODUCT(--($B$4:$K$4&lt;E$4),$B122:$K122-$L122:$U122))),2)</f>
        <v>0</v>
      </c>
      <c r="Z122" s="39" t="n">
        <f aca="false">ROUND(F122-P122-MIN(F122-P122,MAX(0,$AF122-SUMPRODUCT(--($B$4:$K$4&lt;F$4),$B122:$K122-$L122:$U122))),2)</f>
        <v>0</v>
      </c>
      <c r="AA122" s="39" t="n">
        <f aca="false">ROUND(G122-Q122-MIN(G122-Q122,MAX(0,$AF122-SUMPRODUCT(--($B$4:$K$4&lt;G$4),$B122:$K122-$L122:$U122))),2)</f>
        <v>0</v>
      </c>
      <c r="AB122" s="39" t="n">
        <f aca="false">ROUND(H122-R122-MIN(H122-R122,MAX(0,$AF122-SUMPRODUCT(--($B$4:$K$4&lt;H$4),$B122:$K122-$L122:$U122))),2)</f>
        <v>0</v>
      </c>
      <c r="AC122" s="39" t="n">
        <f aca="false">ROUND(I122-S122-MIN(I122-S122,MAX(0,$AF122-SUMPRODUCT(--($B$4:$K$4&lt;I$4),$B122:$K122-$L122:$U122))),2)</f>
        <v>0</v>
      </c>
      <c r="AD122" s="39" t="n">
        <f aca="false">ROUND(J122-T122-MIN(J122-T122,MAX(0,$AF122-SUMPRODUCT(--($B$4:$K$4&lt;J$4),$B122:$K122-$L122:$U122))),2)</f>
        <v>0</v>
      </c>
      <c r="AE122" s="39" t="n">
        <f aca="false">ROUND(K122-U122-MIN(K122-U122,MAX(0,$AF122-SUMPRODUCT(--($B$4:$K$4&lt;K$4),$B122:$K122-$L122:$U122))),2)</f>
        <v>0</v>
      </c>
      <c r="AF122" s="39" t="n">
        <f aca="false">MAX(0,'Start Here'!$C$5-SUM($L122:$U122))</f>
        <v>1200</v>
      </c>
      <c r="AG122" s="39" t="n">
        <f aca="false">SUM(V122:AE122)</f>
        <v>0</v>
      </c>
      <c r="AH122" s="39" t="n">
        <f aca="false">SUM(B122:K122)-AG121</f>
        <v>0</v>
      </c>
    </row>
    <row r="123" customFormat="false" ht="15" hidden="false" customHeight="false" outlineLevel="0" collapsed="false">
      <c r="A123" s="40" t="n">
        <f aca="false">DATE(YEAR('Start Here'!$C$6),MONTH('Start Here'!$C$6)+116,1)</f>
        <v>49827</v>
      </c>
      <c r="B123" s="39" t="n">
        <f aca="false">ROUND(V122*(1+N('My Debts'!$D$6)/12),2)</f>
        <v>0</v>
      </c>
      <c r="C123" s="39" t="n">
        <f aca="false">ROUND(W122*(1+N('My Debts'!$D$7)/12),2)</f>
        <v>0</v>
      </c>
      <c r="D123" s="39" t="n">
        <f aca="false">ROUND(X122*(1+N('My Debts'!$D$8)/12),2)</f>
        <v>0</v>
      </c>
      <c r="E123" s="39" t="n">
        <f aca="false">ROUND(Y122*(1+N('My Debts'!$D$9)/12),2)</f>
        <v>0</v>
      </c>
      <c r="F123" s="39" t="n">
        <f aca="false">ROUND(Z122*(1+N('My Debts'!$D$10)/12),2)</f>
        <v>0</v>
      </c>
      <c r="G123" s="39" t="n">
        <f aca="false">ROUND(AA122*(1+N('My Debts'!$D$11)/12),2)</f>
        <v>0</v>
      </c>
      <c r="H123" s="39" t="n">
        <f aca="false">ROUND(AB122*(1+N('My Debts'!$D$12)/12),2)</f>
        <v>0</v>
      </c>
      <c r="I123" s="39" t="n">
        <f aca="false">ROUND(AC122*(1+N('My Debts'!$D$13)/12),2)</f>
        <v>0</v>
      </c>
      <c r="J123" s="39" t="n">
        <f aca="false">ROUND(AD122*(1+N('My Debts'!$D$14)/12),2)</f>
        <v>0</v>
      </c>
      <c r="K123" s="39" t="n">
        <f aca="false">ROUND(AE122*(1+N('My Debts'!$D$15)/12),2)</f>
        <v>0</v>
      </c>
      <c r="L123" s="39" t="n">
        <f aca="false">MIN(N('My Debts'!$E$6),B123)</f>
        <v>0</v>
      </c>
      <c r="M123" s="39" t="n">
        <f aca="false">MIN(N('My Debts'!$E$7),C123)</f>
        <v>0</v>
      </c>
      <c r="N123" s="39" t="n">
        <f aca="false">MIN(N('My Debts'!$E$8),D123)</f>
        <v>0</v>
      </c>
      <c r="O123" s="39" t="n">
        <f aca="false">MIN(N('My Debts'!$E$9),E123)</f>
        <v>0</v>
      </c>
      <c r="P123" s="39" t="n">
        <f aca="false">MIN(N('My Debts'!$E$10),F123)</f>
        <v>0</v>
      </c>
      <c r="Q123" s="39" t="n">
        <f aca="false">MIN(N('My Debts'!$E$11),G123)</f>
        <v>0</v>
      </c>
      <c r="R123" s="39" t="n">
        <f aca="false">MIN(N('My Debts'!$E$12),H123)</f>
        <v>0</v>
      </c>
      <c r="S123" s="39" t="n">
        <f aca="false">MIN(N('My Debts'!$E$13),I123)</f>
        <v>0</v>
      </c>
      <c r="T123" s="39" t="n">
        <f aca="false">MIN(N('My Debts'!$E$14),J123)</f>
        <v>0</v>
      </c>
      <c r="U123" s="39" t="n">
        <f aca="false">MIN(N('My Debts'!$E$15),K123)</f>
        <v>0</v>
      </c>
      <c r="V123" s="39" t="n">
        <f aca="false">ROUND(B123-L123-MIN(B123-L123,MAX(0,$AF123-SUMPRODUCT(--($B$4:$K$4&lt;B$4),$B123:$K123-$L123:$U123))),2)</f>
        <v>0</v>
      </c>
      <c r="W123" s="39" t="n">
        <f aca="false">ROUND(C123-M123-MIN(C123-M123,MAX(0,$AF123-SUMPRODUCT(--($B$4:$K$4&lt;C$4),$B123:$K123-$L123:$U123))),2)</f>
        <v>0</v>
      </c>
      <c r="X123" s="39" t="n">
        <f aca="false">ROUND(D123-N123-MIN(D123-N123,MAX(0,$AF123-SUMPRODUCT(--($B$4:$K$4&lt;D$4),$B123:$K123-$L123:$U123))),2)</f>
        <v>0</v>
      </c>
      <c r="Y123" s="39" t="n">
        <f aca="false">ROUND(E123-O123-MIN(E123-O123,MAX(0,$AF123-SUMPRODUCT(--($B$4:$K$4&lt;E$4),$B123:$K123-$L123:$U123))),2)</f>
        <v>0</v>
      </c>
      <c r="Z123" s="39" t="n">
        <f aca="false">ROUND(F123-P123-MIN(F123-P123,MAX(0,$AF123-SUMPRODUCT(--($B$4:$K$4&lt;F$4),$B123:$K123-$L123:$U123))),2)</f>
        <v>0</v>
      </c>
      <c r="AA123" s="39" t="n">
        <f aca="false">ROUND(G123-Q123-MIN(G123-Q123,MAX(0,$AF123-SUMPRODUCT(--($B$4:$K$4&lt;G$4),$B123:$K123-$L123:$U123))),2)</f>
        <v>0</v>
      </c>
      <c r="AB123" s="39" t="n">
        <f aca="false">ROUND(H123-R123-MIN(H123-R123,MAX(0,$AF123-SUMPRODUCT(--($B$4:$K$4&lt;H$4),$B123:$K123-$L123:$U123))),2)</f>
        <v>0</v>
      </c>
      <c r="AC123" s="39" t="n">
        <f aca="false">ROUND(I123-S123-MIN(I123-S123,MAX(0,$AF123-SUMPRODUCT(--($B$4:$K$4&lt;I$4),$B123:$K123-$L123:$U123))),2)</f>
        <v>0</v>
      </c>
      <c r="AD123" s="39" t="n">
        <f aca="false">ROUND(J123-T123-MIN(J123-T123,MAX(0,$AF123-SUMPRODUCT(--($B$4:$K$4&lt;J$4),$B123:$K123-$L123:$U123))),2)</f>
        <v>0</v>
      </c>
      <c r="AE123" s="39" t="n">
        <f aca="false">ROUND(K123-U123-MIN(K123-U123,MAX(0,$AF123-SUMPRODUCT(--($B$4:$K$4&lt;K$4),$B123:$K123-$L123:$U123))),2)</f>
        <v>0</v>
      </c>
      <c r="AF123" s="39" t="n">
        <f aca="false">MAX(0,'Start Here'!$C$5-SUM($L123:$U123))</f>
        <v>1200</v>
      </c>
      <c r="AG123" s="39" t="n">
        <f aca="false">SUM(V123:AE123)</f>
        <v>0</v>
      </c>
      <c r="AH123" s="39" t="n">
        <f aca="false">SUM(B123:K123)-AG122</f>
        <v>0</v>
      </c>
    </row>
    <row r="124" customFormat="false" ht="15" hidden="false" customHeight="false" outlineLevel="0" collapsed="false">
      <c r="A124" s="40" t="n">
        <f aca="false">DATE(YEAR('Start Here'!$C$6),MONTH('Start Here'!$C$6)+117,1)</f>
        <v>49857</v>
      </c>
      <c r="B124" s="39" t="n">
        <f aca="false">ROUND(V123*(1+N('My Debts'!$D$6)/12),2)</f>
        <v>0</v>
      </c>
      <c r="C124" s="39" t="n">
        <f aca="false">ROUND(W123*(1+N('My Debts'!$D$7)/12),2)</f>
        <v>0</v>
      </c>
      <c r="D124" s="39" t="n">
        <f aca="false">ROUND(X123*(1+N('My Debts'!$D$8)/12),2)</f>
        <v>0</v>
      </c>
      <c r="E124" s="39" t="n">
        <f aca="false">ROUND(Y123*(1+N('My Debts'!$D$9)/12),2)</f>
        <v>0</v>
      </c>
      <c r="F124" s="39" t="n">
        <f aca="false">ROUND(Z123*(1+N('My Debts'!$D$10)/12),2)</f>
        <v>0</v>
      </c>
      <c r="G124" s="39" t="n">
        <f aca="false">ROUND(AA123*(1+N('My Debts'!$D$11)/12),2)</f>
        <v>0</v>
      </c>
      <c r="H124" s="39" t="n">
        <f aca="false">ROUND(AB123*(1+N('My Debts'!$D$12)/12),2)</f>
        <v>0</v>
      </c>
      <c r="I124" s="39" t="n">
        <f aca="false">ROUND(AC123*(1+N('My Debts'!$D$13)/12),2)</f>
        <v>0</v>
      </c>
      <c r="J124" s="39" t="n">
        <f aca="false">ROUND(AD123*(1+N('My Debts'!$D$14)/12),2)</f>
        <v>0</v>
      </c>
      <c r="K124" s="39" t="n">
        <f aca="false">ROUND(AE123*(1+N('My Debts'!$D$15)/12),2)</f>
        <v>0</v>
      </c>
      <c r="L124" s="39" t="n">
        <f aca="false">MIN(N('My Debts'!$E$6),B124)</f>
        <v>0</v>
      </c>
      <c r="M124" s="39" t="n">
        <f aca="false">MIN(N('My Debts'!$E$7),C124)</f>
        <v>0</v>
      </c>
      <c r="N124" s="39" t="n">
        <f aca="false">MIN(N('My Debts'!$E$8),D124)</f>
        <v>0</v>
      </c>
      <c r="O124" s="39" t="n">
        <f aca="false">MIN(N('My Debts'!$E$9),E124)</f>
        <v>0</v>
      </c>
      <c r="P124" s="39" t="n">
        <f aca="false">MIN(N('My Debts'!$E$10),F124)</f>
        <v>0</v>
      </c>
      <c r="Q124" s="39" t="n">
        <f aca="false">MIN(N('My Debts'!$E$11),G124)</f>
        <v>0</v>
      </c>
      <c r="R124" s="39" t="n">
        <f aca="false">MIN(N('My Debts'!$E$12),H124)</f>
        <v>0</v>
      </c>
      <c r="S124" s="39" t="n">
        <f aca="false">MIN(N('My Debts'!$E$13),I124)</f>
        <v>0</v>
      </c>
      <c r="T124" s="39" t="n">
        <f aca="false">MIN(N('My Debts'!$E$14),J124)</f>
        <v>0</v>
      </c>
      <c r="U124" s="39" t="n">
        <f aca="false">MIN(N('My Debts'!$E$15),K124)</f>
        <v>0</v>
      </c>
      <c r="V124" s="39" t="n">
        <f aca="false">ROUND(B124-L124-MIN(B124-L124,MAX(0,$AF124-SUMPRODUCT(--($B$4:$K$4&lt;B$4),$B124:$K124-$L124:$U124))),2)</f>
        <v>0</v>
      </c>
      <c r="W124" s="39" t="n">
        <f aca="false">ROUND(C124-M124-MIN(C124-M124,MAX(0,$AF124-SUMPRODUCT(--($B$4:$K$4&lt;C$4),$B124:$K124-$L124:$U124))),2)</f>
        <v>0</v>
      </c>
      <c r="X124" s="39" t="n">
        <f aca="false">ROUND(D124-N124-MIN(D124-N124,MAX(0,$AF124-SUMPRODUCT(--($B$4:$K$4&lt;D$4),$B124:$K124-$L124:$U124))),2)</f>
        <v>0</v>
      </c>
      <c r="Y124" s="39" t="n">
        <f aca="false">ROUND(E124-O124-MIN(E124-O124,MAX(0,$AF124-SUMPRODUCT(--($B$4:$K$4&lt;E$4),$B124:$K124-$L124:$U124))),2)</f>
        <v>0</v>
      </c>
      <c r="Z124" s="39" t="n">
        <f aca="false">ROUND(F124-P124-MIN(F124-P124,MAX(0,$AF124-SUMPRODUCT(--($B$4:$K$4&lt;F$4),$B124:$K124-$L124:$U124))),2)</f>
        <v>0</v>
      </c>
      <c r="AA124" s="39" t="n">
        <f aca="false">ROUND(G124-Q124-MIN(G124-Q124,MAX(0,$AF124-SUMPRODUCT(--($B$4:$K$4&lt;G$4),$B124:$K124-$L124:$U124))),2)</f>
        <v>0</v>
      </c>
      <c r="AB124" s="39" t="n">
        <f aca="false">ROUND(H124-R124-MIN(H124-R124,MAX(0,$AF124-SUMPRODUCT(--($B$4:$K$4&lt;H$4),$B124:$K124-$L124:$U124))),2)</f>
        <v>0</v>
      </c>
      <c r="AC124" s="39" t="n">
        <f aca="false">ROUND(I124-S124-MIN(I124-S124,MAX(0,$AF124-SUMPRODUCT(--($B$4:$K$4&lt;I$4),$B124:$K124-$L124:$U124))),2)</f>
        <v>0</v>
      </c>
      <c r="AD124" s="39" t="n">
        <f aca="false">ROUND(J124-T124-MIN(J124-T124,MAX(0,$AF124-SUMPRODUCT(--($B$4:$K$4&lt;J$4),$B124:$K124-$L124:$U124))),2)</f>
        <v>0</v>
      </c>
      <c r="AE124" s="39" t="n">
        <f aca="false">ROUND(K124-U124-MIN(K124-U124,MAX(0,$AF124-SUMPRODUCT(--($B$4:$K$4&lt;K$4),$B124:$K124-$L124:$U124))),2)</f>
        <v>0</v>
      </c>
      <c r="AF124" s="39" t="n">
        <f aca="false">MAX(0,'Start Here'!$C$5-SUM($L124:$U124))</f>
        <v>1200</v>
      </c>
      <c r="AG124" s="39" t="n">
        <f aca="false">SUM(V124:AE124)</f>
        <v>0</v>
      </c>
      <c r="AH124" s="39" t="n">
        <f aca="false">SUM(B124:K124)-AG123</f>
        <v>0</v>
      </c>
    </row>
    <row r="125" customFormat="false" ht="15" hidden="false" customHeight="false" outlineLevel="0" collapsed="false">
      <c r="A125" s="40" t="n">
        <f aca="false">DATE(YEAR('Start Here'!$C$6),MONTH('Start Here'!$C$6)+118,1)</f>
        <v>49888</v>
      </c>
      <c r="B125" s="39" t="n">
        <f aca="false">ROUND(V124*(1+N('My Debts'!$D$6)/12),2)</f>
        <v>0</v>
      </c>
      <c r="C125" s="39" t="n">
        <f aca="false">ROUND(W124*(1+N('My Debts'!$D$7)/12),2)</f>
        <v>0</v>
      </c>
      <c r="D125" s="39" t="n">
        <f aca="false">ROUND(X124*(1+N('My Debts'!$D$8)/12),2)</f>
        <v>0</v>
      </c>
      <c r="E125" s="39" t="n">
        <f aca="false">ROUND(Y124*(1+N('My Debts'!$D$9)/12),2)</f>
        <v>0</v>
      </c>
      <c r="F125" s="39" t="n">
        <f aca="false">ROUND(Z124*(1+N('My Debts'!$D$10)/12),2)</f>
        <v>0</v>
      </c>
      <c r="G125" s="39" t="n">
        <f aca="false">ROUND(AA124*(1+N('My Debts'!$D$11)/12),2)</f>
        <v>0</v>
      </c>
      <c r="H125" s="39" t="n">
        <f aca="false">ROUND(AB124*(1+N('My Debts'!$D$12)/12),2)</f>
        <v>0</v>
      </c>
      <c r="I125" s="39" t="n">
        <f aca="false">ROUND(AC124*(1+N('My Debts'!$D$13)/12),2)</f>
        <v>0</v>
      </c>
      <c r="J125" s="39" t="n">
        <f aca="false">ROUND(AD124*(1+N('My Debts'!$D$14)/12),2)</f>
        <v>0</v>
      </c>
      <c r="K125" s="39" t="n">
        <f aca="false">ROUND(AE124*(1+N('My Debts'!$D$15)/12),2)</f>
        <v>0</v>
      </c>
      <c r="L125" s="39" t="n">
        <f aca="false">MIN(N('My Debts'!$E$6),B125)</f>
        <v>0</v>
      </c>
      <c r="M125" s="39" t="n">
        <f aca="false">MIN(N('My Debts'!$E$7),C125)</f>
        <v>0</v>
      </c>
      <c r="N125" s="39" t="n">
        <f aca="false">MIN(N('My Debts'!$E$8),D125)</f>
        <v>0</v>
      </c>
      <c r="O125" s="39" t="n">
        <f aca="false">MIN(N('My Debts'!$E$9),E125)</f>
        <v>0</v>
      </c>
      <c r="P125" s="39" t="n">
        <f aca="false">MIN(N('My Debts'!$E$10),F125)</f>
        <v>0</v>
      </c>
      <c r="Q125" s="39" t="n">
        <f aca="false">MIN(N('My Debts'!$E$11),G125)</f>
        <v>0</v>
      </c>
      <c r="R125" s="39" t="n">
        <f aca="false">MIN(N('My Debts'!$E$12),H125)</f>
        <v>0</v>
      </c>
      <c r="S125" s="39" t="n">
        <f aca="false">MIN(N('My Debts'!$E$13),I125)</f>
        <v>0</v>
      </c>
      <c r="T125" s="39" t="n">
        <f aca="false">MIN(N('My Debts'!$E$14),J125)</f>
        <v>0</v>
      </c>
      <c r="U125" s="39" t="n">
        <f aca="false">MIN(N('My Debts'!$E$15),K125)</f>
        <v>0</v>
      </c>
      <c r="V125" s="39" t="n">
        <f aca="false">ROUND(B125-L125-MIN(B125-L125,MAX(0,$AF125-SUMPRODUCT(--($B$4:$K$4&lt;B$4),$B125:$K125-$L125:$U125))),2)</f>
        <v>0</v>
      </c>
      <c r="W125" s="39" t="n">
        <f aca="false">ROUND(C125-M125-MIN(C125-M125,MAX(0,$AF125-SUMPRODUCT(--($B$4:$K$4&lt;C$4),$B125:$K125-$L125:$U125))),2)</f>
        <v>0</v>
      </c>
      <c r="X125" s="39" t="n">
        <f aca="false">ROUND(D125-N125-MIN(D125-N125,MAX(0,$AF125-SUMPRODUCT(--($B$4:$K$4&lt;D$4),$B125:$K125-$L125:$U125))),2)</f>
        <v>0</v>
      </c>
      <c r="Y125" s="39" t="n">
        <f aca="false">ROUND(E125-O125-MIN(E125-O125,MAX(0,$AF125-SUMPRODUCT(--($B$4:$K$4&lt;E$4),$B125:$K125-$L125:$U125))),2)</f>
        <v>0</v>
      </c>
      <c r="Z125" s="39" t="n">
        <f aca="false">ROUND(F125-P125-MIN(F125-P125,MAX(0,$AF125-SUMPRODUCT(--($B$4:$K$4&lt;F$4),$B125:$K125-$L125:$U125))),2)</f>
        <v>0</v>
      </c>
      <c r="AA125" s="39" t="n">
        <f aca="false">ROUND(G125-Q125-MIN(G125-Q125,MAX(0,$AF125-SUMPRODUCT(--($B$4:$K$4&lt;G$4),$B125:$K125-$L125:$U125))),2)</f>
        <v>0</v>
      </c>
      <c r="AB125" s="39" t="n">
        <f aca="false">ROUND(H125-R125-MIN(H125-R125,MAX(0,$AF125-SUMPRODUCT(--($B$4:$K$4&lt;H$4),$B125:$K125-$L125:$U125))),2)</f>
        <v>0</v>
      </c>
      <c r="AC125" s="39" t="n">
        <f aca="false">ROUND(I125-S125-MIN(I125-S125,MAX(0,$AF125-SUMPRODUCT(--($B$4:$K$4&lt;I$4),$B125:$K125-$L125:$U125))),2)</f>
        <v>0</v>
      </c>
      <c r="AD125" s="39" t="n">
        <f aca="false">ROUND(J125-T125-MIN(J125-T125,MAX(0,$AF125-SUMPRODUCT(--($B$4:$K$4&lt;J$4),$B125:$K125-$L125:$U125))),2)</f>
        <v>0</v>
      </c>
      <c r="AE125" s="39" t="n">
        <f aca="false">ROUND(K125-U125-MIN(K125-U125,MAX(0,$AF125-SUMPRODUCT(--($B$4:$K$4&lt;K$4),$B125:$K125-$L125:$U125))),2)</f>
        <v>0</v>
      </c>
      <c r="AF125" s="39" t="n">
        <f aca="false">MAX(0,'Start Here'!$C$5-SUM($L125:$U125))</f>
        <v>1200</v>
      </c>
      <c r="AG125" s="39" t="n">
        <f aca="false">SUM(V125:AE125)</f>
        <v>0</v>
      </c>
      <c r="AH125" s="39" t="n">
        <f aca="false">SUM(B125:K125)-AG124</f>
        <v>0</v>
      </c>
    </row>
    <row r="126" customFormat="false" ht="15" hidden="false" customHeight="false" outlineLevel="0" collapsed="false">
      <c r="A126" s="40" t="n">
        <f aca="false">DATE(YEAR('Start Here'!$C$6),MONTH('Start Here'!$C$6)+119,1)</f>
        <v>49919</v>
      </c>
      <c r="B126" s="39" t="n">
        <f aca="false">ROUND(V125*(1+N('My Debts'!$D$6)/12),2)</f>
        <v>0</v>
      </c>
      <c r="C126" s="39" t="n">
        <f aca="false">ROUND(W125*(1+N('My Debts'!$D$7)/12),2)</f>
        <v>0</v>
      </c>
      <c r="D126" s="39" t="n">
        <f aca="false">ROUND(X125*(1+N('My Debts'!$D$8)/12),2)</f>
        <v>0</v>
      </c>
      <c r="E126" s="39" t="n">
        <f aca="false">ROUND(Y125*(1+N('My Debts'!$D$9)/12),2)</f>
        <v>0</v>
      </c>
      <c r="F126" s="39" t="n">
        <f aca="false">ROUND(Z125*(1+N('My Debts'!$D$10)/12),2)</f>
        <v>0</v>
      </c>
      <c r="G126" s="39" t="n">
        <f aca="false">ROUND(AA125*(1+N('My Debts'!$D$11)/12),2)</f>
        <v>0</v>
      </c>
      <c r="H126" s="39" t="n">
        <f aca="false">ROUND(AB125*(1+N('My Debts'!$D$12)/12),2)</f>
        <v>0</v>
      </c>
      <c r="I126" s="39" t="n">
        <f aca="false">ROUND(AC125*(1+N('My Debts'!$D$13)/12),2)</f>
        <v>0</v>
      </c>
      <c r="J126" s="39" t="n">
        <f aca="false">ROUND(AD125*(1+N('My Debts'!$D$14)/12),2)</f>
        <v>0</v>
      </c>
      <c r="K126" s="39" t="n">
        <f aca="false">ROUND(AE125*(1+N('My Debts'!$D$15)/12),2)</f>
        <v>0</v>
      </c>
      <c r="L126" s="39" t="n">
        <f aca="false">MIN(N('My Debts'!$E$6),B126)</f>
        <v>0</v>
      </c>
      <c r="M126" s="39" t="n">
        <f aca="false">MIN(N('My Debts'!$E$7),C126)</f>
        <v>0</v>
      </c>
      <c r="N126" s="39" t="n">
        <f aca="false">MIN(N('My Debts'!$E$8),D126)</f>
        <v>0</v>
      </c>
      <c r="O126" s="39" t="n">
        <f aca="false">MIN(N('My Debts'!$E$9),E126)</f>
        <v>0</v>
      </c>
      <c r="P126" s="39" t="n">
        <f aca="false">MIN(N('My Debts'!$E$10),F126)</f>
        <v>0</v>
      </c>
      <c r="Q126" s="39" t="n">
        <f aca="false">MIN(N('My Debts'!$E$11),G126)</f>
        <v>0</v>
      </c>
      <c r="R126" s="39" t="n">
        <f aca="false">MIN(N('My Debts'!$E$12),H126)</f>
        <v>0</v>
      </c>
      <c r="S126" s="39" t="n">
        <f aca="false">MIN(N('My Debts'!$E$13),I126)</f>
        <v>0</v>
      </c>
      <c r="T126" s="39" t="n">
        <f aca="false">MIN(N('My Debts'!$E$14),J126)</f>
        <v>0</v>
      </c>
      <c r="U126" s="39" t="n">
        <f aca="false">MIN(N('My Debts'!$E$15),K126)</f>
        <v>0</v>
      </c>
      <c r="V126" s="39" t="n">
        <f aca="false">ROUND(B126-L126-MIN(B126-L126,MAX(0,$AF126-SUMPRODUCT(--($B$4:$K$4&lt;B$4),$B126:$K126-$L126:$U126))),2)</f>
        <v>0</v>
      </c>
      <c r="W126" s="39" t="n">
        <f aca="false">ROUND(C126-M126-MIN(C126-M126,MAX(0,$AF126-SUMPRODUCT(--($B$4:$K$4&lt;C$4),$B126:$K126-$L126:$U126))),2)</f>
        <v>0</v>
      </c>
      <c r="X126" s="39" t="n">
        <f aca="false">ROUND(D126-N126-MIN(D126-N126,MAX(0,$AF126-SUMPRODUCT(--($B$4:$K$4&lt;D$4),$B126:$K126-$L126:$U126))),2)</f>
        <v>0</v>
      </c>
      <c r="Y126" s="39" t="n">
        <f aca="false">ROUND(E126-O126-MIN(E126-O126,MAX(0,$AF126-SUMPRODUCT(--($B$4:$K$4&lt;E$4),$B126:$K126-$L126:$U126))),2)</f>
        <v>0</v>
      </c>
      <c r="Z126" s="39" t="n">
        <f aca="false">ROUND(F126-P126-MIN(F126-P126,MAX(0,$AF126-SUMPRODUCT(--($B$4:$K$4&lt;F$4),$B126:$K126-$L126:$U126))),2)</f>
        <v>0</v>
      </c>
      <c r="AA126" s="39" t="n">
        <f aca="false">ROUND(G126-Q126-MIN(G126-Q126,MAX(0,$AF126-SUMPRODUCT(--($B$4:$K$4&lt;G$4),$B126:$K126-$L126:$U126))),2)</f>
        <v>0</v>
      </c>
      <c r="AB126" s="39" t="n">
        <f aca="false">ROUND(H126-R126-MIN(H126-R126,MAX(0,$AF126-SUMPRODUCT(--($B$4:$K$4&lt;H$4),$B126:$K126-$L126:$U126))),2)</f>
        <v>0</v>
      </c>
      <c r="AC126" s="39" t="n">
        <f aca="false">ROUND(I126-S126-MIN(I126-S126,MAX(0,$AF126-SUMPRODUCT(--($B$4:$K$4&lt;I$4),$B126:$K126-$L126:$U126))),2)</f>
        <v>0</v>
      </c>
      <c r="AD126" s="39" t="n">
        <f aca="false">ROUND(J126-T126-MIN(J126-T126,MAX(0,$AF126-SUMPRODUCT(--($B$4:$K$4&lt;J$4),$B126:$K126-$L126:$U126))),2)</f>
        <v>0</v>
      </c>
      <c r="AE126" s="39" t="n">
        <f aca="false">ROUND(K126-U126-MIN(K126-U126,MAX(0,$AF126-SUMPRODUCT(--($B$4:$K$4&lt;K$4),$B126:$K126-$L126:$U126))),2)</f>
        <v>0</v>
      </c>
      <c r="AF126" s="39" t="n">
        <f aca="false">MAX(0,'Start Here'!$C$5-SUM($L126:$U126))</f>
        <v>1200</v>
      </c>
      <c r="AG126" s="39" t="n">
        <f aca="false">SUM(V126:AE126)</f>
        <v>0</v>
      </c>
      <c r="AH126" s="39" t="n">
        <f aca="false">SUM(B126:K126)-AG125</f>
        <v>0</v>
      </c>
    </row>
    <row r="127" customFormat="false" ht="15" hidden="false" customHeight="false" outlineLevel="0" collapsed="false">
      <c r="A127" s="40" t="n">
        <f aca="false">DATE(YEAR('Start Here'!$C$6),MONTH('Start Here'!$C$6)+120,1)</f>
        <v>49949</v>
      </c>
      <c r="B127" s="39" t="n">
        <f aca="false">ROUND(V126*(1+N('My Debts'!$D$6)/12),2)</f>
        <v>0</v>
      </c>
      <c r="C127" s="39" t="n">
        <f aca="false">ROUND(W126*(1+N('My Debts'!$D$7)/12),2)</f>
        <v>0</v>
      </c>
      <c r="D127" s="39" t="n">
        <f aca="false">ROUND(X126*(1+N('My Debts'!$D$8)/12),2)</f>
        <v>0</v>
      </c>
      <c r="E127" s="39" t="n">
        <f aca="false">ROUND(Y126*(1+N('My Debts'!$D$9)/12),2)</f>
        <v>0</v>
      </c>
      <c r="F127" s="39" t="n">
        <f aca="false">ROUND(Z126*(1+N('My Debts'!$D$10)/12),2)</f>
        <v>0</v>
      </c>
      <c r="G127" s="39" t="n">
        <f aca="false">ROUND(AA126*(1+N('My Debts'!$D$11)/12),2)</f>
        <v>0</v>
      </c>
      <c r="H127" s="39" t="n">
        <f aca="false">ROUND(AB126*(1+N('My Debts'!$D$12)/12),2)</f>
        <v>0</v>
      </c>
      <c r="I127" s="39" t="n">
        <f aca="false">ROUND(AC126*(1+N('My Debts'!$D$13)/12),2)</f>
        <v>0</v>
      </c>
      <c r="J127" s="39" t="n">
        <f aca="false">ROUND(AD126*(1+N('My Debts'!$D$14)/12),2)</f>
        <v>0</v>
      </c>
      <c r="K127" s="39" t="n">
        <f aca="false">ROUND(AE126*(1+N('My Debts'!$D$15)/12),2)</f>
        <v>0</v>
      </c>
      <c r="L127" s="39" t="n">
        <f aca="false">MIN(N('My Debts'!$E$6),B127)</f>
        <v>0</v>
      </c>
      <c r="M127" s="39" t="n">
        <f aca="false">MIN(N('My Debts'!$E$7),C127)</f>
        <v>0</v>
      </c>
      <c r="N127" s="39" t="n">
        <f aca="false">MIN(N('My Debts'!$E$8),D127)</f>
        <v>0</v>
      </c>
      <c r="O127" s="39" t="n">
        <f aca="false">MIN(N('My Debts'!$E$9),E127)</f>
        <v>0</v>
      </c>
      <c r="P127" s="39" t="n">
        <f aca="false">MIN(N('My Debts'!$E$10),F127)</f>
        <v>0</v>
      </c>
      <c r="Q127" s="39" t="n">
        <f aca="false">MIN(N('My Debts'!$E$11),G127)</f>
        <v>0</v>
      </c>
      <c r="R127" s="39" t="n">
        <f aca="false">MIN(N('My Debts'!$E$12),H127)</f>
        <v>0</v>
      </c>
      <c r="S127" s="39" t="n">
        <f aca="false">MIN(N('My Debts'!$E$13),I127)</f>
        <v>0</v>
      </c>
      <c r="T127" s="39" t="n">
        <f aca="false">MIN(N('My Debts'!$E$14),J127)</f>
        <v>0</v>
      </c>
      <c r="U127" s="39" t="n">
        <f aca="false">MIN(N('My Debts'!$E$15),K127)</f>
        <v>0</v>
      </c>
      <c r="V127" s="39" t="n">
        <f aca="false">ROUND(B127-L127-MIN(B127-L127,MAX(0,$AF127-SUMPRODUCT(--($B$4:$K$4&lt;B$4),$B127:$K127-$L127:$U127))),2)</f>
        <v>0</v>
      </c>
      <c r="W127" s="39" t="n">
        <f aca="false">ROUND(C127-M127-MIN(C127-M127,MAX(0,$AF127-SUMPRODUCT(--($B$4:$K$4&lt;C$4),$B127:$K127-$L127:$U127))),2)</f>
        <v>0</v>
      </c>
      <c r="X127" s="39" t="n">
        <f aca="false">ROUND(D127-N127-MIN(D127-N127,MAX(0,$AF127-SUMPRODUCT(--($B$4:$K$4&lt;D$4),$B127:$K127-$L127:$U127))),2)</f>
        <v>0</v>
      </c>
      <c r="Y127" s="39" t="n">
        <f aca="false">ROUND(E127-O127-MIN(E127-O127,MAX(0,$AF127-SUMPRODUCT(--($B$4:$K$4&lt;E$4),$B127:$K127-$L127:$U127))),2)</f>
        <v>0</v>
      </c>
      <c r="Z127" s="39" t="n">
        <f aca="false">ROUND(F127-P127-MIN(F127-P127,MAX(0,$AF127-SUMPRODUCT(--($B$4:$K$4&lt;F$4),$B127:$K127-$L127:$U127))),2)</f>
        <v>0</v>
      </c>
      <c r="AA127" s="39" t="n">
        <f aca="false">ROUND(G127-Q127-MIN(G127-Q127,MAX(0,$AF127-SUMPRODUCT(--($B$4:$K$4&lt;G$4),$B127:$K127-$L127:$U127))),2)</f>
        <v>0</v>
      </c>
      <c r="AB127" s="39" t="n">
        <f aca="false">ROUND(H127-R127-MIN(H127-R127,MAX(0,$AF127-SUMPRODUCT(--($B$4:$K$4&lt;H$4),$B127:$K127-$L127:$U127))),2)</f>
        <v>0</v>
      </c>
      <c r="AC127" s="39" t="n">
        <f aca="false">ROUND(I127-S127-MIN(I127-S127,MAX(0,$AF127-SUMPRODUCT(--($B$4:$K$4&lt;I$4),$B127:$K127-$L127:$U127))),2)</f>
        <v>0</v>
      </c>
      <c r="AD127" s="39" t="n">
        <f aca="false">ROUND(J127-T127-MIN(J127-T127,MAX(0,$AF127-SUMPRODUCT(--($B$4:$K$4&lt;J$4),$B127:$K127-$L127:$U127))),2)</f>
        <v>0</v>
      </c>
      <c r="AE127" s="39" t="n">
        <f aca="false">ROUND(K127-U127-MIN(K127-U127,MAX(0,$AF127-SUMPRODUCT(--($B$4:$K$4&lt;K$4),$B127:$K127-$L127:$U127))),2)</f>
        <v>0</v>
      </c>
      <c r="AF127" s="39" t="n">
        <f aca="false">MAX(0,'Start Here'!$C$5-SUM($L127:$U127))</f>
        <v>1200</v>
      </c>
      <c r="AG127" s="39" t="n">
        <f aca="false">SUM(V127:AE127)</f>
        <v>0</v>
      </c>
      <c r="AH127" s="39" t="n">
        <f aca="false">SUM(B127:K127)-AG126</f>
        <v>0</v>
      </c>
    </row>
    <row r="128" customFormat="false" ht="15" hidden="false" customHeight="false" outlineLevel="0" collapsed="false">
      <c r="A128" s="40" t="n">
        <f aca="false">DATE(YEAR('Start Here'!$C$6),MONTH('Start Here'!$C$6)+121,1)</f>
        <v>49980</v>
      </c>
      <c r="B128" s="39" t="n">
        <f aca="false">ROUND(V127*(1+N('My Debts'!$D$6)/12),2)</f>
        <v>0</v>
      </c>
      <c r="C128" s="39" t="n">
        <f aca="false">ROUND(W127*(1+N('My Debts'!$D$7)/12),2)</f>
        <v>0</v>
      </c>
      <c r="D128" s="39" t="n">
        <f aca="false">ROUND(X127*(1+N('My Debts'!$D$8)/12),2)</f>
        <v>0</v>
      </c>
      <c r="E128" s="39" t="n">
        <f aca="false">ROUND(Y127*(1+N('My Debts'!$D$9)/12),2)</f>
        <v>0</v>
      </c>
      <c r="F128" s="39" t="n">
        <f aca="false">ROUND(Z127*(1+N('My Debts'!$D$10)/12),2)</f>
        <v>0</v>
      </c>
      <c r="G128" s="39" t="n">
        <f aca="false">ROUND(AA127*(1+N('My Debts'!$D$11)/12),2)</f>
        <v>0</v>
      </c>
      <c r="H128" s="39" t="n">
        <f aca="false">ROUND(AB127*(1+N('My Debts'!$D$12)/12),2)</f>
        <v>0</v>
      </c>
      <c r="I128" s="39" t="n">
        <f aca="false">ROUND(AC127*(1+N('My Debts'!$D$13)/12),2)</f>
        <v>0</v>
      </c>
      <c r="J128" s="39" t="n">
        <f aca="false">ROUND(AD127*(1+N('My Debts'!$D$14)/12),2)</f>
        <v>0</v>
      </c>
      <c r="K128" s="39" t="n">
        <f aca="false">ROUND(AE127*(1+N('My Debts'!$D$15)/12),2)</f>
        <v>0</v>
      </c>
      <c r="L128" s="39" t="n">
        <f aca="false">MIN(N('My Debts'!$E$6),B128)</f>
        <v>0</v>
      </c>
      <c r="M128" s="39" t="n">
        <f aca="false">MIN(N('My Debts'!$E$7),C128)</f>
        <v>0</v>
      </c>
      <c r="N128" s="39" t="n">
        <f aca="false">MIN(N('My Debts'!$E$8),D128)</f>
        <v>0</v>
      </c>
      <c r="O128" s="39" t="n">
        <f aca="false">MIN(N('My Debts'!$E$9),E128)</f>
        <v>0</v>
      </c>
      <c r="P128" s="39" t="n">
        <f aca="false">MIN(N('My Debts'!$E$10),F128)</f>
        <v>0</v>
      </c>
      <c r="Q128" s="39" t="n">
        <f aca="false">MIN(N('My Debts'!$E$11),G128)</f>
        <v>0</v>
      </c>
      <c r="R128" s="39" t="n">
        <f aca="false">MIN(N('My Debts'!$E$12),H128)</f>
        <v>0</v>
      </c>
      <c r="S128" s="39" t="n">
        <f aca="false">MIN(N('My Debts'!$E$13),I128)</f>
        <v>0</v>
      </c>
      <c r="T128" s="39" t="n">
        <f aca="false">MIN(N('My Debts'!$E$14),J128)</f>
        <v>0</v>
      </c>
      <c r="U128" s="39" t="n">
        <f aca="false">MIN(N('My Debts'!$E$15),K128)</f>
        <v>0</v>
      </c>
      <c r="V128" s="39" t="n">
        <f aca="false">ROUND(B128-L128-MIN(B128-L128,MAX(0,$AF128-SUMPRODUCT(--($B$4:$K$4&lt;B$4),$B128:$K128-$L128:$U128))),2)</f>
        <v>0</v>
      </c>
      <c r="W128" s="39" t="n">
        <f aca="false">ROUND(C128-M128-MIN(C128-M128,MAX(0,$AF128-SUMPRODUCT(--($B$4:$K$4&lt;C$4),$B128:$K128-$L128:$U128))),2)</f>
        <v>0</v>
      </c>
      <c r="X128" s="39" t="n">
        <f aca="false">ROUND(D128-N128-MIN(D128-N128,MAX(0,$AF128-SUMPRODUCT(--($B$4:$K$4&lt;D$4),$B128:$K128-$L128:$U128))),2)</f>
        <v>0</v>
      </c>
      <c r="Y128" s="39" t="n">
        <f aca="false">ROUND(E128-O128-MIN(E128-O128,MAX(0,$AF128-SUMPRODUCT(--($B$4:$K$4&lt;E$4),$B128:$K128-$L128:$U128))),2)</f>
        <v>0</v>
      </c>
      <c r="Z128" s="39" t="n">
        <f aca="false">ROUND(F128-P128-MIN(F128-P128,MAX(0,$AF128-SUMPRODUCT(--($B$4:$K$4&lt;F$4),$B128:$K128-$L128:$U128))),2)</f>
        <v>0</v>
      </c>
      <c r="AA128" s="39" t="n">
        <f aca="false">ROUND(G128-Q128-MIN(G128-Q128,MAX(0,$AF128-SUMPRODUCT(--($B$4:$K$4&lt;G$4),$B128:$K128-$L128:$U128))),2)</f>
        <v>0</v>
      </c>
      <c r="AB128" s="39" t="n">
        <f aca="false">ROUND(H128-R128-MIN(H128-R128,MAX(0,$AF128-SUMPRODUCT(--($B$4:$K$4&lt;H$4),$B128:$K128-$L128:$U128))),2)</f>
        <v>0</v>
      </c>
      <c r="AC128" s="39" t="n">
        <f aca="false">ROUND(I128-S128-MIN(I128-S128,MAX(0,$AF128-SUMPRODUCT(--($B$4:$K$4&lt;I$4),$B128:$K128-$L128:$U128))),2)</f>
        <v>0</v>
      </c>
      <c r="AD128" s="39" t="n">
        <f aca="false">ROUND(J128-T128-MIN(J128-T128,MAX(0,$AF128-SUMPRODUCT(--($B$4:$K$4&lt;J$4),$B128:$K128-$L128:$U128))),2)</f>
        <v>0</v>
      </c>
      <c r="AE128" s="39" t="n">
        <f aca="false">ROUND(K128-U128-MIN(K128-U128,MAX(0,$AF128-SUMPRODUCT(--($B$4:$K$4&lt;K$4),$B128:$K128-$L128:$U128))),2)</f>
        <v>0</v>
      </c>
      <c r="AF128" s="39" t="n">
        <f aca="false">MAX(0,'Start Here'!$C$5-SUM($L128:$U128))</f>
        <v>1200</v>
      </c>
      <c r="AG128" s="39" t="n">
        <f aca="false">SUM(V128:AE128)</f>
        <v>0</v>
      </c>
      <c r="AH128" s="39" t="n">
        <f aca="false">SUM(B128:K128)-AG127</f>
        <v>0</v>
      </c>
    </row>
    <row r="129" customFormat="false" ht="15" hidden="false" customHeight="false" outlineLevel="0" collapsed="false">
      <c r="A129" s="40" t="n">
        <f aca="false">DATE(YEAR('Start Here'!$C$6),MONTH('Start Here'!$C$6)+122,1)</f>
        <v>50010</v>
      </c>
      <c r="B129" s="39" t="n">
        <f aca="false">ROUND(V128*(1+N('My Debts'!$D$6)/12),2)</f>
        <v>0</v>
      </c>
      <c r="C129" s="39" t="n">
        <f aca="false">ROUND(W128*(1+N('My Debts'!$D$7)/12),2)</f>
        <v>0</v>
      </c>
      <c r="D129" s="39" t="n">
        <f aca="false">ROUND(X128*(1+N('My Debts'!$D$8)/12),2)</f>
        <v>0</v>
      </c>
      <c r="E129" s="39" t="n">
        <f aca="false">ROUND(Y128*(1+N('My Debts'!$D$9)/12),2)</f>
        <v>0</v>
      </c>
      <c r="F129" s="39" t="n">
        <f aca="false">ROUND(Z128*(1+N('My Debts'!$D$10)/12),2)</f>
        <v>0</v>
      </c>
      <c r="G129" s="39" t="n">
        <f aca="false">ROUND(AA128*(1+N('My Debts'!$D$11)/12),2)</f>
        <v>0</v>
      </c>
      <c r="H129" s="39" t="n">
        <f aca="false">ROUND(AB128*(1+N('My Debts'!$D$12)/12),2)</f>
        <v>0</v>
      </c>
      <c r="I129" s="39" t="n">
        <f aca="false">ROUND(AC128*(1+N('My Debts'!$D$13)/12),2)</f>
        <v>0</v>
      </c>
      <c r="J129" s="39" t="n">
        <f aca="false">ROUND(AD128*(1+N('My Debts'!$D$14)/12),2)</f>
        <v>0</v>
      </c>
      <c r="K129" s="39" t="n">
        <f aca="false">ROUND(AE128*(1+N('My Debts'!$D$15)/12),2)</f>
        <v>0</v>
      </c>
      <c r="L129" s="39" t="n">
        <f aca="false">MIN(N('My Debts'!$E$6),B129)</f>
        <v>0</v>
      </c>
      <c r="M129" s="39" t="n">
        <f aca="false">MIN(N('My Debts'!$E$7),C129)</f>
        <v>0</v>
      </c>
      <c r="N129" s="39" t="n">
        <f aca="false">MIN(N('My Debts'!$E$8),D129)</f>
        <v>0</v>
      </c>
      <c r="O129" s="39" t="n">
        <f aca="false">MIN(N('My Debts'!$E$9),E129)</f>
        <v>0</v>
      </c>
      <c r="P129" s="39" t="n">
        <f aca="false">MIN(N('My Debts'!$E$10),F129)</f>
        <v>0</v>
      </c>
      <c r="Q129" s="39" t="n">
        <f aca="false">MIN(N('My Debts'!$E$11),G129)</f>
        <v>0</v>
      </c>
      <c r="R129" s="39" t="n">
        <f aca="false">MIN(N('My Debts'!$E$12),H129)</f>
        <v>0</v>
      </c>
      <c r="S129" s="39" t="n">
        <f aca="false">MIN(N('My Debts'!$E$13),I129)</f>
        <v>0</v>
      </c>
      <c r="T129" s="39" t="n">
        <f aca="false">MIN(N('My Debts'!$E$14),J129)</f>
        <v>0</v>
      </c>
      <c r="U129" s="39" t="n">
        <f aca="false">MIN(N('My Debts'!$E$15),K129)</f>
        <v>0</v>
      </c>
      <c r="V129" s="39" t="n">
        <f aca="false">ROUND(B129-L129-MIN(B129-L129,MAX(0,$AF129-SUMPRODUCT(--($B$4:$K$4&lt;B$4),$B129:$K129-$L129:$U129))),2)</f>
        <v>0</v>
      </c>
      <c r="W129" s="39" t="n">
        <f aca="false">ROUND(C129-M129-MIN(C129-M129,MAX(0,$AF129-SUMPRODUCT(--($B$4:$K$4&lt;C$4),$B129:$K129-$L129:$U129))),2)</f>
        <v>0</v>
      </c>
      <c r="X129" s="39" t="n">
        <f aca="false">ROUND(D129-N129-MIN(D129-N129,MAX(0,$AF129-SUMPRODUCT(--($B$4:$K$4&lt;D$4),$B129:$K129-$L129:$U129))),2)</f>
        <v>0</v>
      </c>
      <c r="Y129" s="39" t="n">
        <f aca="false">ROUND(E129-O129-MIN(E129-O129,MAX(0,$AF129-SUMPRODUCT(--($B$4:$K$4&lt;E$4),$B129:$K129-$L129:$U129))),2)</f>
        <v>0</v>
      </c>
      <c r="Z129" s="39" t="n">
        <f aca="false">ROUND(F129-P129-MIN(F129-P129,MAX(0,$AF129-SUMPRODUCT(--($B$4:$K$4&lt;F$4),$B129:$K129-$L129:$U129))),2)</f>
        <v>0</v>
      </c>
      <c r="AA129" s="39" t="n">
        <f aca="false">ROUND(G129-Q129-MIN(G129-Q129,MAX(0,$AF129-SUMPRODUCT(--($B$4:$K$4&lt;G$4),$B129:$K129-$L129:$U129))),2)</f>
        <v>0</v>
      </c>
      <c r="AB129" s="39" t="n">
        <f aca="false">ROUND(H129-R129-MIN(H129-R129,MAX(0,$AF129-SUMPRODUCT(--($B$4:$K$4&lt;H$4),$B129:$K129-$L129:$U129))),2)</f>
        <v>0</v>
      </c>
      <c r="AC129" s="39" t="n">
        <f aca="false">ROUND(I129-S129-MIN(I129-S129,MAX(0,$AF129-SUMPRODUCT(--($B$4:$K$4&lt;I$4),$B129:$K129-$L129:$U129))),2)</f>
        <v>0</v>
      </c>
      <c r="AD129" s="39" t="n">
        <f aca="false">ROUND(J129-T129-MIN(J129-T129,MAX(0,$AF129-SUMPRODUCT(--($B$4:$K$4&lt;J$4),$B129:$K129-$L129:$U129))),2)</f>
        <v>0</v>
      </c>
      <c r="AE129" s="39" t="n">
        <f aca="false">ROUND(K129-U129-MIN(K129-U129,MAX(0,$AF129-SUMPRODUCT(--($B$4:$K$4&lt;K$4),$B129:$K129-$L129:$U129))),2)</f>
        <v>0</v>
      </c>
      <c r="AF129" s="39" t="n">
        <f aca="false">MAX(0,'Start Here'!$C$5-SUM($L129:$U129))</f>
        <v>1200</v>
      </c>
      <c r="AG129" s="39" t="n">
        <f aca="false">SUM(V129:AE129)</f>
        <v>0</v>
      </c>
      <c r="AH129" s="39" t="n">
        <f aca="false">SUM(B129:K129)-AG128</f>
        <v>0</v>
      </c>
    </row>
    <row r="130" customFormat="false" ht="15" hidden="false" customHeight="false" outlineLevel="0" collapsed="false">
      <c r="A130" s="40" t="n">
        <f aca="false">DATE(YEAR('Start Here'!$C$6),MONTH('Start Here'!$C$6)+123,1)</f>
        <v>50041</v>
      </c>
      <c r="B130" s="39" t="n">
        <f aca="false">ROUND(V129*(1+N('My Debts'!$D$6)/12),2)</f>
        <v>0</v>
      </c>
      <c r="C130" s="39" t="n">
        <f aca="false">ROUND(W129*(1+N('My Debts'!$D$7)/12),2)</f>
        <v>0</v>
      </c>
      <c r="D130" s="39" t="n">
        <f aca="false">ROUND(X129*(1+N('My Debts'!$D$8)/12),2)</f>
        <v>0</v>
      </c>
      <c r="E130" s="39" t="n">
        <f aca="false">ROUND(Y129*(1+N('My Debts'!$D$9)/12),2)</f>
        <v>0</v>
      </c>
      <c r="F130" s="39" t="n">
        <f aca="false">ROUND(Z129*(1+N('My Debts'!$D$10)/12),2)</f>
        <v>0</v>
      </c>
      <c r="G130" s="39" t="n">
        <f aca="false">ROUND(AA129*(1+N('My Debts'!$D$11)/12),2)</f>
        <v>0</v>
      </c>
      <c r="H130" s="39" t="n">
        <f aca="false">ROUND(AB129*(1+N('My Debts'!$D$12)/12),2)</f>
        <v>0</v>
      </c>
      <c r="I130" s="39" t="n">
        <f aca="false">ROUND(AC129*(1+N('My Debts'!$D$13)/12),2)</f>
        <v>0</v>
      </c>
      <c r="J130" s="39" t="n">
        <f aca="false">ROUND(AD129*(1+N('My Debts'!$D$14)/12),2)</f>
        <v>0</v>
      </c>
      <c r="K130" s="39" t="n">
        <f aca="false">ROUND(AE129*(1+N('My Debts'!$D$15)/12),2)</f>
        <v>0</v>
      </c>
      <c r="L130" s="39" t="n">
        <f aca="false">MIN(N('My Debts'!$E$6),B130)</f>
        <v>0</v>
      </c>
      <c r="M130" s="39" t="n">
        <f aca="false">MIN(N('My Debts'!$E$7),C130)</f>
        <v>0</v>
      </c>
      <c r="N130" s="39" t="n">
        <f aca="false">MIN(N('My Debts'!$E$8),D130)</f>
        <v>0</v>
      </c>
      <c r="O130" s="39" t="n">
        <f aca="false">MIN(N('My Debts'!$E$9),E130)</f>
        <v>0</v>
      </c>
      <c r="P130" s="39" t="n">
        <f aca="false">MIN(N('My Debts'!$E$10),F130)</f>
        <v>0</v>
      </c>
      <c r="Q130" s="39" t="n">
        <f aca="false">MIN(N('My Debts'!$E$11),G130)</f>
        <v>0</v>
      </c>
      <c r="R130" s="39" t="n">
        <f aca="false">MIN(N('My Debts'!$E$12),H130)</f>
        <v>0</v>
      </c>
      <c r="S130" s="39" t="n">
        <f aca="false">MIN(N('My Debts'!$E$13),I130)</f>
        <v>0</v>
      </c>
      <c r="T130" s="39" t="n">
        <f aca="false">MIN(N('My Debts'!$E$14),J130)</f>
        <v>0</v>
      </c>
      <c r="U130" s="39" t="n">
        <f aca="false">MIN(N('My Debts'!$E$15),K130)</f>
        <v>0</v>
      </c>
      <c r="V130" s="39" t="n">
        <f aca="false">ROUND(B130-L130-MIN(B130-L130,MAX(0,$AF130-SUMPRODUCT(--($B$4:$K$4&lt;B$4),$B130:$K130-$L130:$U130))),2)</f>
        <v>0</v>
      </c>
      <c r="W130" s="39" t="n">
        <f aca="false">ROUND(C130-M130-MIN(C130-M130,MAX(0,$AF130-SUMPRODUCT(--($B$4:$K$4&lt;C$4),$B130:$K130-$L130:$U130))),2)</f>
        <v>0</v>
      </c>
      <c r="X130" s="39" t="n">
        <f aca="false">ROUND(D130-N130-MIN(D130-N130,MAX(0,$AF130-SUMPRODUCT(--($B$4:$K$4&lt;D$4),$B130:$K130-$L130:$U130))),2)</f>
        <v>0</v>
      </c>
      <c r="Y130" s="39" t="n">
        <f aca="false">ROUND(E130-O130-MIN(E130-O130,MAX(0,$AF130-SUMPRODUCT(--($B$4:$K$4&lt;E$4),$B130:$K130-$L130:$U130))),2)</f>
        <v>0</v>
      </c>
      <c r="Z130" s="39" t="n">
        <f aca="false">ROUND(F130-P130-MIN(F130-P130,MAX(0,$AF130-SUMPRODUCT(--($B$4:$K$4&lt;F$4),$B130:$K130-$L130:$U130))),2)</f>
        <v>0</v>
      </c>
      <c r="AA130" s="39" t="n">
        <f aca="false">ROUND(G130-Q130-MIN(G130-Q130,MAX(0,$AF130-SUMPRODUCT(--($B$4:$K$4&lt;G$4),$B130:$K130-$L130:$U130))),2)</f>
        <v>0</v>
      </c>
      <c r="AB130" s="39" t="n">
        <f aca="false">ROUND(H130-R130-MIN(H130-R130,MAX(0,$AF130-SUMPRODUCT(--($B$4:$K$4&lt;H$4),$B130:$K130-$L130:$U130))),2)</f>
        <v>0</v>
      </c>
      <c r="AC130" s="39" t="n">
        <f aca="false">ROUND(I130-S130-MIN(I130-S130,MAX(0,$AF130-SUMPRODUCT(--($B$4:$K$4&lt;I$4),$B130:$K130-$L130:$U130))),2)</f>
        <v>0</v>
      </c>
      <c r="AD130" s="39" t="n">
        <f aca="false">ROUND(J130-T130-MIN(J130-T130,MAX(0,$AF130-SUMPRODUCT(--($B$4:$K$4&lt;J$4),$B130:$K130-$L130:$U130))),2)</f>
        <v>0</v>
      </c>
      <c r="AE130" s="39" t="n">
        <f aca="false">ROUND(K130-U130-MIN(K130-U130,MAX(0,$AF130-SUMPRODUCT(--($B$4:$K$4&lt;K$4),$B130:$K130-$L130:$U130))),2)</f>
        <v>0</v>
      </c>
      <c r="AF130" s="39" t="n">
        <f aca="false">MAX(0,'Start Here'!$C$5-SUM($L130:$U130))</f>
        <v>1200</v>
      </c>
      <c r="AG130" s="39" t="n">
        <f aca="false">SUM(V130:AE130)</f>
        <v>0</v>
      </c>
      <c r="AH130" s="39" t="n">
        <f aca="false">SUM(B130:K130)-AG129</f>
        <v>0</v>
      </c>
    </row>
    <row r="131" customFormat="false" ht="15" hidden="false" customHeight="false" outlineLevel="0" collapsed="false">
      <c r="A131" s="40" t="n">
        <f aca="false">DATE(YEAR('Start Here'!$C$6),MONTH('Start Here'!$C$6)+124,1)</f>
        <v>50072</v>
      </c>
      <c r="B131" s="39" t="n">
        <f aca="false">ROUND(V130*(1+N('My Debts'!$D$6)/12),2)</f>
        <v>0</v>
      </c>
      <c r="C131" s="39" t="n">
        <f aca="false">ROUND(W130*(1+N('My Debts'!$D$7)/12),2)</f>
        <v>0</v>
      </c>
      <c r="D131" s="39" t="n">
        <f aca="false">ROUND(X130*(1+N('My Debts'!$D$8)/12),2)</f>
        <v>0</v>
      </c>
      <c r="E131" s="39" t="n">
        <f aca="false">ROUND(Y130*(1+N('My Debts'!$D$9)/12),2)</f>
        <v>0</v>
      </c>
      <c r="F131" s="39" t="n">
        <f aca="false">ROUND(Z130*(1+N('My Debts'!$D$10)/12),2)</f>
        <v>0</v>
      </c>
      <c r="G131" s="39" t="n">
        <f aca="false">ROUND(AA130*(1+N('My Debts'!$D$11)/12),2)</f>
        <v>0</v>
      </c>
      <c r="H131" s="39" t="n">
        <f aca="false">ROUND(AB130*(1+N('My Debts'!$D$12)/12),2)</f>
        <v>0</v>
      </c>
      <c r="I131" s="39" t="n">
        <f aca="false">ROUND(AC130*(1+N('My Debts'!$D$13)/12),2)</f>
        <v>0</v>
      </c>
      <c r="J131" s="39" t="n">
        <f aca="false">ROUND(AD130*(1+N('My Debts'!$D$14)/12),2)</f>
        <v>0</v>
      </c>
      <c r="K131" s="39" t="n">
        <f aca="false">ROUND(AE130*(1+N('My Debts'!$D$15)/12),2)</f>
        <v>0</v>
      </c>
      <c r="L131" s="39" t="n">
        <f aca="false">MIN(N('My Debts'!$E$6),B131)</f>
        <v>0</v>
      </c>
      <c r="M131" s="39" t="n">
        <f aca="false">MIN(N('My Debts'!$E$7),C131)</f>
        <v>0</v>
      </c>
      <c r="N131" s="39" t="n">
        <f aca="false">MIN(N('My Debts'!$E$8),D131)</f>
        <v>0</v>
      </c>
      <c r="O131" s="39" t="n">
        <f aca="false">MIN(N('My Debts'!$E$9),E131)</f>
        <v>0</v>
      </c>
      <c r="P131" s="39" t="n">
        <f aca="false">MIN(N('My Debts'!$E$10),F131)</f>
        <v>0</v>
      </c>
      <c r="Q131" s="39" t="n">
        <f aca="false">MIN(N('My Debts'!$E$11),G131)</f>
        <v>0</v>
      </c>
      <c r="R131" s="39" t="n">
        <f aca="false">MIN(N('My Debts'!$E$12),H131)</f>
        <v>0</v>
      </c>
      <c r="S131" s="39" t="n">
        <f aca="false">MIN(N('My Debts'!$E$13),I131)</f>
        <v>0</v>
      </c>
      <c r="T131" s="39" t="n">
        <f aca="false">MIN(N('My Debts'!$E$14),J131)</f>
        <v>0</v>
      </c>
      <c r="U131" s="39" t="n">
        <f aca="false">MIN(N('My Debts'!$E$15),K131)</f>
        <v>0</v>
      </c>
      <c r="V131" s="39" t="n">
        <f aca="false">ROUND(B131-L131-MIN(B131-L131,MAX(0,$AF131-SUMPRODUCT(--($B$4:$K$4&lt;B$4),$B131:$K131-$L131:$U131))),2)</f>
        <v>0</v>
      </c>
      <c r="W131" s="39" t="n">
        <f aca="false">ROUND(C131-M131-MIN(C131-M131,MAX(0,$AF131-SUMPRODUCT(--($B$4:$K$4&lt;C$4),$B131:$K131-$L131:$U131))),2)</f>
        <v>0</v>
      </c>
      <c r="X131" s="39" t="n">
        <f aca="false">ROUND(D131-N131-MIN(D131-N131,MAX(0,$AF131-SUMPRODUCT(--($B$4:$K$4&lt;D$4),$B131:$K131-$L131:$U131))),2)</f>
        <v>0</v>
      </c>
      <c r="Y131" s="39" t="n">
        <f aca="false">ROUND(E131-O131-MIN(E131-O131,MAX(0,$AF131-SUMPRODUCT(--($B$4:$K$4&lt;E$4),$B131:$K131-$L131:$U131))),2)</f>
        <v>0</v>
      </c>
      <c r="Z131" s="39" t="n">
        <f aca="false">ROUND(F131-P131-MIN(F131-P131,MAX(0,$AF131-SUMPRODUCT(--($B$4:$K$4&lt;F$4),$B131:$K131-$L131:$U131))),2)</f>
        <v>0</v>
      </c>
      <c r="AA131" s="39" t="n">
        <f aca="false">ROUND(G131-Q131-MIN(G131-Q131,MAX(0,$AF131-SUMPRODUCT(--($B$4:$K$4&lt;G$4),$B131:$K131-$L131:$U131))),2)</f>
        <v>0</v>
      </c>
      <c r="AB131" s="39" t="n">
        <f aca="false">ROUND(H131-R131-MIN(H131-R131,MAX(0,$AF131-SUMPRODUCT(--($B$4:$K$4&lt;H$4),$B131:$K131-$L131:$U131))),2)</f>
        <v>0</v>
      </c>
      <c r="AC131" s="39" t="n">
        <f aca="false">ROUND(I131-S131-MIN(I131-S131,MAX(0,$AF131-SUMPRODUCT(--($B$4:$K$4&lt;I$4),$B131:$K131-$L131:$U131))),2)</f>
        <v>0</v>
      </c>
      <c r="AD131" s="39" t="n">
        <f aca="false">ROUND(J131-T131-MIN(J131-T131,MAX(0,$AF131-SUMPRODUCT(--($B$4:$K$4&lt;J$4),$B131:$K131-$L131:$U131))),2)</f>
        <v>0</v>
      </c>
      <c r="AE131" s="39" t="n">
        <f aca="false">ROUND(K131-U131-MIN(K131-U131,MAX(0,$AF131-SUMPRODUCT(--($B$4:$K$4&lt;K$4),$B131:$K131-$L131:$U131))),2)</f>
        <v>0</v>
      </c>
      <c r="AF131" s="39" t="n">
        <f aca="false">MAX(0,'Start Here'!$C$5-SUM($L131:$U131))</f>
        <v>1200</v>
      </c>
      <c r="AG131" s="39" t="n">
        <f aca="false">SUM(V131:AE131)</f>
        <v>0</v>
      </c>
      <c r="AH131" s="39" t="n">
        <f aca="false">SUM(B131:K131)-AG130</f>
        <v>0</v>
      </c>
    </row>
    <row r="132" customFormat="false" ht="15" hidden="false" customHeight="false" outlineLevel="0" collapsed="false">
      <c r="A132" s="40" t="n">
        <f aca="false">DATE(YEAR('Start Here'!$C$6),MONTH('Start Here'!$C$6)+125,1)</f>
        <v>50100</v>
      </c>
      <c r="B132" s="39" t="n">
        <f aca="false">ROUND(V131*(1+N('My Debts'!$D$6)/12),2)</f>
        <v>0</v>
      </c>
      <c r="C132" s="39" t="n">
        <f aca="false">ROUND(W131*(1+N('My Debts'!$D$7)/12),2)</f>
        <v>0</v>
      </c>
      <c r="D132" s="39" t="n">
        <f aca="false">ROUND(X131*(1+N('My Debts'!$D$8)/12),2)</f>
        <v>0</v>
      </c>
      <c r="E132" s="39" t="n">
        <f aca="false">ROUND(Y131*(1+N('My Debts'!$D$9)/12),2)</f>
        <v>0</v>
      </c>
      <c r="F132" s="39" t="n">
        <f aca="false">ROUND(Z131*(1+N('My Debts'!$D$10)/12),2)</f>
        <v>0</v>
      </c>
      <c r="G132" s="39" t="n">
        <f aca="false">ROUND(AA131*(1+N('My Debts'!$D$11)/12),2)</f>
        <v>0</v>
      </c>
      <c r="H132" s="39" t="n">
        <f aca="false">ROUND(AB131*(1+N('My Debts'!$D$12)/12),2)</f>
        <v>0</v>
      </c>
      <c r="I132" s="39" t="n">
        <f aca="false">ROUND(AC131*(1+N('My Debts'!$D$13)/12),2)</f>
        <v>0</v>
      </c>
      <c r="J132" s="39" t="n">
        <f aca="false">ROUND(AD131*(1+N('My Debts'!$D$14)/12),2)</f>
        <v>0</v>
      </c>
      <c r="K132" s="39" t="n">
        <f aca="false">ROUND(AE131*(1+N('My Debts'!$D$15)/12),2)</f>
        <v>0</v>
      </c>
      <c r="L132" s="39" t="n">
        <f aca="false">MIN(N('My Debts'!$E$6),B132)</f>
        <v>0</v>
      </c>
      <c r="M132" s="39" t="n">
        <f aca="false">MIN(N('My Debts'!$E$7),C132)</f>
        <v>0</v>
      </c>
      <c r="N132" s="39" t="n">
        <f aca="false">MIN(N('My Debts'!$E$8),D132)</f>
        <v>0</v>
      </c>
      <c r="O132" s="39" t="n">
        <f aca="false">MIN(N('My Debts'!$E$9),E132)</f>
        <v>0</v>
      </c>
      <c r="P132" s="39" t="n">
        <f aca="false">MIN(N('My Debts'!$E$10),F132)</f>
        <v>0</v>
      </c>
      <c r="Q132" s="39" t="n">
        <f aca="false">MIN(N('My Debts'!$E$11),G132)</f>
        <v>0</v>
      </c>
      <c r="R132" s="39" t="n">
        <f aca="false">MIN(N('My Debts'!$E$12),H132)</f>
        <v>0</v>
      </c>
      <c r="S132" s="39" t="n">
        <f aca="false">MIN(N('My Debts'!$E$13),I132)</f>
        <v>0</v>
      </c>
      <c r="T132" s="39" t="n">
        <f aca="false">MIN(N('My Debts'!$E$14),J132)</f>
        <v>0</v>
      </c>
      <c r="U132" s="39" t="n">
        <f aca="false">MIN(N('My Debts'!$E$15),K132)</f>
        <v>0</v>
      </c>
      <c r="V132" s="39" t="n">
        <f aca="false">ROUND(B132-L132-MIN(B132-L132,MAX(0,$AF132-SUMPRODUCT(--($B$4:$K$4&lt;B$4),$B132:$K132-$L132:$U132))),2)</f>
        <v>0</v>
      </c>
      <c r="W132" s="39" t="n">
        <f aca="false">ROUND(C132-M132-MIN(C132-M132,MAX(0,$AF132-SUMPRODUCT(--($B$4:$K$4&lt;C$4),$B132:$K132-$L132:$U132))),2)</f>
        <v>0</v>
      </c>
      <c r="X132" s="39" t="n">
        <f aca="false">ROUND(D132-N132-MIN(D132-N132,MAX(0,$AF132-SUMPRODUCT(--($B$4:$K$4&lt;D$4),$B132:$K132-$L132:$U132))),2)</f>
        <v>0</v>
      </c>
      <c r="Y132" s="39" t="n">
        <f aca="false">ROUND(E132-O132-MIN(E132-O132,MAX(0,$AF132-SUMPRODUCT(--($B$4:$K$4&lt;E$4),$B132:$K132-$L132:$U132))),2)</f>
        <v>0</v>
      </c>
      <c r="Z132" s="39" t="n">
        <f aca="false">ROUND(F132-P132-MIN(F132-P132,MAX(0,$AF132-SUMPRODUCT(--($B$4:$K$4&lt;F$4),$B132:$K132-$L132:$U132))),2)</f>
        <v>0</v>
      </c>
      <c r="AA132" s="39" t="n">
        <f aca="false">ROUND(G132-Q132-MIN(G132-Q132,MAX(0,$AF132-SUMPRODUCT(--($B$4:$K$4&lt;G$4),$B132:$K132-$L132:$U132))),2)</f>
        <v>0</v>
      </c>
      <c r="AB132" s="39" t="n">
        <f aca="false">ROUND(H132-R132-MIN(H132-R132,MAX(0,$AF132-SUMPRODUCT(--($B$4:$K$4&lt;H$4),$B132:$K132-$L132:$U132))),2)</f>
        <v>0</v>
      </c>
      <c r="AC132" s="39" t="n">
        <f aca="false">ROUND(I132-S132-MIN(I132-S132,MAX(0,$AF132-SUMPRODUCT(--($B$4:$K$4&lt;I$4),$B132:$K132-$L132:$U132))),2)</f>
        <v>0</v>
      </c>
      <c r="AD132" s="39" t="n">
        <f aca="false">ROUND(J132-T132-MIN(J132-T132,MAX(0,$AF132-SUMPRODUCT(--($B$4:$K$4&lt;J$4),$B132:$K132-$L132:$U132))),2)</f>
        <v>0</v>
      </c>
      <c r="AE132" s="39" t="n">
        <f aca="false">ROUND(K132-U132-MIN(K132-U132,MAX(0,$AF132-SUMPRODUCT(--($B$4:$K$4&lt;K$4),$B132:$K132-$L132:$U132))),2)</f>
        <v>0</v>
      </c>
      <c r="AF132" s="39" t="n">
        <f aca="false">MAX(0,'Start Here'!$C$5-SUM($L132:$U132))</f>
        <v>1200</v>
      </c>
      <c r="AG132" s="39" t="n">
        <f aca="false">SUM(V132:AE132)</f>
        <v>0</v>
      </c>
      <c r="AH132" s="39" t="n">
        <f aca="false">SUM(B132:K132)-AG131</f>
        <v>0</v>
      </c>
    </row>
    <row r="133" customFormat="false" ht="15" hidden="false" customHeight="false" outlineLevel="0" collapsed="false">
      <c r="A133" s="40" t="n">
        <f aca="false">DATE(YEAR('Start Here'!$C$6),MONTH('Start Here'!$C$6)+126,1)</f>
        <v>50131</v>
      </c>
      <c r="B133" s="39" t="n">
        <f aca="false">ROUND(V132*(1+N('My Debts'!$D$6)/12),2)</f>
        <v>0</v>
      </c>
      <c r="C133" s="39" t="n">
        <f aca="false">ROUND(W132*(1+N('My Debts'!$D$7)/12),2)</f>
        <v>0</v>
      </c>
      <c r="D133" s="39" t="n">
        <f aca="false">ROUND(X132*(1+N('My Debts'!$D$8)/12),2)</f>
        <v>0</v>
      </c>
      <c r="E133" s="39" t="n">
        <f aca="false">ROUND(Y132*(1+N('My Debts'!$D$9)/12),2)</f>
        <v>0</v>
      </c>
      <c r="F133" s="39" t="n">
        <f aca="false">ROUND(Z132*(1+N('My Debts'!$D$10)/12),2)</f>
        <v>0</v>
      </c>
      <c r="G133" s="39" t="n">
        <f aca="false">ROUND(AA132*(1+N('My Debts'!$D$11)/12),2)</f>
        <v>0</v>
      </c>
      <c r="H133" s="39" t="n">
        <f aca="false">ROUND(AB132*(1+N('My Debts'!$D$12)/12),2)</f>
        <v>0</v>
      </c>
      <c r="I133" s="39" t="n">
        <f aca="false">ROUND(AC132*(1+N('My Debts'!$D$13)/12),2)</f>
        <v>0</v>
      </c>
      <c r="J133" s="39" t="n">
        <f aca="false">ROUND(AD132*(1+N('My Debts'!$D$14)/12),2)</f>
        <v>0</v>
      </c>
      <c r="K133" s="39" t="n">
        <f aca="false">ROUND(AE132*(1+N('My Debts'!$D$15)/12),2)</f>
        <v>0</v>
      </c>
      <c r="L133" s="39" t="n">
        <f aca="false">MIN(N('My Debts'!$E$6),B133)</f>
        <v>0</v>
      </c>
      <c r="M133" s="39" t="n">
        <f aca="false">MIN(N('My Debts'!$E$7),C133)</f>
        <v>0</v>
      </c>
      <c r="N133" s="39" t="n">
        <f aca="false">MIN(N('My Debts'!$E$8),D133)</f>
        <v>0</v>
      </c>
      <c r="O133" s="39" t="n">
        <f aca="false">MIN(N('My Debts'!$E$9),E133)</f>
        <v>0</v>
      </c>
      <c r="P133" s="39" t="n">
        <f aca="false">MIN(N('My Debts'!$E$10),F133)</f>
        <v>0</v>
      </c>
      <c r="Q133" s="39" t="n">
        <f aca="false">MIN(N('My Debts'!$E$11),G133)</f>
        <v>0</v>
      </c>
      <c r="R133" s="39" t="n">
        <f aca="false">MIN(N('My Debts'!$E$12),H133)</f>
        <v>0</v>
      </c>
      <c r="S133" s="39" t="n">
        <f aca="false">MIN(N('My Debts'!$E$13),I133)</f>
        <v>0</v>
      </c>
      <c r="T133" s="39" t="n">
        <f aca="false">MIN(N('My Debts'!$E$14),J133)</f>
        <v>0</v>
      </c>
      <c r="U133" s="39" t="n">
        <f aca="false">MIN(N('My Debts'!$E$15),K133)</f>
        <v>0</v>
      </c>
      <c r="V133" s="39" t="n">
        <f aca="false">ROUND(B133-L133-MIN(B133-L133,MAX(0,$AF133-SUMPRODUCT(--($B$4:$K$4&lt;B$4),$B133:$K133-$L133:$U133))),2)</f>
        <v>0</v>
      </c>
      <c r="W133" s="39" t="n">
        <f aca="false">ROUND(C133-M133-MIN(C133-M133,MAX(0,$AF133-SUMPRODUCT(--($B$4:$K$4&lt;C$4),$B133:$K133-$L133:$U133))),2)</f>
        <v>0</v>
      </c>
      <c r="X133" s="39" t="n">
        <f aca="false">ROUND(D133-N133-MIN(D133-N133,MAX(0,$AF133-SUMPRODUCT(--($B$4:$K$4&lt;D$4),$B133:$K133-$L133:$U133))),2)</f>
        <v>0</v>
      </c>
      <c r="Y133" s="39" t="n">
        <f aca="false">ROUND(E133-O133-MIN(E133-O133,MAX(0,$AF133-SUMPRODUCT(--($B$4:$K$4&lt;E$4),$B133:$K133-$L133:$U133))),2)</f>
        <v>0</v>
      </c>
      <c r="Z133" s="39" t="n">
        <f aca="false">ROUND(F133-P133-MIN(F133-P133,MAX(0,$AF133-SUMPRODUCT(--($B$4:$K$4&lt;F$4),$B133:$K133-$L133:$U133))),2)</f>
        <v>0</v>
      </c>
      <c r="AA133" s="39" t="n">
        <f aca="false">ROUND(G133-Q133-MIN(G133-Q133,MAX(0,$AF133-SUMPRODUCT(--($B$4:$K$4&lt;G$4),$B133:$K133-$L133:$U133))),2)</f>
        <v>0</v>
      </c>
      <c r="AB133" s="39" t="n">
        <f aca="false">ROUND(H133-R133-MIN(H133-R133,MAX(0,$AF133-SUMPRODUCT(--($B$4:$K$4&lt;H$4),$B133:$K133-$L133:$U133))),2)</f>
        <v>0</v>
      </c>
      <c r="AC133" s="39" t="n">
        <f aca="false">ROUND(I133-S133-MIN(I133-S133,MAX(0,$AF133-SUMPRODUCT(--($B$4:$K$4&lt;I$4),$B133:$K133-$L133:$U133))),2)</f>
        <v>0</v>
      </c>
      <c r="AD133" s="39" t="n">
        <f aca="false">ROUND(J133-T133-MIN(J133-T133,MAX(0,$AF133-SUMPRODUCT(--($B$4:$K$4&lt;J$4),$B133:$K133-$L133:$U133))),2)</f>
        <v>0</v>
      </c>
      <c r="AE133" s="39" t="n">
        <f aca="false">ROUND(K133-U133-MIN(K133-U133,MAX(0,$AF133-SUMPRODUCT(--($B$4:$K$4&lt;K$4),$B133:$K133-$L133:$U133))),2)</f>
        <v>0</v>
      </c>
      <c r="AF133" s="39" t="n">
        <f aca="false">MAX(0,'Start Here'!$C$5-SUM($L133:$U133))</f>
        <v>1200</v>
      </c>
      <c r="AG133" s="39" t="n">
        <f aca="false">SUM(V133:AE133)</f>
        <v>0</v>
      </c>
      <c r="AH133" s="39" t="n">
        <f aca="false">SUM(B133:K133)-AG132</f>
        <v>0</v>
      </c>
    </row>
    <row r="134" customFormat="false" ht="15" hidden="false" customHeight="false" outlineLevel="0" collapsed="false">
      <c r="A134" s="40" t="n">
        <f aca="false">DATE(YEAR('Start Here'!$C$6),MONTH('Start Here'!$C$6)+127,1)</f>
        <v>50161</v>
      </c>
      <c r="B134" s="39" t="n">
        <f aca="false">ROUND(V133*(1+N('My Debts'!$D$6)/12),2)</f>
        <v>0</v>
      </c>
      <c r="C134" s="39" t="n">
        <f aca="false">ROUND(W133*(1+N('My Debts'!$D$7)/12),2)</f>
        <v>0</v>
      </c>
      <c r="D134" s="39" t="n">
        <f aca="false">ROUND(X133*(1+N('My Debts'!$D$8)/12),2)</f>
        <v>0</v>
      </c>
      <c r="E134" s="39" t="n">
        <f aca="false">ROUND(Y133*(1+N('My Debts'!$D$9)/12),2)</f>
        <v>0</v>
      </c>
      <c r="F134" s="39" t="n">
        <f aca="false">ROUND(Z133*(1+N('My Debts'!$D$10)/12),2)</f>
        <v>0</v>
      </c>
      <c r="G134" s="39" t="n">
        <f aca="false">ROUND(AA133*(1+N('My Debts'!$D$11)/12),2)</f>
        <v>0</v>
      </c>
      <c r="H134" s="39" t="n">
        <f aca="false">ROUND(AB133*(1+N('My Debts'!$D$12)/12),2)</f>
        <v>0</v>
      </c>
      <c r="I134" s="39" t="n">
        <f aca="false">ROUND(AC133*(1+N('My Debts'!$D$13)/12),2)</f>
        <v>0</v>
      </c>
      <c r="J134" s="39" t="n">
        <f aca="false">ROUND(AD133*(1+N('My Debts'!$D$14)/12),2)</f>
        <v>0</v>
      </c>
      <c r="K134" s="39" t="n">
        <f aca="false">ROUND(AE133*(1+N('My Debts'!$D$15)/12),2)</f>
        <v>0</v>
      </c>
      <c r="L134" s="39" t="n">
        <f aca="false">MIN(N('My Debts'!$E$6),B134)</f>
        <v>0</v>
      </c>
      <c r="M134" s="39" t="n">
        <f aca="false">MIN(N('My Debts'!$E$7),C134)</f>
        <v>0</v>
      </c>
      <c r="N134" s="39" t="n">
        <f aca="false">MIN(N('My Debts'!$E$8),D134)</f>
        <v>0</v>
      </c>
      <c r="O134" s="39" t="n">
        <f aca="false">MIN(N('My Debts'!$E$9),E134)</f>
        <v>0</v>
      </c>
      <c r="P134" s="39" t="n">
        <f aca="false">MIN(N('My Debts'!$E$10),F134)</f>
        <v>0</v>
      </c>
      <c r="Q134" s="39" t="n">
        <f aca="false">MIN(N('My Debts'!$E$11),G134)</f>
        <v>0</v>
      </c>
      <c r="R134" s="39" t="n">
        <f aca="false">MIN(N('My Debts'!$E$12),H134)</f>
        <v>0</v>
      </c>
      <c r="S134" s="39" t="n">
        <f aca="false">MIN(N('My Debts'!$E$13),I134)</f>
        <v>0</v>
      </c>
      <c r="T134" s="39" t="n">
        <f aca="false">MIN(N('My Debts'!$E$14),J134)</f>
        <v>0</v>
      </c>
      <c r="U134" s="39" t="n">
        <f aca="false">MIN(N('My Debts'!$E$15),K134)</f>
        <v>0</v>
      </c>
      <c r="V134" s="39" t="n">
        <f aca="false">ROUND(B134-L134-MIN(B134-L134,MAX(0,$AF134-SUMPRODUCT(--($B$4:$K$4&lt;B$4),$B134:$K134-$L134:$U134))),2)</f>
        <v>0</v>
      </c>
      <c r="W134" s="39" t="n">
        <f aca="false">ROUND(C134-M134-MIN(C134-M134,MAX(0,$AF134-SUMPRODUCT(--($B$4:$K$4&lt;C$4),$B134:$K134-$L134:$U134))),2)</f>
        <v>0</v>
      </c>
      <c r="X134" s="39" t="n">
        <f aca="false">ROUND(D134-N134-MIN(D134-N134,MAX(0,$AF134-SUMPRODUCT(--($B$4:$K$4&lt;D$4),$B134:$K134-$L134:$U134))),2)</f>
        <v>0</v>
      </c>
      <c r="Y134" s="39" t="n">
        <f aca="false">ROUND(E134-O134-MIN(E134-O134,MAX(0,$AF134-SUMPRODUCT(--($B$4:$K$4&lt;E$4),$B134:$K134-$L134:$U134))),2)</f>
        <v>0</v>
      </c>
      <c r="Z134" s="39" t="n">
        <f aca="false">ROUND(F134-P134-MIN(F134-P134,MAX(0,$AF134-SUMPRODUCT(--($B$4:$K$4&lt;F$4),$B134:$K134-$L134:$U134))),2)</f>
        <v>0</v>
      </c>
      <c r="AA134" s="39" t="n">
        <f aca="false">ROUND(G134-Q134-MIN(G134-Q134,MAX(0,$AF134-SUMPRODUCT(--($B$4:$K$4&lt;G$4),$B134:$K134-$L134:$U134))),2)</f>
        <v>0</v>
      </c>
      <c r="AB134" s="39" t="n">
        <f aca="false">ROUND(H134-R134-MIN(H134-R134,MAX(0,$AF134-SUMPRODUCT(--($B$4:$K$4&lt;H$4),$B134:$K134-$L134:$U134))),2)</f>
        <v>0</v>
      </c>
      <c r="AC134" s="39" t="n">
        <f aca="false">ROUND(I134-S134-MIN(I134-S134,MAX(0,$AF134-SUMPRODUCT(--($B$4:$K$4&lt;I$4),$B134:$K134-$L134:$U134))),2)</f>
        <v>0</v>
      </c>
      <c r="AD134" s="39" t="n">
        <f aca="false">ROUND(J134-T134-MIN(J134-T134,MAX(0,$AF134-SUMPRODUCT(--($B$4:$K$4&lt;J$4),$B134:$K134-$L134:$U134))),2)</f>
        <v>0</v>
      </c>
      <c r="AE134" s="39" t="n">
        <f aca="false">ROUND(K134-U134-MIN(K134-U134,MAX(0,$AF134-SUMPRODUCT(--($B$4:$K$4&lt;K$4),$B134:$K134-$L134:$U134))),2)</f>
        <v>0</v>
      </c>
      <c r="AF134" s="39" t="n">
        <f aca="false">MAX(0,'Start Here'!$C$5-SUM($L134:$U134))</f>
        <v>1200</v>
      </c>
      <c r="AG134" s="39" t="n">
        <f aca="false">SUM(V134:AE134)</f>
        <v>0</v>
      </c>
      <c r="AH134" s="39" t="n">
        <f aca="false">SUM(B134:K134)-AG133</f>
        <v>0</v>
      </c>
    </row>
    <row r="135" customFormat="false" ht="15" hidden="false" customHeight="false" outlineLevel="0" collapsed="false">
      <c r="A135" s="40" t="n">
        <f aca="false">DATE(YEAR('Start Here'!$C$6),MONTH('Start Here'!$C$6)+128,1)</f>
        <v>50192</v>
      </c>
      <c r="B135" s="39" t="n">
        <f aca="false">ROUND(V134*(1+N('My Debts'!$D$6)/12),2)</f>
        <v>0</v>
      </c>
      <c r="C135" s="39" t="n">
        <f aca="false">ROUND(W134*(1+N('My Debts'!$D$7)/12),2)</f>
        <v>0</v>
      </c>
      <c r="D135" s="39" t="n">
        <f aca="false">ROUND(X134*(1+N('My Debts'!$D$8)/12),2)</f>
        <v>0</v>
      </c>
      <c r="E135" s="39" t="n">
        <f aca="false">ROUND(Y134*(1+N('My Debts'!$D$9)/12),2)</f>
        <v>0</v>
      </c>
      <c r="F135" s="39" t="n">
        <f aca="false">ROUND(Z134*(1+N('My Debts'!$D$10)/12),2)</f>
        <v>0</v>
      </c>
      <c r="G135" s="39" t="n">
        <f aca="false">ROUND(AA134*(1+N('My Debts'!$D$11)/12),2)</f>
        <v>0</v>
      </c>
      <c r="H135" s="39" t="n">
        <f aca="false">ROUND(AB134*(1+N('My Debts'!$D$12)/12),2)</f>
        <v>0</v>
      </c>
      <c r="I135" s="39" t="n">
        <f aca="false">ROUND(AC134*(1+N('My Debts'!$D$13)/12),2)</f>
        <v>0</v>
      </c>
      <c r="J135" s="39" t="n">
        <f aca="false">ROUND(AD134*(1+N('My Debts'!$D$14)/12),2)</f>
        <v>0</v>
      </c>
      <c r="K135" s="39" t="n">
        <f aca="false">ROUND(AE134*(1+N('My Debts'!$D$15)/12),2)</f>
        <v>0</v>
      </c>
      <c r="L135" s="39" t="n">
        <f aca="false">MIN(N('My Debts'!$E$6),B135)</f>
        <v>0</v>
      </c>
      <c r="M135" s="39" t="n">
        <f aca="false">MIN(N('My Debts'!$E$7),C135)</f>
        <v>0</v>
      </c>
      <c r="N135" s="39" t="n">
        <f aca="false">MIN(N('My Debts'!$E$8),D135)</f>
        <v>0</v>
      </c>
      <c r="O135" s="39" t="n">
        <f aca="false">MIN(N('My Debts'!$E$9),E135)</f>
        <v>0</v>
      </c>
      <c r="P135" s="39" t="n">
        <f aca="false">MIN(N('My Debts'!$E$10),F135)</f>
        <v>0</v>
      </c>
      <c r="Q135" s="39" t="n">
        <f aca="false">MIN(N('My Debts'!$E$11),G135)</f>
        <v>0</v>
      </c>
      <c r="R135" s="39" t="n">
        <f aca="false">MIN(N('My Debts'!$E$12),H135)</f>
        <v>0</v>
      </c>
      <c r="S135" s="39" t="n">
        <f aca="false">MIN(N('My Debts'!$E$13),I135)</f>
        <v>0</v>
      </c>
      <c r="T135" s="39" t="n">
        <f aca="false">MIN(N('My Debts'!$E$14),J135)</f>
        <v>0</v>
      </c>
      <c r="U135" s="39" t="n">
        <f aca="false">MIN(N('My Debts'!$E$15),K135)</f>
        <v>0</v>
      </c>
      <c r="V135" s="39" t="n">
        <f aca="false">ROUND(B135-L135-MIN(B135-L135,MAX(0,$AF135-SUMPRODUCT(--($B$4:$K$4&lt;B$4),$B135:$K135-$L135:$U135))),2)</f>
        <v>0</v>
      </c>
      <c r="W135" s="39" t="n">
        <f aca="false">ROUND(C135-M135-MIN(C135-M135,MAX(0,$AF135-SUMPRODUCT(--($B$4:$K$4&lt;C$4),$B135:$K135-$L135:$U135))),2)</f>
        <v>0</v>
      </c>
      <c r="X135" s="39" t="n">
        <f aca="false">ROUND(D135-N135-MIN(D135-N135,MAX(0,$AF135-SUMPRODUCT(--($B$4:$K$4&lt;D$4),$B135:$K135-$L135:$U135))),2)</f>
        <v>0</v>
      </c>
      <c r="Y135" s="39" t="n">
        <f aca="false">ROUND(E135-O135-MIN(E135-O135,MAX(0,$AF135-SUMPRODUCT(--($B$4:$K$4&lt;E$4),$B135:$K135-$L135:$U135))),2)</f>
        <v>0</v>
      </c>
      <c r="Z135" s="39" t="n">
        <f aca="false">ROUND(F135-P135-MIN(F135-P135,MAX(0,$AF135-SUMPRODUCT(--($B$4:$K$4&lt;F$4),$B135:$K135-$L135:$U135))),2)</f>
        <v>0</v>
      </c>
      <c r="AA135" s="39" t="n">
        <f aca="false">ROUND(G135-Q135-MIN(G135-Q135,MAX(0,$AF135-SUMPRODUCT(--($B$4:$K$4&lt;G$4),$B135:$K135-$L135:$U135))),2)</f>
        <v>0</v>
      </c>
      <c r="AB135" s="39" t="n">
        <f aca="false">ROUND(H135-R135-MIN(H135-R135,MAX(0,$AF135-SUMPRODUCT(--($B$4:$K$4&lt;H$4),$B135:$K135-$L135:$U135))),2)</f>
        <v>0</v>
      </c>
      <c r="AC135" s="39" t="n">
        <f aca="false">ROUND(I135-S135-MIN(I135-S135,MAX(0,$AF135-SUMPRODUCT(--($B$4:$K$4&lt;I$4),$B135:$K135-$L135:$U135))),2)</f>
        <v>0</v>
      </c>
      <c r="AD135" s="39" t="n">
        <f aca="false">ROUND(J135-T135-MIN(J135-T135,MAX(0,$AF135-SUMPRODUCT(--($B$4:$K$4&lt;J$4),$B135:$K135-$L135:$U135))),2)</f>
        <v>0</v>
      </c>
      <c r="AE135" s="39" t="n">
        <f aca="false">ROUND(K135-U135-MIN(K135-U135,MAX(0,$AF135-SUMPRODUCT(--($B$4:$K$4&lt;K$4),$B135:$K135-$L135:$U135))),2)</f>
        <v>0</v>
      </c>
      <c r="AF135" s="39" t="n">
        <f aca="false">MAX(0,'Start Here'!$C$5-SUM($L135:$U135))</f>
        <v>1200</v>
      </c>
      <c r="AG135" s="39" t="n">
        <f aca="false">SUM(V135:AE135)</f>
        <v>0</v>
      </c>
      <c r="AH135" s="39" t="n">
        <f aca="false">SUM(B135:K135)-AG134</f>
        <v>0</v>
      </c>
    </row>
    <row r="136" customFormat="false" ht="15" hidden="false" customHeight="false" outlineLevel="0" collapsed="false">
      <c r="A136" s="40" t="n">
        <f aca="false">DATE(YEAR('Start Here'!$C$6),MONTH('Start Here'!$C$6)+129,1)</f>
        <v>50222</v>
      </c>
      <c r="B136" s="39" t="n">
        <f aca="false">ROUND(V135*(1+N('My Debts'!$D$6)/12),2)</f>
        <v>0</v>
      </c>
      <c r="C136" s="39" t="n">
        <f aca="false">ROUND(W135*(1+N('My Debts'!$D$7)/12),2)</f>
        <v>0</v>
      </c>
      <c r="D136" s="39" t="n">
        <f aca="false">ROUND(X135*(1+N('My Debts'!$D$8)/12),2)</f>
        <v>0</v>
      </c>
      <c r="E136" s="39" t="n">
        <f aca="false">ROUND(Y135*(1+N('My Debts'!$D$9)/12),2)</f>
        <v>0</v>
      </c>
      <c r="F136" s="39" t="n">
        <f aca="false">ROUND(Z135*(1+N('My Debts'!$D$10)/12),2)</f>
        <v>0</v>
      </c>
      <c r="G136" s="39" t="n">
        <f aca="false">ROUND(AA135*(1+N('My Debts'!$D$11)/12),2)</f>
        <v>0</v>
      </c>
      <c r="H136" s="39" t="n">
        <f aca="false">ROUND(AB135*(1+N('My Debts'!$D$12)/12),2)</f>
        <v>0</v>
      </c>
      <c r="I136" s="39" t="n">
        <f aca="false">ROUND(AC135*(1+N('My Debts'!$D$13)/12),2)</f>
        <v>0</v>
      </c>
      <c r="J136" s="39" t="n">
        <f aca="false">ROUND(AD135*(1+N('My Debts'!$D$14)/12),2)</f>
        <v>0</v>
      </c>
      <c r="K136" s="39" t="n">
        <f aca="false">ROUND(AE135*(1+N('My Debts'!$D$15)/12),2)</f>
        <v>0</v>
      </c>
      <c r="L136" s="39" t="n">
        <f aca="false">MIN(N('My Debts'!$E$6),B136)</f>
        <v>0</v>
      </c>
      <c r="M136" s="39" t="n">
        <f aca="false">MIN(N('My Debts'!$E$7),C136)</f>
        <v>0</v>
      </c>
      <c r="N136" s="39" t="n">
        <f aca="false">MIN(N('My Debts'!$E$8),D136)</f>
        <v>0</v>
      </c>
      <c r="O136" s="39" t="n">
        <f aca="false">MIN(N('My Debts'!$E$9),E136)</f>
        <v>0</v>
      </c>
      <c r="P136" s="39" t="n">
        <f aca="false">MIN(N('My Debts'!$E$10),F136)</f>
        <v>0</v>
      </c>
      <c r="Q136" s="39" t="n">
        <f aca="false">MIN(N('My Debts'!$E$11),G136)</f>
        <v>0</v>
      </c>
      <c r="R136" s="39" t="n">
        <f aca="false">MIN(N('My Debts'!$E$12),H136)</f>
        <v>0</v>
      </c>
      <c r="S136" s="39" t="n">
        <f aca="false">MIN(N('My Debts'!$E$13),I136)</f>
        <v>0</v>
      </c>
      <c r="T136" s="39" t="n">
        <f aca="false">MIN(N('My Debts'!$E$14),J136)</f>
        <v>0</v>
      </c>
      <c r="U136" s="39" t="n">
        <f aca="false">MIN(N('My Debts'!$E$15),K136)</f>
        <v>0</v>
      </c>
      <c r="V136" s="39" t="n">
        <f aca="false">ROUND(B136-L136-MIN(B136-L136,MAX(0,$AF136-SUMPRODUCT(--($B$4:$K$4&lt;B$4),$B136:$K136-$L136:$U136))),2)</f>
        <v>0</v>
      </c>
      <c r="W136" s="39" t="n">
        <f aca="false">ROUND(C136-M136-MIN(C136-M136,MAX(0,$AF136-SUMPRODUCT(--($B$4:$K$4&lt;C$4),$B136:$K136-$L136:$U136))),2)</f>
        <v>0</v>
      </c>
      <c r="X136" s="39" t="n">
        <f aca="false">ROUND(D136-N136-MIN(D136-N136,MAX(0,$AF136-SUMPRODUCT(--($B$4:$K$4&lt;D$4),$B136:$K136-$L136:$U136))),2)</f>
        <v>0</v>
      </c>
      <c r="Y136" s="39" t="n">
        <f aca="false">ROUND(E136-O136-MIN(E136-O136,MAX(0,$AF136-SUMPRODUCT(--($B$4:$K$4&lt;E$4),$B136:$K136-$L136:$U136))),2)</f>
        <v>0</v>
      </c>
      <c r="Z136" s="39" t="n">
        <f aca="false">ROUND(F136-P136-MIN(F136-P136,MAX(0,$AF136-SUMPRODUCT(--($B$4:$K$4&lt;F$4),$B136:$K136-$L136:$U136))),2)</f>
        <v>0</v>
      </c>
      <c r="AA136" s="39" t="n">
        <f aca="false">ROUND(G136-Q136-MIN(G136-Q136,MAX(0,$AF136-SUMPRODUCT(--($B$4:$K$4&lt;G$4),$B136:$K136-$L136:$U136))),2)</f>
        <v>0</v>
      </c>
      <c r="AB136" s="39" t="n">
        <f aca="false">ROUND(H136-R136-MIN(H136-R136,MAX(0,$AF136-SUMPRODUCT(--($B$4:$K$4&lt;H$4),$B136:$K136-$L136:$U136))),2)</f>
        <v>0</v>
      </c>
      <c r="AC136" s="39" t="n">
        <f aca="false">ROUND(I136-S136-MIN(I136-S136,MAX(0,$AF136-SUMPRODUCT(--($B$4:$K$4&lt;I$4),$B136:$K136-$L136:$U136))),2)</f>
        <v>0</v>
      </c>
      <c r="AD136" s="39" t="n">
        <f aca="false">ROUND(J136-T136-MIN(J136-T136,MAX(0,$AF136-SUMPRODUCT(--($B$4:$K$4&lt;J$4),$B136:$K136-$L136:$U136))),2)</f>
        <v>0</v>
      </c>
      <c r="AE136" s="39" t="n">
        <f aca="false">ROUND(K136-U136-MIN(K136-U136,MAX(0,$AF136-SUMPRODUCT(--($B$4:$K$4&lt;K$4),$B136:$K136-$L136:$U136))),2)</f>
        <v>0</v>
      </c>
      <c r="AF136" s="39" t="n">
        <f aca="false">MAX(0,'Start Here'!$C$5-SUM($L136:$U136))</f>
        <v>1200</v>
      </c>
      <c r="AG136" s="39" t="n">
        <f aca="false">SUM(V136:AE136)</f>
        <v>0</v>
      </c>
      <c r="AH136" s="39" t="n">
        <f aca="false">SUM(B136:K136)-AG135</f>
        <v>0</v>
      </c>
    </row>
    <row r="137" customFormat="false" ht="15" hidden="false" customHeight="false" outlineLevel="0" collapsed="false">
      <c r="A137" s="40" t="n">
        <f aca="false">DATE(YEAR('Start Here'!$C$6),MONTH('Start Here'!$C$6)+130,1)</f>
        <v>50253</v>
      </c>
      <c r="B137" s="39" t="n">
        <f aca="false">ROUND(V136*(1+N('My Debts'!$D$6)/12),2)</f>
        <v>0</v>
      </c>
      <c r="C137" s="39" t="n">
        <f aca="false">ROUND(W136*(1+N('My Debts'!$D$7)/12),2)</f>
        <v>0</v>
      </c>
      <c r="D137" s="39" t="n">
        <f aca="false">ROUND(X136*(1+N('My Debts'!$D$8)/12),2)</f>
        <v>0</v>
      </c>
      <c r="E137" s="39" t="n">
        <f aca="false">ROUND(Y136*(1+N('My Debts'!$D$9)/12),2)</f>
        <v>0</v>
      </c>
      <c r="F137" s="39" t="n">
        <f aca="false">ROUND(Z136*(1+N('My Debts'!$D$10)/12),2)</f>
        <v>0</v>
      </c>
      <c r="G137" s="39" t="n">
        <f aca="false">ROUND(AA136*(1+N('My Debts'!$D$11)/12),2)</f>
        <v>0</v>
      </c>
      <c r="H137" s="39" t="n">
        <f aca="false">ROUND(AB136*(1+N('My Debts'!$D$12)/12),2)</f>
        <v>0</v>
      </c>
      <c r="I137" s="39" t="n">
        <f aca="false">ROUND(AC136*(1+N('My Debts'!$D$13)/12),2)</f>
        <v>0</v>
      </c>
      <c r="J137" s="39" t="n">
        <f aca="false">ROUND(AD136*(1+N('My Debts'!$D$14)/12),2)</f>
        <v>0</v>
      </c>
      <c r="K137" s="39" t="n">
        <f aca="false">ROUND(AE136*(1+N('My Debts'!$D$15)/12),2)</f>
        <v>0</v>
      </c>
      <c r="L137" s="39" t="n">
        <f aca="false">MIN(N('My Debts'!$E$6),B137)</f>
        <v>0</v>
      </c>
      <c r="M137" s="39" t="n">
        <f aca="false">MIN(N('My Debts'!$E$7),C137)</f>
        <v>0</v>
      </c>
      <c r="N137" s="39" t="n">
        <f aca="false">MIN(N('My Debts'!$E$8),D137)</f>
        <v>0</v>
      </c>
      <c r="O137" s="39" t="n">
        <f aca="false">MIN(N('My Debts'!$E$9),E137)</f>
        <v>0</v>
      </c>
      <c r="P137" s="39" t="n">
        <f aca="false">MIN(N('My Debts'!$E$10),F137)</f>
        <v>0</v>
      </c>
      <c r="Q137" s="39" t="n">
        <f aca="false">MIN(N('My Debts'!$E$11),G137)</f>
        <v>0</v>
      </c>
      <c r="R137" s="39" t="n">
        <f aca="false">MIN(N('My Debts'!$E$12),H137)</f>
        <v>0</v>
      </c>
      <c r="S137" s="39" t="n">
        <f aca="false">MIN(N('My Debts'!$E$13),I137)</f>
        <v>0</v>
      </c>
      <c r="T137" s="39" t="n">
        <f aca="false">MIN(N('My Debts'!$E$14),J137)</f>
        <v>0</v>
      </c>
      <c r="U137" s="39" t="n">
        <f aca="false">MIN(N('My Debts'!$E$15),K137)</f>
        <v>0</v>
      </c>
      <c r="V137" s="39" t="n">
        <f aca="false">ROUND(B137-L137-MIN(B137-L137,MAX(0,$AF137-SUMPRODUCT(--($B$4:$K$4&lt;B$4),$B137:$K137-$L137:$U137))),2)</f>
        <v>0</v>
      </c>
      <c r="W137" s="39" t="n">
        <f aca="false">ROUND(C137-M137-MIN(C137-M137,MAX(0,$AF137-SUMPRODUCT(--($B$4:$K$4&lt;C$4),$B137:$K137-$L137:$U137))),2)</f>
        <v>0</v>
      </c>
      <c r="X137" s="39" t="n">
        <f aca="false">ROUND(D137-N137-MIN(D137-N137,MAX(0,$AF137-SUMPRODUCT(--($B$4:$K$4&lt;D$4),$B137:$K137-$L137:$U137))),2)</f>
        <v>0</v>
      </c>
      <c r="Y137" s="39" t="n">
        <f aca="false">ROUND(E137-O137-MIN(E137-O137,MAX(0,$AF137-SUMPRODUCT(--($B$4:$K$4&lt;E$4),$B137:$K137-$L137:$U137))),2)</f>
        <v>0</v>
      </c>
      <c r="Z137" s="39" t="n">
        <f aca="false">ROUND(F137-P137-MIN(F137-P137,MAX(0,$AF137-SUMPRODUCT(--($B$4:$K$4&lt;F$4),$B137:$K137-$L137:$U137))),2)</f>
        <v>0</v>
      </c>
      <c r="AA137" s="39" t="n">
        <f aca="false">ROUND(G137-Q137-MIN(G137-Q137,MAX(0,$AF137-SUMPRODUCT(--($B$4:$K$4&lt;G$4),$B137:$K137-$L137:$U137))),2)</f>
        <v>0</v>
      </c>
      <c r="AB137" s="39" t="n">
        <f aca="false">ROUND(H137-R137-MIN(H137-R137,MAX(0,$AF137-SUMPRODUCT(--($B$4:$K$4&lt;H$4),$B137:$K137-$L137:$U137))),2)</f>
        <v>0</v>
      </c>
      <c r="AC137" s="39" t="n">
        <f aca="false">ROUND(I137-S137-MIN(I137-S137,MAX(0,$AF137-SUMPRODUCT(--($B$4:$K$4&lt;I$4),$B137:$K137-$L137:$U137))),2)</f>
        <v>0</v>
      </c>
      <c r="AD137" s="39" t="n">
        <f aca="false">ROUND(J137-T137-MIN(J137-T137,MAX(0,$AF137-SUMPRODUCT(--($B$4:$K$4&lt;J$4),$B137:$K137-$L137:$U137))),2)</f>
        <v>0</v>
      </c>
      <c r="AE137" s="39" t="n">
        <f aca="false">ROUND(K137-U137-MIN(K137-U137,MAX(0,$AF137-SUMPRODUCT(--($B$4:$K$4&lt;K$4),$B137:$K137-$L137:$U137))),2)</f>
        <v>0</v>
      </c>
      <c r="AF137" s="39" t="n">
        <f aca="false">MAX(0,'Start Here'!$C$5-SUM($L137:$U137))</f>
        <v>1200</v>
      </c>
      <c r="AG137" s="39" t="n">
        <f aca="false">SUM(V137:AE137)</f>
        <v>0</v>
      </c>
      <c r="AH137" s="39" t="n">
        <f aca="false">SUM(B137:K137)-AG136</f>
        <v>0</v>
      </c>
    </row>
    <row r="138" customFormat="false" ht="15" hidden="false" customHeight="false" outlineLevel="0" collapsed="false">
      <c r="A138" s="40" t="n">
        <f aca="false">DATE(YEAR('Start Here'!$C$6),MONTH('Start Here'!$C$6)+131,1)</f>
        <v>50284</v>
      </c>
      <c r="B138" s="39" t="n">
        <f aca="false">ROUND(V137*(1+N('My Debts'!$D$6)/12),2)</f>
        <v>0</v>
      </c>
      <c r="C138" s="39" t="n">
        <f aca="false">ROUND(W137*(1+N('My Debts'!$D$7)/12),2)</f>
        <v>0</v>
      </c>
      <c r="D138" s="39" t="n">
        <f aca="false">ROUND(X137*(1+N('My Debts'!$D$8)/12),2)</f>
        <v>0</v>
      </c>
      <c r="E138" s="39" t="n">
        <f aca="false">ROUND(Y137*(1+N('My Debts'!$D$9)/12),2)</f>
        <v>0</v>
      </c>
      <c r="F138" s="39" t="n">
        <f aca="false">ROUND(Z137*(1+N('My Debts'!$D$10)/12),2)</f>
        <v>0</v>
      </c>
      <c r="G138" s="39" t="n">
        <f aca="false">ROUND(AA137*(1+N('My Debts'!$D$11)/12),2)</f>
        <v>0</v>
      </c>
      <c r="H138" s="39" t="n">
        <f aca="false">ROUND(AB137*(1+N('My Debts'!$D$12)/12),2)</f>
        <v>0</v>
      </c>
      <c r="I138" s="39" t="n">
        <f aca="false">ROUND(AC137*(1+N('My Debts'!$D$13)/12),2)</f>
        <v>0</v>
      </c>
      <c r="J138" s="39" t="n">
        <f aca="false">ROUND(AD137*(1+N('My Debts'!$D$14)/12),2)</f>
        <v>0</v>
      </c>
      <c r="K138" s="39" t="n">
        <f aca="false">ROUND(AE137*(1+N('My Debts'!$D$15)/12),2)</f>
        <v>0</v>
      </c>
      <c r="L138" s="39" t="n">
        <f aca="false">MIN(N('My Debts'!$E$6),B138)</f>
        <v>0</v>
      </c>
      <c r="M138" s="39" t="n">
        <f aca="false">MIN(N('My Debts'!$E$7),C138)</f>
        <v>0</v>
      </c>
      <c r="N138" s="39" t="n">
        <f aca="false">MIN(N('My Debts'!$E$8),D138)</f>
        <v>0</v>
      </c>
      <c r="O138" s="39" t="n">
        <f aca="false">MIN(N('My Debts'!$E$9),E138)</f>
        <v>0</v>
      </c>
      <c r="P138" s="39" t="n">
        <f aca="false">MIN(N('My Debts'!$E$10),F138)</f>
        <v>0</v>
      </c>
      <c r="Q138" s="39" t="n">
        <f aca="false">MIN(N('My Debts'!$E$11),G138)</f>
        <v>0</v>
      </c>
      <c r="R138" s="39" t="n">
        <f aca="false">MIN(N('My Debts'!$E$12),H138)</f>
        <v>0</v>
      </c>
      <c r="S138" s="39" t="n">
        <f aca="false">MIN(N('My Debts'!$E$13),I138)</f>
        <v>0</v>
      </c>
      <c r="T138" s="39" t="n">
        <f aca="false">MIN(N('My Debts'!$E$14),J138)</f>
        <v>0</v>
      </c>
      <c r="U138" s="39" t="n">
        <f aca="false">MIN(N('My Debts'!$E$15),K138)</f>
        <v>0</v>
      </c>
      <c r="V138" s="39" t="n">
        <f aca="false">ROUND(B138-L138-MIN(B138-L138,MAX(0,$AF138-SUMPRODUCT(--($B$4:$K$4&lt;B$4),$B138:$K138-$L138:$U138))),2)</f>
        <v>0</v>
      </c>
      <c r="W138" s="39" t="n">
        <f aca="false">ROUND(C138-M138-MIN(C138-M138,MAX(0,$AF138-SUMPRODUCT(--($B$4:$K$4&lt;C$4),$B138:$K138-$L138:$U138))),2)</f>
        <v>0</v>
      </c>
      <c r="X138" s="39" t="n">
        <f aca="false">ROUND(D138-N138-MIN(D138-N138,MAX(0,$AF138-SUMPRODUCT(--($B$4:$K$4&lt;D$4),$B138:$K138-$L138:$U138))),2)</f>
        <v>0</v>
      </c>
      <c r="Y138" s="39" t="n">
        <f aca="false">ROUND(E138-O138-MIN(E138-O138,MAX(0,$AF138-SUMPRODUCT(--($B$4:$K$4&lt;E$4),$B138:$K138-$L138:$U138))),2)</f>
        <v>0</v>
      </c>
      <c r="Z138" s="39" t="n">
        <f aca="false">ROUND(F138-P138-MIN(F138-P138,MAX(0,$AF138-SUMPRODUCT(--($B$4:$K$4&lt;F$4),$B138:$K138-$L138:$U138))),2)</f>
        <v>0</v>
      </c>
      <c r="AA138" s="39" t="n">
        <f aca="false">ROUND(G138-Q138-MIN(G138-Q138,MAX(0,$AF138-SUMPRODUCT(--($B$4:$K$4&lt;G$4),$B138:$K138-$L138:$U138))),2)</f>
        <v>0</v>
      </c>
      <c r="AB138" s="39" t="n">
        <f aca="false">ROUND(H138-R138-MIN(H138-R138,MAX(0,$AF138-SUMPRODUCT(--($B$4:$K$4&lt;H$4),$B138:$K138-$L138:$U138))),2)</f>
        <v>0</v>
      </c>
      <c r="AC138" s="39" t="n">
        <f aca="false">ROUND(I138-S138-MIN(I138-S138,MAX(0,$AF138-SUMPRODUCT(--($B$4:$K$4&lt;I$4),$B138:$K138-$L138:$U138))),2)</f>
        <v>0</v>
      </c>
      <c r="AD138" s="39" t="n">
        <f aca="false">ROUND(J138-T138-MIN(J138-T138,MAX(0,$AF138-SUMPRODUCT(--($B$4:$K$4&lt;J$4),$B138:$K138-$L138:$U138))),2)</f>
        <v>0</v>
      </c>
      <c r="AE138" s="39" t="n">
        <f aca="false">ROUND(K138-U138-MIN(K138-U138,MAX(0,$AF138-SUMPRODUCT(--($B$4:$K$4&lt;K$4),$B138:$K138-$L138:$U138))),2)</f>
        <v>0</v>
      </c>
      <c r="AF138" s="39" t="n">
        <f aca="false">MAX(0,'Start Here'!$C$5-SUM($L138:$U138))</f>
        <v>1200</v>
      </c>
      <c r="AG138" s="39" t="n">
        <f aca="false">SUM(V138:AE138)</f>
        <v>0</v>
      </c>
      <c r="AH138" s="39" t="n">
        <f aca="false">SUM(B138:K138)-AG137</f>
        <v>0</v>
      </c>
    </row>
    <row r="139" customFormat="false" ht="15" hidden="false" customHeight="false" outlineLevel="0" collapsed="false">
      <c r="A139" s="40" t="n">
        <f aca="false">DATE(YEAR('Start Here'!$C$6),MONTH('Start Here'!$C$6)+132,1)</f>
        <v>50314</v>
      </c>
      <c r="B139" s="39" t="n">
        <f aca="false">ROUND(V138*(1+N('My Debts'!$D$6)/12),2)</f>
        <v>0</v>
      </c>
      <c r="C139" s="39" t="n">
        <f aca="false">ROUND(W138*(1+N('My Debts'!$D$7)/12),2)</f>
        <v>0</v>
      </c>
      <c r="D139" s="39" t="n">
        <f aca="false">ROUND(X138*(1+N('My Debts'!$D$8)/12),2)</f>
        <v>0</v>
      </c>
      <c r="E139" s="39" t="n">
        <f aca="false">ROUND(Y138*(1+N('My Debts'!$D$9)/12),2)</f>
        <v>0</v>
      </c>
      <c r="F139" s="39" t="n">
        <f aca="false">ROUND(Z138*(1+N('My Debts'!$D$10)/12),2)</f>
        <v>0</v>
      </c>
      <c r="G139" s="39" t="n">
        <f aca="false">ROUND(AA138*(1+N('My Debts'!$D$11)/12),2)</f>
        <v>0</v>
      </c>
      <c r="H139" s="39" t="n">
        <f aca="false">ROUND(AB138*(1+N('My Debts'!$D$12)/12),2)</f>
        <v>0</v>
      </c>
      <c r="I139" s="39" t="n">
        <f aca="false">ROUND(AC138*(1+N('My Debts'!$D$13)/12),2)</f>
        <v>0</v>
      </c>
      <c r="J139" s="39" t="n">
        <f aca="false">ROUND(AD138*(1+N('My Debts'!$D$14)/12),2)</f>
        <v>0</v>
      </c>
      <c r="K139" s="39" t="n">
        <f aca="false">ROUND(AE138*(1+N('My Debts'!$D$15)/12),2)</f>
        <v>0</v>
      </c>
      <c r="L139" s="39" t="n">
        <f aca="false">MIN(N('My Debts'!$E$6),B139)</f>
        <v>0</v>
      </c>
      <c r="M139" s="39" t="n">
        <f aca="false">MIN(N('My Debts'!$E$7),C139)</f>
        <v>0</v>
      </c>
      <c r="N139" s="39" t="n">
        <f aca="false">MIN(N('My Debts'!$E$8),D139)</f>
        <v>0</v>
      </c>
      <c r="O139" s="39" t="n">
        <f aca="false">MIN(N('My Debts'!$E$9),E139)</f>
        <v>0</v>
      </c>
      <c r="P139" s="39" t="n">
        <f aca="false">MIN(N('My Debts'!$E$10),F139)</f>
        <v>0</v>
      </c>
      <c r="Q139" s="39" t="n">
        <f aca="false">MIN(N('My Debts'!$E$11),G139)</f>
        <v>0</v>
      </c>
      <c r="R139" s="39" t="n">
        <f aca="false">MIN(N('My Debts'!$E$12),H139)</f>
        <v>0</v>
      </c>
      <c r="S139" s="39" t="n">
        <f aca="false">MIN(N('My Debts'!$E$13),I139)</f>
        <v>0</v>
      </c>
      <c r="T139" s="39" t="n">
        <f aca="false">MIN(N('My Debts'!$E$14),J139)</f>
        <v>0</v>
      </c>
      <c r="U139" s="39" t="n">
        <f aca="false">MIN(N('My Debts'!$E$15),K139)</f>
        <v>0</v>
      </c>
      <c r="V139" s="39" t="n">
        <f aca="false">ROUND(B139-L139-MIN(B139-L139,MAX(0,$AF139-SUMPRODUCT(--($B$4:$K$4&lt;B$4),$B139:$K139-$L139:$U139))),2)</f>
        <v>0</v>
      </c>
      <c r="W139" s="39" t="n">
        <f aca="false">ROUND(C139-M139-MIN(C139-M139,MAX(0,$AF139-SUMPRODUCT(--($B$4:$K$4&lt;C$4),$B139:$K139-$L139:$U139))),2)</f>
        <v>0</v>
      </c>
      <c r="X139" s="39" t="n">
        <f aca="false">ROUND(D139-N139-MIN(D139-N139,MAX(0,$AF139-SUMPRODUCT(--($B$4:$K$4&lt;D$4),$B139:$K139-$L139:$U139))),2)</f>
        <v>0</v>
      </c>
      <c r="Y139" s="39" t="n">
        <f aca="false">ROUND(E139-O139-MIN(E139-O139,MAX(0,$AF139-SUMPRODUCT(--($B$4:$K$4&lt;E$4),$B139:$K139-$L139:$U139))),2)</f>
        <v>0</v>
      </c>
      <c r="Z139" s="39" t="n">
        <f aca="false">ROUND(F139-P139-MIN(F139-P139,MAX(0,$AF139-SUMPRODUCT(--($B$4:$K$4&lt;F$4),$B139:$K139-$L139:$U139))),2)</f>
        <v>0</v>
      </c>
      <c r="AA139" s="39" t="n">
        <f aca="false">ROUND(G139-Q139-MIN(G139-Q139,MAX(0,$AF139-SUMPRODUCT(--($B$4:$K$4&lt;G$4),$B139:$K139-$L139:$U139))),2)</f>
        <v>0</v>
      </c>
      <c r="AB139" s="39" t="n">
        <f aca="false">ROUND(H139-R139-MIN(H139-R139,MAX(0,$AF139-SUMPRODUCT(--($B$4:$K$4&lt;H$4),$B139:$K139-$L139:$U139))),2)</f>
        <v>0</v>
      </c>
      <c r="AC139" s="39" t="n">
        <f aca="false">ROUND(I139-S139-MIN(I139-S139,MAX(0,$AF139-SUMPRODUCT(--($B$4:$K$4&lt;I$4),$B139:$K139-$L139:$U139))),2)</f>
        <v>0</v>
      </c>
      <c r="AD139" s="39" t="n">
        <f aca="false">ROUND(J139-T139-MIN(J139-T139,MAX(0,$AF139-SUMPRODUCT(--($B$4:$K$4&lt;J$4),$B139:$K139-$L139:$U139))),2)</f>
        <v>0</v>
      </c>
      <c r="AE139" s="39" t="n">
        <f aca="false">ROUND(K139-U139-MIN(K139-U139,MAX(0,$AF139-SUMPRODUCT(--($B$4:$K$4&lt;K$4),$B139:$K139-$L139:$U139))),2)</f>
        <v>0</v>
      </c>
      <c r="AF139" s="39" t="n">
        <f aca="false">MAX(0,'Start Here'!$C$5-SUM($L139:$U139))</f>
        <v>1200</v>
      </c>
      <c r="AG139" s="39" t="n">
        <f aca="false">SUM(V139:AE139)</f>
        <v>0</v>
      </c>
      <c r="AH139" s="39" t="n">
        <f aca="false">SUM(B139:K139)-AG138</f>
        <v>0</v>
      </c>
    </row>
    <row r="140" customFormat="false" ht="15" hidden="false" customHeight="false" outlineLevel="0" collapsed="false">
      <c r="A140" s="40" t="n">
        <f aca="false">DATE(YEAR('Start Here'!$C$6),MONTH('Start Here'!$C$6)+133,1)</f>
        <v>50345</v>
      </c>
      <c r="B140" s="39" t="n">
        <f aca="false">ROUND(V139*(1+N('My Debts'!$D$6)/12),2)</f>
        <v>0</v>
      </c>
      <c r="C140" s="39" t="n">
        <f aca="false">ROUND(W139*(1+N('My Debts'!$D$7)/12),2)</f>
        <v>0</v>
      </c>
      <c r="D140" s="39" t="n">
        <f aca="false">ROUND(X139*(1+N('My Debts'!$D$8)/12),2)</f>
        <v>0</v>
      </c>
      <c r="E140" s="39" t="n">
        <f aca="false">ROUND(Y139*(1+N('My Debts'!$D$9)/12),2)</f>
        <v>0</v>
      </c>
      <c r="F140" s="39" t="n">
        <f aca="false">ROUND(Z139*(1+N('My Debts'!$D$10)/12),2)</f>
        <v>0</v>
      </c>
      <c r="G140" s="39" t="n">
        <f aca="false">ROUND(AA139*(1+N('My Debts'!$D$11)/12),2)</f>
        <v>0</v>
      </c>
      <c r="H140" s="39" t="n">
        <f aca="false">ROUND(AB139*(1+N('My Debts'!$D$12)/12),2)</f>
        <v>0</v>
      </c>
      <c r="I140" s="39" t="n">
        <f aca="false">ROUND(AC139*(1+N('My Debts'!$D$13)/12),2)</f>
        <v>0</v>
      </c>
      <c r="J140" s="39" t="n">
        <f aca="false">ROUND(AD139*(1+N('My Debts'!$D$14)/12),2)</f>
        <v>0</v>
      </c>
      <c r="K140" s="39" t="n">
        <f aca="false">ROUND(AE139*(1+N('My Debts'!$D$15)/12),2)</f>
        <v>0</v>
      </c>
      <c r="L140" s="39" t="n">
        <f aca="false">MIN(N('My Debts'!$E$6),B140)</f>
        <v>0</v>
      </c>
      <c r="M140" s="39" t="n">
        <f aca="false">MIN(N('My Debts'!$E$7),C140)</f>
        <v>0</v>
      </c>
      <c r="N140" s="39" t="n">
        <f aca="false">MIN(N('My Debts'!$E$8),D140)</f>
        <v>0</v>
      </c>
      <c r="O140" s="39" t="n">
        <f aca="false">MIN(N('My Debts'!$E$9),E140)</f>
        <v>0</v>
      </c>
      <c r="P140" s="39" t="n">
        <f aca="false">MIN(N('My Debts'!$E$10),F140)</f>
        <v>0</v>
      </c>
      <c r="Q140" s="39" t="n">
        <f aca="false">MIN(N('My Debts'!$E$11),G140)</f>
        <v>0</v>
      </c>
      <c r="R140" s="39" t="n">
        <f aca="false">MIN(N('My Debts'!$E$12),H140)</f>
        <v>0</v>
      </c>
      <c r="S140" s="39" t="n">
        <f aca="false">MIN(N('My Debts'!$E$13),I140)</f>
        <v>0</v>
      </c>
      <c r="T140" s="39" t="n">
        <f aca="false">MIN(N('My Debts'!$E$14),J140)</f>
        <v>0</v>
      </c>
      <c r="U140" s="39" t="n">
        <f aca="false">MIN(N('My Debts'!$E$15),K140)</f>
        <v>0</v>
      </c>
      <c r="V140" s="39" t="n">
        <f aca="false">ROUND(B140-L140-MIN(B140-L140,MAX(0,$AF140-SUMPRODUCT(--($B$4:$K$4&lt;B$4),$B140:$K140-$L140:$U140))),2)</f>
        <v>0</v>
      </c>
      <c r="W140" s="39" t="n">
        <f aca="false">ROUND(C140-M140-MIN(C140-M140,MAX(0,$AF140-SUMPRODUCT(--($B$4:$K$4&lt;C$4),$B140:$K140-$L140:$U140))),2)</f>
        <v>0</v>
      </c>
      <c r="X140" s="39" t="n">
        <f aca="false">ROUND(D140-N140-MIN(D140-N140,MAX(0,$AF140-SUMPRODUCT(--($B$4:$K$4&lt;D$4),$B140:$K140-$L140:$U140))),2)</f>
        <v>0</v>
      </c>
      <c r="Y140" s="39" t="n">
        <f aca="false">ROUND(E140-O140-MIN(E140-O140,MAX(0,$AF140-SUMPRODUCT(--($B$4:$K$4&lt;E$4),$B140:$K140-$L140:$U140))),2)</f>
        <v>0</v>
      </c>
      <c r="Z140" s="39" t="n">
        <f aca="false">ROUND(F140-P140-MIN(F140-P140,MAX(0,$AF140-SUMPRODUCT(--($B$4:$K$4&lt;F$4),$B140:$K140-$L140:$U140))),2)</f>
        <v>0</v>
      </c>
      <c r="AA140" s="39" t="n">
        <f aca="false">ROUND(G140-Q140-MIN(G140-Q140,MAX(0,$AF140-SUMPRODUCT(--($B$4:$K$4&lt;G$4),$B140:$K140-$L140:$U140))),2)</f>
        <v>0</v>
      </c>
      <c r="AB140" s="39" t="n">
        <f aca="false">ROUND(H140-R140-MIN(H140-R140,MAX(0,$AF140-SUMPRODUCT(--($B$4:$K$4&lt;H$4),$B140:$K140-$L140:$U140))),2)</f>
        <v>0</v>
      </c>
      <c r="AC140" s="39" t="n">
        <f aca="false">ROUND(I140-S140-MIN(I140-S140,MAX(0,$AF140-SUMPRODUCT(--($B$4:$K$4&lt;I$4),$B140:$K140-$L140:$U140))),2)</f>
        <v>0</v>
      </c>
      <c r="AD140" s="39" t="n">
        <f aca="false">ROUND(J140-T140-MIN(J140-T140,MAX(0,$AF140-SUMPRODUCT(--($B$4:$K$4&lt;J$4),$B140:$K140-$L140:$U140))),2)</f>
        <v>0</v>
      </c>
      <c r="AE140" s="39" t="n">
        <f aca="false">ROUND(K140-U140-MIN(K140-U140,MAX(0,$AF140-SUMPRODUCT(--($B$4:$K$4&lt;K$4),$B140:$K140-$L140:$U140))),2)</f>
        <v>0</v>
      </c>
      <c r="AF140" s="39" t="n">
        <f aca="false">MAX(0,'Start Here'!$C$5-SUM($L140:$U140))</f>
        <v>1200</v>
      </c>
      <c r="AG140" s="39" t="n">
        <f aca="false">SUM(V140:AE140)</f>
        <v>0</v>
      </c>
      <c r="AH140" s="39" t="n">
        <f aca="false">SUM(B140:K140)-AG139</f>
        <v>0</v>
      </c>
    </row>
    <row r="141" customFormat="false" ht="15" hidden="false" customHeight="false" outlineLevel="0" collapsed="false">
      <c r="A141" s="40" t="n">
        <f aca="false">DATE(YEAR('Start Here'!$C$6),MONTH('Start Here'!$C$6)+134,1)</f>
        <v>50375</v>
      </c>
      <c r="B141" s="39" t="n">
        <f aca="false">ROUND(V140*(1+N('My Debts'!$D$6)/12),2)</f>
        <v>0</v>
      </c>
      <c r="C141" s="39" t="n">
        <f aca="false">ROUND(W140*(1+N('My Debts'!$D$7)/12),2)</f>
        <v>0</v>
      </c>
      <c r="D141" s="39" t="n">
        <f aca="false">ROUND(X140*(1+N('My Debts'!$D$8)/12),2)</f>
        <v>0</v>
      </c>
      <c r="E141" s="39" t="n">
        <f aca="false">ROUND(Y140*(1+N('My Debts'!$D$9)/12),2)</f>
        <v>0</v>
      </c>
      <c r="F141" s="39" t="n">
        <f aca="false">ROUND(Z140*(1+N('My Debts'!$D$10)/12),2)</f>
        <v>0</v>
      </c>
      <c r="G141" s="39" t="n">
        <f aca="false">ROUND(AA140*(1+N('My Debts'!$D$11)/12),2)</f>
        <v>0</v>
      </c>
      <c r="H141" s="39" t="n">
        <f aca="false">ROUND(AB140*(1+N('My Debts'!$D$12)/12),2)</f>
        <v>0</v>
      </c>
      <c r="I141" s="39" t="n">
        <f aca="false">ROUND(AC140*(1+N('My Debts'!$D$13)/12),2)</f>
        <v>0</v>
      </c>
      <c r="J141" s="39" t="n">
        <f aca="false">ROUND(AD140*(1+N('My Debts'!$D$14)/12),2)</f>
        <v>0</v>
      </c>
      <c r="K141" s="39" t="n">
        <f aca="false">ROUND(AE140*(1+N('My Debts'!$D$15)/12),2)</f>
        <v>0</v>
      </c>
      <c r="L141" s="39" t="n">
        <f aca="false">MIN(N('My Debts'!$E$6),B141)</f>
        <v>0</v>
      </c>
      <c r="M141" s="39" t="n">
        <f aca="false">MIN(N('My Debts'!$E$7),C141)</f>
        <v>0</v>
      </c>
      <c r="N141" s="39" t="n">
        <f aca="false">MIN(N('My Debts'!$E$8),D141)</f>
        <v>0</v>
      </c>
      <c r="O141" s="39" t="n">
        <f aca="false">MIN(N('My Debts'!$E$9),E141)</f>
        <v>0</v>
      </c>
      <c r="P141" s="39" t="n">
        <f aca="false">MIN(N('My Debts'!$E$10),F141)</f>
        <v>0</v>
      </c>
      <c r="Q141" s="39" t="n">
        <f aca="false">MIN(N('My Debts'!$E$11),G141)</f>
        <v>0</v>
      </c>
      <c r="R141" s="39" t="n">
        <f aca="false">MIN(N('My Debts'!$E$12),H141)</f>
        <v>0</v>
      </c>
      <c r="S141" s="39" t="n">
        <f aca="false">MIN(N('My Debts'!$E$13),I141)</f>
        <v>0</v>
      </c>
      <c r="T141" s="39" t="n">
        <f aca="false">MIN(N('My Debts'!$E$14),J141)</f>
        <v>0</v>
      </c>
      <c r="U141" s="39" t="n">
        <f aca="false">MIN(N('My Debts'!$E$15),K141)</f>
        <v>0</v>
      </c>
      <c r="V141" s="39" t="n">
        <f aca="false">ROUND(B141-L141-MIN(B141-L141,MAX(0,$AF141-SUMPRODUCT(--($B$4:$K$4&lt;B$4),$B141:$K141-$L141:$U141))),2)</f>
        <v>0</v>
      </c>
      <c r="W141" s="39" t="n">
        <f aca="false">ROUND(C141-M141-MIN(C141-M141,MAX(0,$AF141-SUMPRODUCT(--($B$4:$K$4&lt;C$4),$B141:$K141-$L141:$U141))),2)</f>
        <v>0</v>
      </c>
      <c r="X141" s="39" t="n">
        <f aca="false">ROUND(D141-N141-MIN(D141-N141,MAX(0,$AF141-SUMPRODUCT(--($B$4:$K$4&lt;D$4),$B141:$K141-$L141:$U141))),2)</f>
        <v>0</v>
      </c>
      <c r="Y141" s="39" t="n">
        <f aca="false">ROUND(E141-O141-MIN(E141-O141,MAX(0,$AF141-SUMPRODUCT(--($B$4:$K$4&lt;E$4),$B141:$K141-$L141:$U141))),2)</f>
        <v>0</v>
      </c>
      <c r="Z141" s="39" t="n">
        <f aca="false">ROUND(F141-P141-MIN(F141-P141,MAX(0,$AF141-SUMPRODUCT(--($B$4:$K$4&lt;F$4),$B141:$K141-$L141:$U141))),2)</f>
        <v>0</v>
      </c>
      <c r="AA141" s="39" t="n">
        <f aca="false">ROUND(G141-Q141-MIN(G141-Q141,MAX(0,$AF141-SUMPRODUCT(--($B$4:$K$4&lt;G$4),$B141:$K141-$L141:$U141))),2)</f>
        <v>0</v>
      </c>
      <c r="AB141" s="39" t="n">
        <f aca="false">ROUND(H141-R141-MIN(H141-R141,MAX(0,$AF141-SUMPRODUCT(--($B$4:$K$4&lt;H$4),$B141:$K141-$L141:$U141))),2)</f>
        <v>0</v>
      </c>
      <c r="AC141" s="39" t="n">
        <f aca="false">ROUND(I141-S141-MIN(I141-S141,MAX(0,$AF141-SUMPRODUCT(--($B$4:$K$4&lt;I$4),$B141:$K141-$L141:$U141))),2)</f>
        <v>0</v>
      </c>
      <c r="AD141" s="39" t="n">
        <f aca="false">ROUND(J141-T141-MIN(J141-T141,MAX(0,$AF141-SUMPRODUCT(--($B$4:$K$4&lt;J$4),$B141:$K141-$L141:$U141))),2)</f>
        <v>0</v>
      </c>
      <c r="AE141" s="39" t="n">
        <f aca="false">ROUND(K141-U141-MIN(K141-U141,MAX(0,$AF141-SUMPRODUCT(--($B$4:$K$4&lt;K$4),$B141:$K141-$L141:$U141))),2)</f>
        <v>0</v>
      </c>
      <c r="AF141" s="39" t="n">
        <f aca="false">MAX(0,'Start Here'!$C$5-SUM($L141:$U141))</f>
        <v>1200</v>
      </c>
      <c r="AG141" s="39" t="n">
        <f aca="false">SUM(V141:AE141)</f>
        <v>0</v>
      </c>
      <c r="AH141" s="39" t="n">
        <f aca="false">SUM(B141:K141)-AG140</f>
        <v>0</v>
      </c>
    </row>
    <row r="142" customFormat="false" ht="15" hidden="false" customHeight="false" outlineLevel="0" collapsed="false">
      <c r="A142" s="40" t="n">
        <f aca="false">DATE(YEAR('Start Here'!$C$6),MONTH('Start Here'!$C$6)+135,1)</f>
        <v>50406</v>
      </c>
      <c r="B142" s="39" t="n">
        <f aca="false">ROUND(V141*(1+N('My Debts'!$D$6)/12),2)</f>
        <v>0</v>
      </c>
      <c r="C142" s="39" t="n">
        <f aca="false">ROUND(W141*(1+N('My Debts'!$D$7)/12),2)</f>
        <v>0</v>
      </c>
      <c r="D142" s="39" t="n">
        <f aca="false">ROUND(X141*(1+N('My Debts'!$D$8)/12),2)</f>
        <v>0</v>
      </c>
      <c r="E142" s="39" t="n">
        <f aca="false">ROUND(Y141*(1+N('My Debts'!$D$9)/12),2)</f>
        <v>0</v>
      </c>
      <c r="F142" s="39" t="n">
        <f aca="false">ROUND(Z141*(1+N('My Debts'!$D$10)/12),2)</f>
        <v>0</v>
      </c>
      <c r="G142" s="39" t="n">
        <f aca="false">ROUND(AA141*(1+N('My Debts'!$D$11)/12),2)</f>
        <v>0</v>
      </c>
      <c r="H142" s="39" t="n">
        <f aca="false">ROUND(AB141*(1+N('My Debts'!$D$12)/12),2)</f>
        <v>0</v>
      </c>
      <c r="I142" s="39" t="n">
        <f aca="false">ROUND(AC141*(1+N('My Debts'!$D$13)/12),2)</f>
        <v>0</v>
      </c>
      <c r="J142" s="39" t="n">
        <f aca="false">ROUND(AD141*(1+N('My Debts'!$D$14)/12),2)</f>
        <v>0</v>
      </c>
      <c r="K142" s="39" t="n">
        <f aca="false">ROUND(AE141*(1+N('My Debts'!$D$15)/12),2)</f>
        <v>0</v>
      </c>
      <c r="L142" s="39" t="n">
        <f aca="false">MIN(N('My Debts'!$E$6),B142)</f>
        <v>0</v>
      </c>
      <c r="M142" s="39" t="n">
        <f aca="false">MIN(N('My Debts'!$E$7),C142)</f>
        <v>0</v>
      </c>
      <c r="N142" s="39" t="n">
        <f aca="false">MIN(N('My Debts'!$E$8),D142)</f>
        <v>0</v>
      </c>
      <c r="O142" s="39" t="n">
        <f aca="false">MIN(N('My Debts'!$E$9),E142)</f>
        <v>0</v>
      </c>
      <c r="P142" s="39" t="n">
        <f aca="false">MIN(N('My Debts'!$E$10),F142)</f>
        <v>0</v>
      </c>
      <c r="Q142" s="39" t="n">
        <f aca="false">MIN(N('My Debts'!$E$11),G142)</f>
        <v>0</v>
      </c>
      <c r="R142" s="39" t="n">
        <f aca="false">MIN(N('My Debts'!$E$12),H142)</f>
        <v>0</v>
      </c>
      <c r="S142" s="39" t="n">
        <f aca="false">MIN(N('My Debts'!$E$13),I142)</f>
        <v>0</v>
      </c>
      <c r="T142" s="39" t="n">
        <f aca="false">MIN(N('My Debts'!$E$14),J142)</f>
        <v>0</v>
      </c>
      <c r="U142" s="39" t="n">
        <f aca="false">MIN(N('My Debts'!$E$15),K142)</f>
        <v>0</v>
      </c>
      <c r="V142" s="39" t="n">
        <f aca="false">ROUND(B142-L142-MIN(B142-L142,MAX(0,$AF142-SUMPRODUCT(--($B$4:$K$4&lt;B$4),$B142:$K142-$L142:$U142))),2)</f>
        <v>0</v>
      </c>
      <c r="W142" s="39" t="n">
        <f aca="false">ROUND(C142-M142-MIN(C142-M142,MAX(0,$AF142-SUMPRODUCT(--($B$4:$K$4&lt;C$4),$B142:$K142-$L142:$U142))),2)</f>
        <v>0</v>
      </c>
      <c r="X142" s="39" t="n">
        <f aca="false">ROUND(D142-N142-MIN(D142-N142,MAX(0,$AF142-SUMPRODUCT(--($B$4:$K$4&lt;D$4),$B142:$K142-$L142:$U142))),2)</f>
        <v>0</v>
      </c>
      <c r="Y142" s="39" t="n">
        <f aca="false">ROUND(E142-O142-MIN(E142-O142,MAX(0,$AF142-SUMPRODUCT(--($B$4:$K$4&lt;E$4),$B142:$K142-$L142:$U142))),2)</f>
        <v>0</v>
      </c>
      <c r="Z142" s="39" t="n">
        <f aca="false">ROUND(F142-P142-MIN(F142-P142,MAX(0,$AF142-SUMPRODUCT(--($B$4:$K$4&lt;F$4),$B142:$K142-$L142:$U142))),2)</f>
        <v>0</v>
      </c>
      <c r="AA142" s="39" t="n">
        <f aca="false">ROUND(G142-Q142-MIN(G142-Q142,MAX(0,$AF142-SUMPRODUCT(--($B$4:$K$4&lt;G$4),$B142:$K142-$L142:$U142))),2)</f>
        <v>0</v>
      </c>
      <c r="AB142" s="39" t="n">
        <f aca="false">ROUND(H142-R142-MIN(H142-R142,MAX(0,$AF142-SUMPRODUCT(--($B$4:$K$4&lt;H$4),$B142:$K142-$L142:$U142))),2)</f>
        <v>0</v>
      </c>
      <c r="AC142" s="39" t="n">
        <f aca="false">ROUND(I142-S142-MIN(I142-S142,MAX(0,$AF142-SUMPRODUCT(--($B$4:$K$4&lt;I$4),$B142:$K142-$L142:$U142))),2)</f>
        <v>0</v>
      </c>
      <c r="AD142" s="39" t="n">
        <f aca="false">ROUND(J142-T142-MIN(J142-T142,MAX(0,$AF142-SUMPRODUCT(--($B$4:$K$4&lt;J$4),$B142:$K142-$L142:$U142))),2)</f>
        <v>0</v>
      </c>
      <c r="AE142" s="39" t="n">
        <f aca="false">ROUND(K142-U142-MIN(K142-U142,MAX(0,$AF142-SUMPRODUCT(--($B$4:$K$4&lt;K$4),$B142:$K142-$L142:$U142))),2)</f>
        <v>0</v>
      </c>
      <c r="AF142" s="39" t="n">
        <f aca="false">MAX(0,'Start Here'!$C$5-SUM($L142:$U142))</f>
        <v>1200</v>
      </c>
      <c r="AG142" s="39" t="n">
        <f aca="false">SUM(V142:AE142)</f>
        <v>0</v>
      </c>
      <c r="AH142" s="39" t="n">
        <f aca="false">SUM(B142:K142)-AG141</f>
        <v>0</v>
      </c>
    </row>
    <row r="143" customFormat="false" ht="15" hidden="false" customHeight="false" outlineLevel="0" collapsed="false">
      <c r="A143" s="40" t="n">
        <f aca="false">DATE(YEAR('Start Here'!$C$6),MONTH('Start Here'!$C$6)+136,1)</f>
        <v>50437</v>
      </c>
      <c r="B143" s="39" t="n">
        <f aca="false">ROUND(V142*(1+N('My Debts'!$D$6)/12),2)</f>
        <v>0</v>
      </c>
      <c r="C143" s="39" t="n">
        <f aca="false">ROUND(W142*(1+N('My Debts'!$D$7)/12),2)</f>
        <v>0</v>
      </c>
      <c r="D143" s="39" t="n">
        <f aca="false">ROUND(X142*(1+N('My Debts'!$D$8)/12),2)</f>
        <v>0</v>
      </c>
      <c r="E143" s="39" t="n">
        <f aca="false">ROUND(Y142*(1+N('My Debts'!$D$9)/12),2)</f>
        <v>0</v>
      </c>
      <c r="F143" s="39" t="n">
        <f aca="false">ROUND(Z142*(1+N('My Debts'!$D$10)/12),2)</f>
        <v>0</v>
      </c>
      <c r="G143" s="39" t="n">
        <f aca="false">ROUND(AA142*(1+N('My Debts'!$D$11)/12),2)</f>
        <v>0</v>
      </c>
      <c r="H143" s="39" t="n">
        <f aca="false">ROUND(AB142*(1+N('My Debts'!$D$12)/12),2)</f>
        <v>0</v>
      </c>
      <c r="I143" s="39" t="n">
        <f aca="false">ROUND(AC142*(1+N('My Debts'!$D$13)/12),2)</f>
        <v>0</v>
      </c>
      <c r="J143" s="39" t="n">
        <f aca="false">ROUND(AD142*(1+N('My Debts'!$D$14)/12),2)</f>
        <v>0</v>
      </c>
      <c r="K143" s="39" t="n">
        <f aca="false">ROUND(AE142*(1+N('My Debts'!$D$15)/12),2)</f>
        <v>0</v>
      </c>
      <c r="L143" s="39" t="n">
        <f aca="false">MIN(N('My Debts'!$E$6),B143)</f>
        <v>0</v>
      </c>
      <c r="M143" s="39" t="n">
        <f aca="false">MIN(N('My Debts'!$E$7),C143)</f>
        <v>0</v>
      </c>
      <c r="N143" s="39" t="n">
        <f aca="false">MIN(N('My Debts'!$E$8),D143)</f>
        <v>0</v>
      </c>
      <c r="O143" s="39" t="n">
        <f aca="false">MIN(N('My Debts'!$E$9),E143)</f>
        <v>0</v>
      </c>
      <c r="P143" s="39" t="n">
        <f aca="false">MIN(N('My Debts'!$E$10),F143)</f>
        <v>0</v>
      </c>
      <c r="Q143" s="39" t="n">
        <f aca="false">MIN(N('My Debts'!$E$11),G143)</f>
        <v>0</v>
      </c>
      <c r="R143" s="39" t="n">
        <f aca="false">MIN(N('My Debts'!$E$12),H143)</f>
        <v>0</v>
      </c>
      <c r="S143" s="39" t="n">
        <f aca="false">MIN(N('My Debts'!$E$13),I143)</f>
        <v>0</v>
      </c>
      <c r="T143" s="39" t="n">
        <f aca="false">MIN(N('My Debts'!$E$14),J143)</f>
        <v>0</v>
      </c>
      <c r="U143" s="39" t="n">
        <f aca="false">MIN(N('My Debts'!$E$15),K143)</f>
        <v>0</v>
      </c>
      <c r="V143" s="39" t="n">
        <f aca="false">ROUND(B143-L143-MIN(B143-L143,MAX(0,$AF143-SUMPRODUCT(--($B$4:$K$4&lt;B$4),$B143:$K143-$L143:$U143))),2)</f>
        <v>0</v>
      </c>
      <c r="W143" s="39" t="n">
        <f aca="false">ROUND(C143-M143-MIN(C143-M143,MAX(0,$AF143-SUMPRODUCT(--($B$4:$K$4&lt;C$4),$B143:$K143-$L143:$U143))),2)</f>
        <v>0</v>
      </c>
      <c r="X143" s="39" t="n">
        <f aca="false">ROUND(D143-N143-MIN(D143-N143,MAX(0,$AF143-SUMPRODUCT(--($B$4:$K$4&lt;D$4),$B143:$K143-$L143:$U143))),2)</f>
        <v>0</v>
      </c>
      <c r="Y143" s="39" t="n">
        <f aca="false">ROUND(E143-O143-MIN(E143-O143,MAX(0,$AF143-SUMPRODUCT(--($B$4:$K$4&lt;E$4),$B143:$K143-$L143:$U143))),2)</f>
        <v>0</v>
      </c>
      <c r="Z143" s="39" t="n">
        <f aca="false">ROUND(F143-P143-MIN(F143-P143,MAX(0,$AF143-SUMPRODUCT(--($B$4:$K$4&lt;F$4),$B143:$K143-$L143:$U143))),2)</f>
        <v>0</v>
      </c>
      <c r="AA143" s="39" t="n">
        <f aca="false">ROUND(G143-Q143-MIN(G143-Q143,MAX(0,$AF143-SUMPRODUCT(--($B$4:$K$4&lt;G$4),$B143:$K143-$L143:$U143))),2)</f>
        <v>0</v>
      </c>
      <c r="AB143" s="39" t="n">
        <f aca="false">ROUND(H143-R143-MIN(H143-R143,MAX(0,$AF143-SUMPRODUCT(--($B$4:$K$4&lt;H$4),$B143:$K143-$L143:$U143))),2)</f>
        <v>0</v>
      </c>
      <c r="AC143" s="39" t="n">
        <f aca="false">ROUND(I143-S143-MIN(I143-S143,MAX(0,$AF143-SUMPRODUCT(--($B$4:$K$4&lt;I$4),$B143:$K143-$L143:$U143))),2)</f>
        <v>0</v>
      </c>
      <c r="AD143" s="39" t="n">
        <f aca="false">ROUND(J143-T143-MIN(J143-T143,MAX(0,$AF143-SUMPRODUCT(--($B$4:$K$4&lt;J$4),$B143:$K143-$L143:$U143))),2)</f>
        <v>0</v>
      </c>
      <c r="AE143" s="39" t="n">
        <f aca="false">ROUND(K143-U143-MIN(K143-U143,MAX(0,$AF143-SUMPRODUCT(--($B$4:$K$4&lt;K$4),$B143:$K143-$L143:$U143))),2)</f>
        <v>0</v>
      </c>
      <c r="AF143" s="39" t="n">
        <f aca="false">MAX(0,'Start Here'!$C$5-SUM($L143:$U143))</f>
        <v>1200</v>
      </c>
      <c r="AG143" s="39" t="n">
        <f aca="false">SUM(V143:AE143)</f>
        <v>0</v>
      </c>
      <c r="AH143" s="39" t="n">
        <f aca="false">SUM(B143:K143)-AG142</f>
        <v>0</v>
      </c>
    </row>
    <row r="144" customFormat="false" ht="15" hidden="false" customHeight="false" outlineLevel="0" collapsed="false">
      <c r="A144" s="40" t="n">
        <f aca="false">DATE(YEAR('Start Here'!$C$6),MONTH('Start Here'!$C$6)+137,1)</f>
        <v>50465</v>
      </c>
      <c r="B144" s="39" t="n">
        <f aca="false">ROUND(V143*(1+N('My Debts'!$D$6)/12),2)</f>
        <v>0</v>
      </c>
      <c r="C144" s="39" t="n">
        <f aca="false">ROUND(W143*(1+N('My Debts'!$D$7)/12),2)</f>
        <v>0</v>
      </c>
      <c r="D144" s="39" t="n">
        <f aca="false">ROUND(X143*(1+N('My Debts'!$D$8)/12),2)</f>
        <v>0</v>
      </c>
      <c r="E144" s="39" t="n">
        <f aca="false">ROUND(Y143*(1+N('My Debts'!$D$9)/12),2)</f>
        <v>0</v>
      </c>
      <c r="F144" s="39" t="n">
        <f aca="false">ROUND(Z143*(1+N('My Debts'!$D$10)/12),2)</f>
        <v>0</v>
      </c>
      <c r="G144" s="39" t="n">
        <f aca="false">ROUND(AA143*(1+N('My Debts'!$D$11)/12),2)</f>
        <v>0</v>
      </c>
      <c r="H144" s="39" t="n">
        <f aca="false">ROUND(AB143*(1+N('My Debts'!$D$12)/12),2)</f>
        <v>0</v>
      </c>
      <c r="I144" s="39" t="n">
        <f aca="false">ROUND(AC143*(1+N('My Debts'!$D$13)/12),2)</f>
        <v>0</v>
      </c>
      <c r="J144" s="39" t="n">
        <f aca="false">ROUND(AD143*(1+N('My Debts'!$D$14)/12),2)</f>
        <v>0</v>
      </c>
      <c r="K144" s="39" t="n">
        <f aca="false">ROUND(AE143*(1+N('My Debts'!$D$15)/12),2)</f>
        <v>0</v>
      </c>
      <c r="L144" s="39" t="n">
        <f aca="false">MIN(N('My Debts'!$E$6),B144)</f>
        <v>0</v>
      </c>
      <c r="M144" s="39" t="n">
        <f aca="false">MIN(N('My Debts'!$E$7),C144)</f>
        <v>0</v>
      </c>
      <c r="N144" s="39" t="n">
        <f aca="false">MIN(N('My Debts'!$E$8),D144)</f>
        <v>0</v>
      </c>
      <c r="O144" s="39" t="n">
        <f aca="false">MIN(N('My Debts'!$E$9),E144)</f>
        <v>0</v>
      </c>
      <c r="P144" s="39" t="n">
        <f aca="false">MIN(N('My Debts'!$E$10),F144)</f>
        <v>0</v>
      </c>
      <c r="Q144" s="39" t="n">
        <f aca="false">MIN(N('My Debts'!$E$11),G144)</f>
        <v>0</v>
      </c>
      <c r="R144" s="39" t="n">
        <f aca="false">MIN(N('My Debts'!$E$12),H144)</f>
        <v>0</v>
      </c>
      <c r="S144" s="39" t="n">
        <f aca="false">MIN(N('My Debts'!$E$13),I144)</f>
        <v>0</v>
      </c>
      <c r="T144" s="39" t="n">
        <f aca="false">MIN(N('My Debts'!$E$14),J144)</f>
        <v>0</v>
      </c>
      <c r="U144" s="39" t="n">
        <f aca="false">MIN(N('My Debts'!$E$15),K144)</f>
        <v>0</v>
      </c>
      <c r="V144" s="39" t="n">
        <f aca="false">ROUND(B144-L144-MIN(B144-L144,MAX(0,$AF144-SUMPRODUCT(--($B$4:$K$4&lt;B$4),$B144:$K144-$L144:$U144))),2)</f>
        <v>0</v>
      </c>
      <c r="W144" s="39" t="n">
        <f aca="false">ROUND(C144-M144-MIN(C144-M144,MAX(0,$AF144-SUMPRODUCT(--($B$4:$K$4&lt;C$4),$B144:$K144-$L144:$U144))),2)</f>
        <v>0</v>
      </c>
      <c r="X144" s="39" t="n">
        <f aca="false">ROUND(D144-N144-MIN(D144-N144,MAX(0,$AF144-SUMPRODUCT(--($B$4:$K$4&lt;D$4),$B144:$K144-$L144:$U144))),2)</f>
        <v>0</v>
      </c>
      <c r="Y144" s="39" t="n">
        <f aca="false">ROUND(E144-O144-MIN(E144-O144,MAX(0,$AF144-SUMPRODUCT(--($B$4:$K$4&lt;E$4),$B144:$K144-$L144:$U144))),2)</f>
        <v>0</v>
      </c>
      <c r="Z144" s="39" t="n">
        <f aca="false">ROUND(F144-P144-MIN(F144-P144,MAX(0,$AF144-SUMPRODUCT(--($B$4:$K$4&lt;F$4),$B144:$K144-$L144:$U144))),2)</f>
        <v>0</v>
      </c>
      <c r="AA144" s="39" t="n">
        <f aca="false">ROUND(G144-Q144-MIN(G144-Q144,MAX(0,$AF144-SUMPRODUCT(--($B$4:$K$4&lt;G$4),$B144:$K144-$L144:$U144))),2)</f>
        <v>0</v>
      </c>
      <c r="AB144" s="39" t="n">
        <f aca="false">ROUND(H144-R144-MIN(H144-R144,MAX(0,$AF144-SUMPRODUCT(--($B$4:$K$4&lt;H$4),$B144:$K144-$L144:$U144))),2)</f>
        <v>0</v>
      </c>
      <c r="AC144" s="39" t="n">
        <f aca="false">ROUND(I144-S144-MIN(I144-S144,MAX(0,$AF144-SUMPRODUCT(--($B$4:$K$4&lt;I$4),$B144:$K144-$L144:$U144))),2)</f>
        <v>0</v>
      </c>
      <c r="AD144" s="39" t="n">
        <f aca="false">ROUND(J144-T144-MIN(J144-T144,MAX(0,$AF144-SUMPRODUCT(--($B$4:$K$4&lt;J$4),$B144:$K144-$L144:$U144))),2)</f>
        <v>0</v>
      </c>
      <c r="AE144" s="39" t="n">
        <f aca="false">ROUND(K144-U144-MIN(K144-U144,MAX(0,$AF144-SUMPRODUCT(--($B$4:$K$4&lt;K$4),$B144:$K144-$L144:$U144))),2)</f>
        <v>0</v>
      </c>
      <c r="AF144" s="39" t="n">
        <f aca="false">MAX(0,'Start Here'!$C$5-SUM($L144:$U144))</f>
        <v>1200</v>
      </c>
      <c r="AG144" s="39" t="n">
        <f aca="false">SUM(V144:AE144)</f>
        <v>0</v>
      </c>
      <c r="AH144" s="39" t="n">
        <f aca="false">SUM(B144:K144)-AG143</f>
        <v>0</v>
      </c>
    </row>
    <row r="145" customFormat="false" ht="15" hidden="false" customHeight="false" outlineLevel="0" collapsed="false">
      <c r="A145" s="40" t="n">
        <f aca="false">DATE(YEAR('Start Here'!$C$6),MONTH('Start Here'!$C$6)+138,1)</f>
        <v>50496</v>
      </c>
      <c r="B145" s="39" t="n">
        <f aca="false">ROUND(V144*(1+N('My Debts'!$D$6)/12),2)</f>
        <v>0</v>
      </c>
      <c r="C145" s="39" t="n">
        <f aca="false">ROUND(W144*(1+N('My Debts'!$D$7)/12),2)</f>
        <v>0</v>
      </c>
      <c r="D145" s="39" t="n">
        <f aca="false">ROUND(X144*(1+N('My Debts'!$D$8)/12),2)</f>
        <v>0</v>
      </c>
      <c r="E145" s="39" t="n">
        <f aca="false">ROUND(Y144*(1+N('My Debts'!$D$9)/12),2)</f>
        <v>0</v>
      </c>
      <c r="F145" s="39" t="n">
        <f aca="false">ROUND(Z144*(1+N('My Debts'!$D$10)/12),2)</f>
        <v>0</v>
      </c>
      <c r="G145" s="39" t="n">
        <f aca="false">ROUND(AA144*(1+N('My Debts'!$D$11)/12),2)</f>
        <v>0</v>
      </c>
      <c r="H145" s="39" t="n">
        <f aca="false">ROUND(AB144*(1+N('My Debts'!$D$12)/12),2)</f>
        <v>0</v>
      </c>
      <c r="I145" s="39" t="n">
        <f aca="false">ROUND(AC144*(1+N('My Debts'!$D$13)/12),2)</f>
        <v>0</v>
      </c>
      <c r="J145" s="39" t="n">
        <f aca="false">ROUND(AD144*(1+N('My Debts'!$D$14)/12),2)</f>
        <v>0</v>
      </c>
      <c r="K145" s="39" t="n">
        <f aca="false">ROUND(AE144*(1+N('My Debts'!$D$15)/12),2)</f>
        <v>0</v>
      </c>
      <c r="L145" s="39" t="n">
        <f aca="false">MIN(N('My Debts'!$E$6),B145)</f>
        <v>0</v>
      </c>
      <c r="M145" s="39" t="n">
        <f aca="false">MIN(N('My Debts'!$E$7),C145)</f>
        <v>0</v>
      </c>
      <c r="N145" s="39" t="n">
        <f aca="false">MIN(N('My Debts'!$E$8),D145)</f>
        <v>0</v>
      </c>
      <c r="O145" s="39" t="n">
        <f aca="false">MIN(N('My Debts'!$E$9),E145)</f>
        <v>0</v>
      </c>
      <c r="P145" s="39" t="n">
        <f aca="false">MIN(N('My Debts'!$E$10),F145)</f>
        <v>0</v>
      </c>
      <c r="Q145" s="39" t="n">
        <f aca="false">MIN(N('My Debts'!$E$11),G145)</f>
        <v>0</v>
      </c>
      <c r="R145" s="39" t="n">
        <f aca="false">MIN(N('My Debts'!$E$12),H145)</f>
        <v>0</v>
      </c>
      <c r="S145" s="39" t="n">
        <f aca="false">MIN(N('My Debts'!$E$13),I145)</f>
        <v>0</v>
      </c>
      <c r="T145" s="39" t="n">
        <f aca="false">MIN(N('My Debts'!$E$14),J145)</f>
        <v>0</v>
      </c>
      <c r="U145" s="39" t="n">
        <f aca="false">MIN(N('My Debts'!$E$15),K145)</f>
        <v>0</v>
      </c>
      <c r="V145" s="39" t="n">
        <f aca="false">ROUND(B145-L145-MIN(B145-L145,MAX(0,$AF145-SUMPRODUCT(--($B$4:$K$4&lt;B$4),$B145:$K145-$L145:$U145))),2)</f>
        <v>0</v>
      </c>
      <c r="W145" s="39" t="n">
        <f aca="false">ROUND(C145-M145-MIN(C145-M145,MAX(0,$AF145-SUMPRODUCT(--($B$4:$K$4&lt;C$4),$B145:$K145-$L145:$U145))),2)</f>
        <v>0</v>
      </c>
      <c r="X145" s="39" t="n">
        <f aca="false">ROUND(D145-N145-MIN(D145-N145,MAX(0,$AF145-SUMPRODUCT(--($B$4:$K$4&lt;D$4),$B145:$K145-$L145:$U145))),2)</f>
        <v>0</v>
      </c>
      <c r="Y145" s="39" t="n">
        <f aca="false">ROUND(E145-O145-MIN(E145-O145,MAX(0,$AF145-SUMPRODUCT(--($B$4:$K$4&lt;E$4),$B145:$K145-$L145:$U145))),2)</f>
        <v>0</v>
      </c>
      <c r="Z145" s="39" t="n">
        <f aca="false">ROUND(F145-P145-MIN(F145-P145,MAX(0,$AF145-SUMPRODUCT(--($B$4:$K$4&lt;F$4),$B145:$K145-$L145:$U145))),2)</f>
        <v>0</v>
      </c>
      <c r="AA145" s="39" t="n">
        <f aca="false">ROUND(G145-Q145-MIN(G145-Q145,MAX(0,$AF145-SUMPRODUCT(--($B$4:$K$4&lt;G$4),$B145:$K145-$L145:$U145))),2)</f>
        <v>0</v>
      </c>
      <c r="AB145" s="39" t="n">
        <f aca="false">ROUND(H145-R145-MIN(H145-R145,MAX(0,$AF145-SUMPRODUCT(--($B$4:$K$4&lt;H$4),$B145:$K145-$L145:$U145))),2)</f>
        <v>0</v>
      </c>
      <c r="AC145" s="39" t="n">
        <f aca="false">ROUND(I145-S145-MIN(I145-S145,MAX(0,$AF145-SUMPRODUCT(--($B$4:$K$4&lt;I$4),$B145:$K145-$L145:$U145))),2)</f>
        <v>0</v>
      </c>
      <c r="AD145" s="39" t="n">
        <f aca="false">ROUND(J145-T145-MIN(J145-T145,MAX(0,$AF145-SUMPRODUCT(--($B$4:$K$4&lt;J$4),$B145:$K145-$L145:$U145))),2)</f>
        <v>0</v>
      </c>
      <c r="AE145" s="39" t="n">
        <f aca="false">ROUND(K145-U145-MIN(K145-U145,MAX(0,$AF145-SUMPRODUCT(--($B$4:$K$4&lt;K$4),$B145:$K145-$L145:$U145))),2)</f>
        <v>0</v>
      </c>
      <c r="AF145" s="39" t="n">
        <f aca="false">MAX(0,'Start Here'!$C$5-SUM($L145:$U145))</f>
        <v>1200</v>
      </c>
      <c r="AG145" s="39" t="n">
        <f aca="false">SUM(V145:AE145)</f>
        <v>0</v>
      </c>
      <c r="AH145" s="39" t="n">
        <f aca="false">SUM(B145:K145)-AG144</f>
        <v>0</v>
      </c>
    </row>
    <row r="146" customFormat="false" ht="15" hidden="false" customHeight="false" outlineLevel="0" collapsed="false">
      <c r="A146" s="40" t="n">
        <f aca="false">DATE(YEAR('Start Here'!$C$6),MONTH('Start Here'!$C$6)+139,1)</f>
        <v>50526</v>
      </c>
      <c r="B146" s="39" t="n">
        <f aca="false">ROUND(V145*(1+N('My Debts'!$D$6)/12),2)</f>
        <v>0</v>
      </c>
      <c r="C146" s="39" t="n">
        <f aca="false">ROUND(W145*(1+N('My Debts'!$D$7)/12),2)</f>
        <v>0</v>
      </c>
      <c r="D146" s="39" t="n">
        <f aca="false">ROUND(X145*(1+N('My Debts'!$D$8)/12),2)</f>
        <v>0</v>
      </c>
      <c r="E146" s="39" t="n">
        <f aca="false">ROUND(Y145*(1+N('My Debts'!$D$9)/12),2)</f>
        <v>0</v>
      </c>
      <c r="F146" s="39" t="n">
        <f aca="false">ROUND(Z145*(1+N('My Debts'!$D$10)/12),2)</f>
        <v>0</v>
      </c>
      <c r="G146" s="39" t="n">
        <f aca="false">ROUND(AA145*(1+N('My Debts'!$D$11)/12),2)</f>
        <v>0</v>
      </c>
      <c r="H146" s="39" t="n">
        <f aca="false">ROUND(AB145*(1+N('My Debts'!$D$12)/12),2)</f>
        <v>0</v>
      </c>
      <c r="I146" s="39" t="n">
        <f aca="false">ROUND(AC145*(1+N('My Debts'!$D$13)/12),2)</f>
        <v>0</v>
      </c>
      <c r="J146" s="39" t="n">
        <f aca="false">ROUND(AD145*(1+N('My Debts'!$D$14)/12),2)</f>
        <v>0</v>
      </c>
      <c r="K146" s="39" t="n">
        <f aca="false">ROUND(AE145*(1+N('My Debts'!$D$15)/12),2)</f>
        <v>0</v>
      </c>
      <c r="L146" s="39" t="n">
        <f aca="false">MIN(N('My Debts'!$E$6),B146)</f>
        <v>0</v>
      </c>
      <c r="M146" s="39" t="n">
        <f aca="false">MIN(N('My Debts'!$E$7),C146)</f>
        <v>0</v>
      </c>
      <c r="N146" s="39" t="n">
        <f aca="false">MIN(N('My Debts'!$E$8),D146)</f>
        <v>0</v>
      </c>
      <c r="O146" s="39" t="n">
        <f aca="false">MIN(N('My Debts'!$E$9),E146)</f>
        <v>0</v>
      </c>
      <c r="P146" s="39" t="n">
        <f aca="false">MIN(N('My Debts'!$E$10),F146)</f>
        <v>0</v>
      </c>
      <c r="Q146" s="39" t="n">
        <f aca="false">MIN(N('My Debts'!$E$11),G146)</f>
        <v>0</v>
      </c>
      <c r="R146" s="39" t="n">
        <f aca="false">MIN(N('My Debts'!$E$12),H146)</f>
        <v>0</v>
      </c>
      <c r="S146" s="39" t="n">
        <f aca="false">MIN(N('My Debts'!$E$13),I146)</f>
        <v>0</v>
      </c>
      <c r="T146" s="39" t="n">
        <f aca="false">MIN(N('My Debts'!$E$14),J146)</f>
        <v>0</v>
      </c>
      <c r="U146" s="39" t="n">
        <f aca="false">MIN(N('My Debts'!$E$15),K146)</f>
        <v>0</v>
      </c>
      <c r="V146" s="39" t="n">
        <f aca="false">ROUND(B146-L146-MIN(B146-L146,MAX(0,$AF146-SUMPRODUCT(--($B$4:$K$4&lt;B$4),$B146:$K146-$L146:$U146))),2)</f>
        <v>0</v>
      </c>
      <c r="W146" s="39" t="n">
        <f aca="false">ROUND(C146-M146-MIN(C146-M146,MAX(0,$AF146-SUMPRODUCT(--($B$4:$K$4&lt;C$4),$B146:$K146-$L146:$U146))),2)</f>
        <v>0</v>
      </c>
      <c r="X146" s="39" t="n">
        <f aca="false">ROUND(D146-N146-MIN(D146-N146,MAX(0,$AF146-SUMPRODUCT(--($B$4:$K$4&lt;D$4),$B146:$K146-$L146:$U146))),2)</f>
        <v>0</v>
      </c>
      <c r="Y146" s="39" t="n">
        <f aca="false">ROUND(E146-O146-MIN(E146-O146,MAX(0,$AF146-SUMPRODUCT(--($B$4:$K$4&lt;E$4),$B146:$K146-$L146:$U146))),2)</f>
        <v>0</v>
      </c>
      <c r="Z146" s="39" t="n">
        <f aca="false">ROUND(F146-P146-MIN(F146-P146,MAX(0,$AF146-SUMPRODUCT(--($B$4:$K$4&lt;F$4),$B146:$K146-$L146:$U146))),2)</f>
        <v>0</v>
      </c>
      <c r="AA146" s="39" t="n">
        <f aca="false">ROUND(G146-Q146-MIN(G146-Q146,MAX(0,$AF146-SUMPRODUCT(--($B$4:$K$4&lt;G$4),$B146:$K146-$L146:$U146))),2)</f>
        <v>0</v>
      </c>
      <c r="AB146" s="39" t="n">
        <f aca="false">ROUND(H146-R146-MIN(H146-R146,MAX(0,$AF146-SUMPRODUCT(--($B$4:$K$4&lt;H$4),$B146:$K146-$L146:$U146))),2)</f>
        <v>0</v>
      </c>
      <c r="AC146" s="39" t="n">
        <f aca="false">ROUND(I146-S146-MIN(I146-S146,MAX(0,$AF146-SUMPRODUCT(--($B$4:$K$4&lt;I$4),$B146:$K146-$L146:$U146))),2)</f>
        <v>0</v>
      </c>
      <c r="AD146" s="39" t="n">
        <f aca="false">ROUND(J146-T146-MIN(J146-T146,MAX(0,$AF146-SUMPRODUCT(--($B$4:$K$4&lt;J$4),$B146:$K146-$L146:$U146))),2)</f>
        <v>0</v>
      </c>
      <c r="AE146" s="39" t="n">
        <f aca="false">ROUND(K146-U146-MIN(K146-U146,MAX(0,$AF146-SUMPRODUCT(--($B$4:$K$4&lt;K$4),$B146:$K146-$L146:$U146))),2)</f>
        <v>0</v>
      </c>
      <c r="AF146" s="39" t="n">
        <f aca="false">MAX(0,'Start Here'!$C$5-SUM($L146:$U146))</f>
        <v>1200</v>
      </c>
      <c r="AG146" s="39" t="n">
        <f aca="false">SUM(V146:AE146)</f>
        <v>0</v>
      </c>
      <c r="AH146" s="39" t="n">
        <f aca="false">SUM(B146:K146)-AG145</f>
        <v>0</v>
      </c>
    </row>
    <row r="147" customFormat="false" ht="15" hidden="false" customHeight="false" outlineLevel="0" collapsed="false">
      <c r="A147" s="40" t="n">
        <f aca="false">DATE(YEAR('Start Here'!$C$6),MONTH('Start Here'!$C$6)+140,1)</f>
        <v>50557</v>
      </c>
      <c r="B147" s="39" t="n">
        <f aca="false">ROUND(V146*(1+N('My Debts'!$D$6)/12),2)</f>
        <v>0</v>
      </c>
      <c r="C147" s="39" t="n">
        <f aca="false">ROUND(W146*(1+N('My Debts'!$D$7)/12),2)</f>
        <v>0</v>
      </c>
      <c r="D147" s="39" t="n">
        <f aca="false">ROUND(X146*(1+N('My Debts'!$D$8)/12),2)</f>
        <v>0</v>
      </c>
      <c r="E147" s="39" t="n">
        <f aca="false">ROUND(Y146*(1+N('My Debts'!$D$9)/12),2)</f>
        <v>0</v>
      </c>
      <c r="F147" s="39" t="n">
        <f aca="false">ROUND(Z146*(1+N('My Debts'!$D$10)/12),2)</f>
        <v>0</v>
      </c>
      <c r="G147" s="39" t="n">
        <f aca="false">ROUND(AA146*(1+N('My Debts'!$D$11)/12),2)</f>
        <v>0</v>
      </c>
      <c r="H147" s="39" t="n">
        <f aca="false">ROUND(AB146*(1+N('My Debts'!$D$12)/12),2)</f>
        <v>0</v>
      </c>
      <c r="I147" s="39" t="n">
        <f aca="false">ROUND(AC146*(1+N('My Debts'!$D$13)/12),2)</f>
        <v>0</v>
      </c>
      <c r="J147" s="39" t="n">
        <f aca="false">ROUND(AD146*(1+N('My Debts'!$D$14)/12),2)</f>
        <v>0</v>
      </c>
      <c r="K147" s="39" t="n">
        <f aca="false">ROUND(AE146*(1+N('My Debts'!$D$15)/12),2)</f>
        <v>0</v>
      </c>
      <c r="L147" s="39" t="n">
        <f aca="false">MIN(N('My Debts'!$E$6),B147)</f>
        <v>0</v>
      </c>
      <c r="M147" s="39" t="n">
        <f aca="false">MIN(N('My Debts'!$E$7),C147)</f>
        <v>0</v>
      </c>
      <c r="N147" s="39" t="n">
        <f aca="false">MIN(N('My Debts'!$E$8),D147)</f>
        <v>0</v>
      </c>
      <c r="O147" s="39" t="n">
        <f aca="false">MIN(N('My Debts'!$E$9),E147)</f>
        <v>0</v>
      </c>
      <c r="P147" s="39" t="n">
        <f aca="false">MIN(N('My Debts'!$E$10),F147)</f>
        <v>0</v>
      </c>
      <c r="Q147" s="39" t="n">
        <f aca="false">MIN(N('My Debts'!$E$11),G147)</f>
        <v>0</v>
      </c>
      <c r="R147" s="39" t="n">
        <f aca="false">MIN(N('My Debts'!$E$12),H147)</f>
        <v>0</v>
      </c>
      <c r="S147" s="39" t="n">
        <f aca="false">MIN(N('My Debts'!$E$13),I147)</f>
        <v>0</v>
      </c>
      <c r="T147" s="39" t="n">
        <f aca="false">MIN(N('My Debts'!$E$14),J147)</f>
        <v>0</v>
      </c>
      <c r="U147" s="39" t="n">
        <f aca="false">MIN(N('My Debts'!$E$15),K147)</f>
        <v>0</v>
      </c>
      <c r="V147" s="39" t="n">
        <f aca="false">ROUND(B147-L147-MIN(B147-L147,MAX(0,$AF147-SUMPRODUCT(--($B$4:$K$4&lt;B$4),$B147:$K147-$L147:$U147))),2)</f>
        <v>0</v>
      </c>
      <c r="W147" s="39" t="n">
        <f aca="false">ROUND(C147-M147-MIN(C147-M147,MAX(0,$AF147-SUMPRODUCT(--($B$4:$K$4&lt;C$4),$B147:$K147-$L147:$U147))),2)</f>
        <v>0</v>
      </c>
      <c r="X147" s="39" t="n">
        <f aca="false">ROUND(D147-N147-MIN(D147-N147,MAX(0,$AF147-SUMPRODUCT(--($B$4:$K$4&lt;D$4),$B147:$K147-$L147:$U147))),2)</f>
        <v>0</v>
      </c>
      <c r="Y147" s="39" t="n">
        <f aca="false">ROUND(E147-O147-MIN(E147-O147,MAX(0,$AF147-SUMPRODUCT(--($B$4:$K$4&lt;E$4),$B147:$K147-$L147:$U147))),2)</f>
        <v>0</v>
      </c>
      <c r="Z147" s="39" t="n">
        <f aca="false">ROUND(F147-P147-MIN(F147-P147,MAX(0,$AF147-SUMPRODUCT(--($B$4:$K$4&lt;F$4),$B147:$K147-$L147:$U147))),2)</f>
        <v>0</v>
      </c>
      <c r="AA147" s="39" t="n">
        <f aca="false">ROUND(G147-Q147-MIN(G147-Q147,MAX(0,$AF147-SUMPRODUCT(--($B$4:$K$4&lt;G$4),$B147:$K147-$L147:$U147))),2)</f>
        <v>0</v>
      </c>
      <c r="AB147" s="39" t="n">
        <f aca="false">ROUND(H147-R147-MIN(H147-R147,MAX(0,$AF147-SUMPRODUCT(--($B$4:$K$4&lt;H$4),$B147:$K147-$L147:$U147))),2)</f>
        <v>0</v>
      </c>
      <c r="AC147" s="39" t="n">
        <f aca="false">ROUND(I147-S147-MIN(I147-S147,MAX(0,$AF147-SUMPRODUCT(--($B$4:$K$4&lt;I$4),$B147:$K147-$L147:$U147))),2)</f>
        <v>0</v>
      </c>
      <c r="AD147" s="39" t="n">
        <f aca="false">ROUND(J147-T147-MIN(J147-T147,MAX(0,$AF147-SUMPRODUCT(--($B$4:$K$4&lt;J$4),$B147:$K147-$L147:$U147))),2)</f>
        <v>0</v>
      </c>
      <c r="AE147" s="39" t="n">
        <f aca="false">ROUND(K147-U147-MIN(K147-U147,MAX(0,$AF147-SUMPRODUCT(--($B$4:$K$4&lt;K$4),$B147:$K147-$L147:$U147))),2)</f>
        <v>0</v>
      </c>
      <c r="AF147" s="39" t="n">
        <f aca="false">MAX(0,'Start Here'!$C$5-SUM($L147:$U147))</f>
        <v>1200</v>
      </c>
      <c r="AG147" s="39" t="n">
        <f aca="false">SUM(V147:AE147)</f>
        <v>0</v>
      </c>
      <c r="AH147" s="39" t="n">
        <f aca="false">SUM(B147:K147)-AG146</f>
        <v>0</v>
      </c>
    </row>
    <row r="148" customFormat="false" ht="15" hidden="false" customHeight="false" outlineLevel="0" collapsed="false">
      <c r="A148" s="40" t="n">
        <f aca="false">DATE(YEAR('Start Here'!$C$6),MONTH('Start Here'!$C$6)+141,1)</f>
        <v>50587</v>
      </c>
      <c r="B148" s="39" t="n">
        <f aca="false">ROUND(V147*(1+N('My Debts'!$D$6)/12),2)</f>
        <v>0</v>
      </c>
      <c r="C148" s="39" t="n">
        <f aca="false">ROUND(W147*(1+N('My Debts'!$D$7)/12),2)</f>
        <v>0</v>
      </c>
      <c r="D148" s="39" t="n">
        <f aca="false">ROUND(X147*(1+N('My Debts'!$D$8)/12),2)</f>
        <v>0</v>
      </c>
      <c r="E148" s="39" t="n">
        <f aca="false">ROUND(Y147*(1+N('My Debts'!$D$9)/12),2)</f>
        <v>0</v>
      </c>
      <c r="F148" s="39" t="n">
        <f aca="false">ROUND(Z147*(1+N('My Debts'!$D$10)/12),2)</f>
        <v>0</v>
      </c>
      <c r="G148" s="39" t="n">
        <f aca="false">ROUND(AA147*(1+N('My Debts'!$D$11)/12),2)</f>
        <v>0</v>
      </c>
      <c r="H148" s="39" t="n">
        <f aca="false">ROUND(AB147*(1+N('My Debts'!$D$12)/12),2)</f>
        <v>0</v>
      </c>
      <c r="I148" s="39" t="n">
        <f aca="false">ROUND(AC147*(1+N('My Debts'!$D$13)/12),2)</f>
        <v>0</v>
      </c>
      <c r="J148" s="39" t="n">
        <f aca="false">ROUND(AD147*(1+N('My Debts'!$D$14)/12),2)</f>
        <v>0</v>
      </c>
      <c r="K148" s="39" t="n">
        <f aca="false">ROUND(AE147*(1+N('My Debts'!$D$15)/12),2)</f>
        <v>0</v>
      </c>
      <c r="L148" s="39" t="n">
        <f aca="false">MIN(N('My Debts'!$E$6),B148)</f>
        <v>0</v>
      </c>
      <c r="M148" s="39" t="n">
        <f aca="false">MIN(N('My Debts'!$E$7),C148)</f>
        <v>0</v>
      </c>
      <c r="N148" s="39" t="n">
        <f aca="false">MIN(N('My Debts'!$E$8),D148)</f>
        <v>0</v>
      </c>
      <c r="O148" s="39" t="n">
        <f aca="false">MIN(N('My Debts'!$E$9),E148)</f>
        <v>0</v>
      </c>
      <c r="P148" s="39" t="n">
        <f aca="false">MIN(N('My Debts'!$E$10),F148)</f>
        <v>0</v>
      </c>
      <c r="Q148" s="39" t="n">
        <f aca="false">MIN(N('My Debts'!$E$11),G148)</f>
        <v>0</v>
      </c>
      <c r="R148" s="39" t="n">
        <f aca="false">MIN(N('My Debts'!$E$12),H148)</f>
        <v>0</v>
      </c>
      <c r="S148" s="39" t="n">
        <f aca="false">MIN(N('My Debts'!$E$13),I148)</f>
        <v>0</v>
      </c>
      <c r="T148" s="39" t="n">
        <f aca="false">MIN(N('My Debts'!$E$14),J148)</f>
        <v>0</v>
      </c>
      <c r="U148" s="39" t="n">
        <f aca="false">MIN(N('My Debts'!$E$15),K148)</f>
        <v>0</v>
      </c>
      <c r="V148" s="39" t="n">
        <f aca="false">ROUND(B148-L148-MIN(B148-L148,MAX(0,$AF148-SUMPRODUCT(--($B$4:$K$4&lt;B$4),$B148:$K148-$L148:$U148))),2)</f>
        <v>0</v>
      </c>
      <c r="W148" s="39" t="n">
        <f aca="false">ROUND(C148-M148-MIN(C148-M148,MAX(0,$AF148-SUMPRODUCT(--($B$4:$K$4&lt;C$4),$B148:$K148-$L148:$U148))),2)</f>
        <v>0</v>
      </c>
      <c r="X148" s="39" t="n">
        <f aca="false">ROUND(D148-N148-MIN(D148-N148,MAX(0,$AF148-SUMPRODUCT(--($B$4:$K$4&lt;D$4),$B148:$K148-$L148:$U148))),2)</f>
        <v>0</v>
      </c>
      <c r="Y148" s="39" t="n">
        <f aca="false">ROUND(E148-O148-MIN(E148-O148,MAX(0,$AF148-SUMPRODUCT(--($B$4:$K$4&lt;E$4),$B148:$K148-$L148:$U148))),2)</f>
        <v>0</v>
      </c>
      <c r="Z148" s="39" t="n">
        <f aca="false">ROUND(F148-P148-MIN(F148-P148,MAX(0,$AF148-SUMPRODUCT(--($B$4:$K$4&lt;F$4),$B148:$K148-$L148:$U148))),2)</f>
        <v>0</v>
      </c>
      <c r="AA148" s="39" t="n">
        <f aca="false">ROUND(G148-Q148-MIN(G148-Q148,MAX(0,$AF148-SUMPRODUCT(--($B$4:$K$4&lt;G$4),$B148:$K148-$L148:$U148))),2)</f>
        <v>0</v>
      </c>
      <c r="AB148" s="39" t="n">
        <f aca="false">ROUND(H148-R148-MIN(H148-R148,MAX(0,$AF148-SUMPRODUCT(--($B$4:$K$4&lt;H$4),$B148:$K148-$L148:$U148))),2)</f>
        <v>0</v>
      </c>
      <c r="AC148" s="39" t="n">
        <f aca="false">ROUND(I148-S148-MIN(I148-S148,MAX(0,$AF148-SUMPRODUCT(--($B$4:$K$4&lt;I$4),$B148:$K148-$L148:$U148))),2)</f>
        <v>0</v>
      </c>
      <c r="AD148" s="39" t="n">
        <f aca="false">ROUND(J148-T148-MIN(J148-T148,MAX(0,$AF148-SUMPRODUCT(--($B$4:$K$4&lt;J$4),$B148:$K148-$L148:$U148))),2)</f>
        <v>0</v>
      </c>
      <c r="AE148" s="39" t="n">
        <f aca="false">ROUND(K148-U148-MIN(K148-U148,MAX(0,$AF148-SUMPRODUCT(--($B$4:$K$4&lt;K$4),$B148:$K148-$L148:$U148))),2)</f>
        <v>0</v>
      </c>
      <c r="AF148" s="39" t="n">
        <f aca="false">MAX(0,'Start Here'!$C$5-SUM($L148:$U148))</f>
        <v>1200</v>
      </c>
      <c r="AG148" s="39" t="n">
        <f aca="false">SUM(V148:AE148)</f>
        <v>0</v>
      </c>
      <c r="AH148" s="39" t="n">
        <f aca="false">SUM(B148:K148)-AG147</f>
        <v>0</v>
      </c>
    </row>
    <row r="149" customFormat="false" ht="15" hidden="false" customHeight="false" outlineLevel="0" collapsed="false">
      <c r="A149" s="40" t="n">
        <f aca="false">DATE(YEAR('Start Here'!$C$6),MONTH('Start Here'!$C$6)+142,1)</f>
        <v>50618</v>
      </c>
      <c r="B149" s="39" t="n">
        <f aca="false">ROUND(V148*(1+N('My Debts'!$D$6)/12),2)</f>
        <v>0</v>
      </c>
      <c r="C149" s="39" t="n">
        <f aca="false">ROUND(W148*(1+N('My Debts'!$D$7)/12),2)</f>
        <v>0</v>
      </c>
      <c r="D149" s="39" t="n">
        <f aca="false">ROUND(X148*(1+N('My Debts'!$D$8)/12),2)</f>
        <v>0</v>
      </c>
      <c r="E149" s="39" t="n">
        <f aca="false">ROUND(Y148*(1+N('My Debts'!$D$9)/12),2)</f>
        <v>0</v>
      </c>
      <c r="F149" s="39" t="n">
        <f aca="false">ROUND(Z148*(1+N('My Debts'!$D$10)/12),2)</f>
        <v>0</v>
      </c>
      <c r="G149" s="39" t="n">
        <f aca="false">ROUND(AA148*(1+N('My Debts'!$D$11)/12),2)</f>
        <v>0</v>
      </c>
      <c r="H149" s="39" t="n">
        <f aca="false">ROUND(AB148*(1+N('My Debts'!$D$12)/12),2)</f>
        <v>0</v>
      </c>
      <c r="I149" s="39" t="n">
        <f aca="false">ROUND(AC148*(1+N('My Debts'!$D$13)/12),2)</f>
        <v>0</v>
      </c>
      <c r="J149" s="39" t="n">
        <f aca="false">ROUND(AD148*(1+N('My Debts'!$D$14)/12),2)</f>
        <v>0</v>
      </c>
      <c r="K149" s="39" t="n">
        <f aca="false">ROUND(AE148*(1+N('My Debts'!$D$15)/12),2)</f>
        <v>0</v>
      </c>
      <c r="L149" s="39" t="n">
        <f aca="false">MIN(N('My Debts'!$E$6),B149)</f>
        <v>0</v>
      </c>
      <c r="M149" s="39" t="n">
        <f aca="false">MIN(N('My Debts'!$E$7),C149)</f>
        <v>0</v>
      </c>
      <c r="N149" s="39" t="n">
        <f aca="false">MIN(N('My Debts'!$E$8),D149)</f>
        <v>0</v>
      </c>
      <c r="O149" s="39" t="n">
        <f aca="false">MIN(N('My Debts'!$E$9),E149)</f>
        <v>0</v>
      </c>
      <c r="P149" s="39" t="n">
        <f aca="false">MIN(N('My Debts'!$E$10),F149)</f>
        <v>0</v>
      </c>
      <c r="Q149" s="39" t="n">
        <f aca="false">MIN(N('My Debts'!$E$11),G149)</f>
        <v>0</v>
      </c>
      <c r="R149" s="39" t="n">
        <f aca="false">MIN(N('My Debts'!$E$12),H149)</f>
        <v>0</v>
      </c>
      <c r="S149" s="39" t="n">
        <f aca="false">MIN(N('My Debts'!$E$13),I149)</f>
        <v>0</v>
      </c>
      <c r="T149" s="39" t="n">
        <f aca="false">MIN(N('My Debts'!$E$14),J149)</f>
        <v>0</v>
      </c>
      <c r="U149" s="39" t="n">
        <f aca="false">MIN(N('My Debts'!$E$15),K149)</f>
        <v>0</v>
      </c>
      <c r="V149" s="39" t="n">
        <f aca="false">ROUND(B149-L149-MIN(B149-L149,MAX(0,$AF149-SUMPRODUCT(--($B$4:$K$4&lt;B$4),$B149:$K149-$L149:$U149))),2)</f>
        <v>0</v>
      </c>
      <c r="W149" s="39" t="n">
        <f aca="false">ROUND(C149-M149-MIN(C149-M149,MAX(0,$AF149-SUMPRODUCT(--($B$4:$K$4&lt;C$4),$B149:$K149-$L149:$U149))),2)</f>
        <v>0</v>
      </c>
      <c r="X149" s="39" t="n">
        <f aca="false">ROUND(D149-N149-MIN(D149-N149,MAX(0,$AF149-SUMPRODUCT(--($B$4:$K$4&lt;D$4),$B149:$K149-$L149:$U149))),2)</f>
        <v>0</v>
      </c>
      <c r="Y149" s="39" t="n">
        <f aca="false">ROUND(E149-O149-MIN(E149-O149,MAX(0,$AF149-SUMPRODUCT(--($B$4:$K$4&lt;E$4),$B149:$K149-$L149:$U149))),2)</f>
        <v>0</v>
      </c>
      <c r="Z149" s="39" t="n">
        <f aca="false">ROUND(F149-P149-MIN(F149-P149,MAX(0,$AF149-SUMPRODUCT(--($B$4:$K$4&lt;F$4),$B149:$K149-$L149:$U149))),2)</f>
        <v>0</v>
      </c>
      <c r="AA149" s="39" t="n">
        <f aca="false">ROUND(G149-Q149-MIN(G149-Q149,MAX(0,$AF149-SUMPRODUCT(--($B$4:$K$4&lt;G$4),$B149:$K149-$L149:$U149))),2)</f>
        <v>0</v>
      </c>
      <c r="AB149" s="39" t="n">
        <f aca="false">ROUND(H149-R149-MIN(H149-R149,MAX(0,$AF149-SUMPRODUCT(--($B$4:$K$4&lt;H$4),$B149:$K149-$L149:$U149))),2)</f>
        <v>0</v>
      </c>
      <c r="AC149" s="39" t="n">
        <f aca="false">ROUND(I149-S149-MIN(I149-S149,MAX(0,$AF149-SUMPRODUCT(--($B$4:$K$4&lt;I$4),$B149:$K149-$L149:$U149))),2)</f>
        <v>0</v>
      </c>
      <c r="AD149" s="39" t="n">
        <f aca="false">ROUND(J149-T149-MIN(J149-T149,MAX(0,$AF149-SUMPRODUCT(--($B$4:$K$4&lt;J$4),$B149:$K149-$L149:$U149))),2)</f>
        <v>0</v>
      </c>
      <c r="AE149" s="39" t="n">
        <f aca="false">ROUND(K149-U149-MIN(K149-U149,MAX(0,$AF149-SUMPRODUCT(--($B$4:$K$4&lt;K$4),$B149:$K149-$L149:$U149))),2)</f>
        <v>0</v>
      </c>
      <c r="AF149" s="39" t="n">
        <f aca="false">MAX(0,'Start Here'!$C$5-SUM($L149:$U149))</f>
        <v>1200</v>
      </c>
      <c r="AG149" s="39" t="n">
        <f aca="false">SUM(V149:AE149)</f>
        <v>0</v>
      </c>
      <c r="AH149" s="39" t="n">
        <f aca="false">SUM(B149:K149)-AG148</f>
        <v>0</v>
      </c>
    </row>
    <row r="150" customFormat="false" ht="15" hidden="false" customHeight="false" outlineLevel="0" collapsed="false">
      <c r="A150" s="40" t="n">
        <f aca="false">DATE(YEAR('Start Here'!$C$6),MONTH('Start Here'!$C$6)+143,1)</f>
        <v>50649</v>
      </c>
      <c r="B150" s="39" t="n">
        <f aca="false">ROUND(V149*(1+N('My Debts'!$D$6)/12),2)</f>
        <v>0</v>
      </c>
      <c r="C150" s="39" t="n">
        <f aca="false">ROUND(W149*(1+N('My Debts'!$D$7)/12),2)</f>
        <v>0</v>
      </c>
      <c r="D150" s="39" t="n">
        <f aca="false">ROUND(X149*(1+N('My Debts'!$D$8)/12),2)</f>
        <v>0</v>
      </c>
      <c r="E150" s="39" t="n">
        <f aca="false">ROUND(Y149*(1+N('My Debts'!$D$9)/12),2)</f>
        <v>0</v>
      </c>
      <c r="F150" s="39" t="n">
        <f aca="false">ROUND(Z149*(1+N('My Debts'!$D$10)/12),2)</f>
        <v>0</v>
      </c>
      <c r="G150" s="39" t="n">
        <f aca="false">ROUND(AA149*(1+N('My Debts'!$D$11)/12),2)</f>
        <v>0</v>
      </c>
      <c r="H150" s="39" t="n">
        <f aca="false">ROUND(AB149*(1+N('My Debts'!$D$12)/12),2)</f>
        <v>0</v>
      </c>
      <c r="I150" s="39" t="n">
        <f aca="false">ROUND(AC149*(1+N('My Debts'!$D$13)/12),2)</f>
        <v>0</v>
      </c>
      <c r="J150" s="39" t="n">
        <f aca="false">ROUND(AD149*(1+N('My Debts'!$D$14)/12),2)</f>
        <v>0</v>
      </c>
      <c r="K150" s="39" t="n">
        <f aca="false">ROUND(AE149*(1+N('My Debts'!$D$15)/12),2)</f>
        <v>0</v>
      </c>
      <c r="L150" s="39" t="n">
        <f aca="false">MIN(N('My Debts'!$E$6),B150)</f>
        <v>0</v>
      </c>
      <c r="M150" s="39" t="n">
        <f aca="false">MIN(N('My Debts'!$E$7),C150)</f>
        <v>0</v>
      </c>
      <c r="N150" s="39" t="n">
        <f aca="false">MIN(N('My Debts'!$E$8),D150)</f>
        <v>0</v>
      </c>
      <c r="O150" s="39" t="n">
        <f aca="false">MIN(N('My Debts'!$E$9),E150)</f>
        <v>0</v>
      </c>
      <c r="P150" s="39" t="n">
        <f aca="false">MIN(N('My Debts'!$E$10),F150)</f>
        <v>0</v>
      </c>
      <c r="Q150" s="39" t="n">
        <f aca="false">MIN(N('My Debts'!$E$11),G150)</f>
        <v>0</v>
      </c>
      <c r="R150" s="39" t="n">
        <f aca="false">MIN(N('My Debts'!$E$12),H150)</f>
        <v>0</v>
      </c>
      <c r="S150" s="39" t="n">
        <f aca="false">MIN(N('My Debts'!$E$13),I150)</f>
        <v>0</v>
      </c>
      <c r="T150" s="39" t="n">
        <f aca="false">MIN(N('My Debts'!$E$14),J150)</f>
        <v>0</v>
      </c>
      <c r="U150" s="39" t="n">
        <f aca="false">MIN(N('My Debts'!$E$15),K150)</f>
        <v>0</v>
      </c>
      <c r="V150" s="39" t="n">
        <f aca="false">ROUND(B150-L150-MIN(B150-L150,MAX(0,$AF150-SUMPRODUCT(--($B$4:$K$4&lt;B$4),$B150:$K150-$L150:$U150))),2)</f>
        <v>0</v>
      </c>
      <c r="W150" s="39" t="n">
        <f aca="false">ROUND(C150-M150-MIN(C150-M150,MAX(0,$AF150-SUMPRODUCT(--($B$4:$K$4&lt;C$4),$B150:$K150-$L150:$U150))),2)</f>
        <v>0</v>
      </c>
      <c r="X150" s="39" t="n">
        <f aca="false">ROUND(D150-N150-MIN(D150-N150,MAX(0,$AF150-SUMPRODUCT(--($B$4:$K$4&lt;D$4),$B150:$K150-$L150:$U150))),2)</f>
        <v>0</v>
      </c>
      <c r="Y150" s="39" t="n">
        <f aca="false">ROUND(E150-O150-MIN(E150-O150,MAX(0,$AF150-SUMPRODUCT(--($B$4:$K$4&lt;E$4),$B150:$K150-$L150:$U150))),2)</f>
        <v>0</v>
      </c>
      <c r="Z150" s="39" t="n">
        <f aca="false">ROUND(F150-P150-MIN(F150-P150,MAX(0,$AF150-SUMPRODUCT(--($B$4:$K$4&lt;F$4),$B150:$K150-$L150:$U150))),2)</f>
        <v>0</v>
      </c>
      <c r="AA150" s="39" t="n">
        <f aca="false">ROUND(G150-Q150-MIN(G150-Q150,MAX(0,$AF150-SUMPRODUCT(--($B$4:$K$4&lt;G$4),$B150:$K150-$L150:$U150))),2)</f>
        <v>0</v>
      </c>
      <c r="AB150" s="39" t="n">
        <f aca="false">ROUND(H150-R150-MIN(H150-R150,MAX(0,$AF150-SUMPRODUCT(--($B$4:$K$4&lt;H$4),$B150:$K150-$L150:$U150))),2)</f>
        <v>0</v>
      </c>
      <c r="AC150" s="39" t="n">
        <f aca="false">ROUND(I150-S150-MIN(I150-S150,MAX(0,$AF150-SUMPRODUCT(--($B$4:$K$4&lt;I$4),$B150:$K150-$L150:$U150))),2)</f>
        <v>0</v>
      </c>
      <c r="AD150" s="39" t="n">
        <f aca="false">ROUND(J150-T150-MIN(J150-T150,MAX(0,$AF150-SUMPRODUCT(--($B$4:$K$4&lt;J$4),$B150:$K150-$L150:$U150))),2)</f>
        <v>0</v>
      </c>
      <c r="AE150" s="39" t="n">
        <f aca="false">ROUND(K150-U150-MIN(K150-U150,MAX(0,$AF150-SUMPRODUCT(--($B$4:$K$4&lt;K$4),$B150:$K150-$L150:$U150))),2)</f>
        <v>0</v>
      </c>
      <c r="AF150" s="39" t="n">
        <f aca="false">MAX(0,'Start Here'!$C$5-SUM($L150:$U150))</f>
        <v>1200</v>
      </c>
      <c r="AG150" s="39" t="n">
        <f aca="false">SUM(V150:AE150)</f>
        <v>0</v>
      </c>
      <c r="AH150" s="39" t="n">
        <f aca="false">SUM(B150:K150)-AG149</f>
        <v>0</v>
      </c>
    </row>
    <row r="151" customFormat="false" ht="15" hidden="false" customHeight="false" outlineLevel="0" collapsed="false">
      <c r="A151" s="40" t="n">
        <f aca="false">DATE(YEAR('Start Here'!$C$6),MONTH('Start Here'!$C$6)+144,1)</f>
        <v>50679</v>
      </c>
      <c r="B151" s="39" t="n">
        <f aca="false">ROUND(V150*(1+N('My Debts'!$D$6)/12),2)</f>
        <v>0</v>
      </c>
      <c r="C151" s="39" t="n">
        <f aca="false">ROUND(W150*(1+N('My Debts'!$D$7)/12),2)</f>
        <v>0</v>
      </c>
      <c r="D151" s="39" t="n">
        <f aca="false">ROUND(X150*(1+N('My Debts'!$D$8)/12),2)</f>
        <v>0</v>
      </c>
      <c r="E151" s="39" t="n">
        <f aca="false">ROUND(Y150*(1+N('My Debts'!$D$9)/12),2)</f>
        <v>0</v>
      </c>
      <c r="F151" s="39" t="n">
        <f aca="false">ROUND(Z150*(1+N('My Debts'!$D$10)/12),2)</f>
        <v>0</v>
      </c>
      <c r="G151" s="39" t="n">
        <f aca="false">ROUND(AA150*(1+N('My Debts'!$D$11)/12),2)</f>
        <v>0</v>
      </c>
      <c r="H151" s="39" t="n">
        <f aca="false">ROUND(AB150*(1+N('My Debts'!$D$12)/12),2)</f>
        <v>0</v>
      </c>
      <c r="I151" s="39" t="n">
        <f aca="false">ROUND(AC150*(1+N('My Debts'!$D$13)/12),2)</f>
        <v>0</v>
      </c>
      <c r="J151" s="39" t="n">
        <f aca="false">ROUND(AD150*(1+N('My Debts'!$D$14)/12),2)</f>
        <v>0</v>
      </c>
      <c r="K151" s="39" t="n">
        <f aca="false">ROUND(AE150*(1+N('My Debts'!$D$15)/12),2)</f>
        <v>0</v>
      </c>
      <c r="L151" s="39" t="n">
        <f aca="false">MIN(N('My Debts'!$E$6),B151)</f>
        <v>0</v>
      </c>
      <c r="M151" s="39" t="n">
        <f aca="false">MIN(N('My Debts'!$E$7),C151)</f>
        <v>0</v>
      </c>
      <c r="N151" s="39" t="n">
        <f aca="false">MIN(N('My Debts'!$E$8),D151)</f>
        <v>0</v>
      </c>
      <c r="O151" s="39" t="n">
        <f aca="false">MIN(N('My Debts'!$E$9),E151)</f>
        <v>0</v>
      </c>
      <c r="P151" s="39" t="n">
        <f aca="false">MIN(N('My Debts'!$E$10),F151)</f>
        <v>0</v>
      </c>
      <c r="Q151" s="39" t="n">
        <f aca="false">MIN(N('My Debts'!$E$11),G151)</f>
        <v>0</v>
      </c>
      <c r="R151" s="39" t="n">
        <f aca="false">MIN(N('My Debts'!$E$12),H151)</f>
        <v>0</v>
      </c>
      <c r="S151" s="39" t="n">
        <f aca="false">MIN(N('My Debts'!$E$13),I151)</f>
        <v>0</v>
      </c>
      <c r="T151" s="39" t="n">
        <f aca="false">MIN(N('My Debts'!$E$14),J151)</f>
        <v>0</v>
      </c>
      <c r="U151" s="39" t="n">
        <f aca="false">MIN(N('My Debts'!$E$15),K151)</f>
        <v>0</v>
      </c>
      <c r="V151" s="39" t="n">
        <f aca="false">ROUND(B151-L151-MIN(B151-L151,MAX(0,$AF151-SUMPRODUCT(--($B$4:$K$4&lt;B$4),$B151:$K151-$L151:$U151))),2)</f>
        <v>0</v>
      </c>
      <c r="W151" s="39" t="n">
        <f aca="false">ROUND(C151-M151-MIN(C151-M151,MAX(0,$AF151-SUMPRODUCT(--($B$4:$K$4&lt;C$4),$B151:$K151-$L151:$U151))),2)</f>
        <v>0</v>
      </c>
      <c r="X151" s="39" t="n">
        <f aca="false">ROUND(D151-N151-MIN(D151-N151,MAX(0,$AF151-SUMPRODUCT(--($B$4:$K$4&lt;D$4),$B151:$K151-$L151:$U151))),2)</f>
        <v>0</v>
      </c>
      <c r="Y151" s="39" t="n">
        <f aca="false">ROUND(E151-O151-MIN(E151-O151,MAX(0,$AF151-SUMPRODUCT(--($B$4:$K$4&lt;E$4),$B151:$K151-$L151:$U151))),2)</f>
        <v>0</v>
      </c>
      <c r="Z151" s="39" t="n">
        <f aca="false">ROUND(F151-P151-MIN(F151-P151,MAX(0,$AF151-SUMPRODUCT(--($B$4:$K$4&lt;F$4),$B151:$K151-$L151:$U151))),2)</f>
        <v>0</v>
      </c>
      <c r="AA151" s="39" t="n">
        <f aca="false">ROUND(G151-Q151-MIN(G151-Q151,MAX(0,$AF151-SUMPRODUCT(--($B$4:$K$4&lt;G$4),$B151:$K151-$L151:$U151))),2)</f>
        <v>0</v>
      </c>
      <c r="AB151" s="39" t="n">
        <f aca="false">ROUND(H151-R151-MIN(H151-R151,MAX(0,$AF151-SUMPRODUCT(--($B$4:$K$4&lt;H$4),$B151:$K151-$L151:$U151))),2)</f>
        <v>0</v>
      </c>
      <c r="AC151" s="39" t="n">
        <f aca="false">ROUND(I151-S151-MIN(I151-S151,MAX(0,$AF151-SUMPRODUCT(--($B$4:$K$4&lt;I$4),$B151:$K151-$L151:$U151))),2)</f>
        <v>0</v>
      </c>
      <c r="AD151" s="39" t="n">
        <f aca="false">ROUND(J151-T151-MIN(J151-T151,MAX(0,$AF151-SUMPRODUCT(--($B$4:$K$4&lt;J$4),$B151:$K151-$L151:$U151))),2)</f>
        <v>0</v>
      </c>
      <c r="AE151" s="39" t="n">
        <f aca="false">ROUND(K151-U151-MIN(K151-U151,MAX(0,$AF151-SUMPRODUCT(--($B$4:$K$4&lt;K$4),$B151:$K151-$L151:$U151))),2)</f>
        <v>0</v>
      </c>
      <c r="AF151" s="39" t="n">
        <f aca="false">MAX(0,'Start Here'!$C$5-SUM($L151:$U151))</f>
        <v>1200</v>
      </c>
      <c r="AG151" s="39" t="n">
        <f aca="false">SUM(V151:AE151)</f>
        <v>0</v>
      </c>
      <c r="AH151" s="39" t="n">
        <f aca="false">SUM(B151:K151)-AG150</f>
        <v>0</v>
      </c>
    </row>
    <row r="152" customFormat="false" ht="15" hidden="false" customHeight="false" outlineLevel="0" collapsed="false">
      <c r="A152" s="40" t="n">
        <f aca="false">DATE(YEAR('Start Here'!$C$6),MONTH('Start Here'!$C$6)+145,1)</f>
        <v>50710</v>
      </c>
      <c r="B152" s="39" t="n">
        <f aca="false">ROUND(V151*(1+N('My Debts'!$D$6)/12),2)</f>
        <v>0</v>
      </c>
      <c r="C152" s="39" t="n">
        <f aca="false">ROUND(W151*(1+N('My Debts'!$D$7)/12),2)</f>
        <v>0</v>
      </c>
      <c r="D152" s="39" t="n">
        <f aca="false">ROUND(X151*(1+N('My Debts'!$D$8)/12),2)</f>
        <v>0</v>
      </c>
      <c r="E152" s="39" t="n">
        <f aca="false">ROUND(Y151*(1+N('My Debts'!$D$9)/12),2)</f>
        <v>0</v>
      </c>
      <c r="F152" s="39" t="n">
        <f aca="false">ROUND(Z151*(1+N('My Debts'!$D$10)/12),2)</f>
        <v>0</v>
      </c>
      <c r="G152" s="39" t="n">
        <f aca="false">ROUND(AA151*(1+N('My Debts'!$D$11)/12),2)</f>
        <v>0</v>
      </c>
      <c r="H152" s="39" t="n">
        <f aca="false">ROUND(AB151*(1+N('My Debts'!$D$12)/12),2)</f>
        <v>0</v>
      </c>
      <c r="I152" s="39" t="n">
        <f aca="false">ROUND(AC151*(1+N('My Debts'!$D$13)/12),2)</f>
        <v>0</v>
      </c>
      <c r="J152" s="39" t="n">
        <f aca="false">ROUND(AD151*(1+N('My Debts'!$D$14)/12),2)</f>
        <v>0</v>
      </c>
      <c r="K152" s="39" t="n">
        <f aca="false">ROUND(AE151*(1+N('My Debts'!$D$15)/12),2)</f>
        <v>0</v>
      </c>
      <c r="L152" s="39" t="n">
        <f aca="false">MIN(N('My Debts'!$E$6),B152)</f>
        <v>0</v>
      </c>
      <c r="M152" s="39" t="n">
        <f aca="false">MIN(N('My Debts'!$E$7),C152)</f>
        <v>0</v>
      </c>
      <c r="N152" s="39" t="n">
        <f aca="false">MIN(N('My Debts'!$E$8),D152)</f>
        <v>0</v>
      </c>
      <c r="O152" s="39" t="n">
        <f aca="false">MIN(N('My Debts'!$E$9),E152)</f>
        <v>0</v>
      </c>
      <c r="P152" s="39" t="n">
        <f aca="false">MIN(N('My Debts'!$E$10),F152)</f>
        <v>0</v>
      </c>
      <c r="Q152" s="39" t="n">
        <f aca="false">MIN(N('My Debts'!$E$11),G152)</f>
        <v>0</v>
      </c>
      <c r="R152" s="39" t="n">
        <f aca="false">MIN(N('My Debts'!$E$12),H152)</f>
        <v>0</v>
      </c>
      <c r="S152" s="39" t="n">
        <f aca="false">MIN(N('My Debts'!$E$13),I152)</f>
        <v>0</v>
      </c>
      <c r="T152" s="39" t="n">
        <f aca="false">MIN(N('My Debts'!$E$14),J152)</f>
        <v>0</v>
      </c>
      <c r="U152" s="39" t="n">
        <f aca="false">MIN(N('My Debts'!$E$15),K152)</f>
        <v>0</v>
      </c>
      <c r="V152" s="39" t="n">
        <f aca="false">ROUND(B152-L152-MIN(B152-L152,MAX(0,$AF152-SUMPRODUCT(--($B$4:$K$4&lt;B$4),$B152:$K152-$L152:$U152))),2)</f>
        <v>0</v>
      </c>
      <c r="W152" s="39" t="n">
        <f aca="false">ROUND(C152-M152-MIN(C152-M152,MAX(0,$AF152-SUMPRODUCT(--($B$4:$K$4&lt;C$4),$B152:$K152-$L152:$U152))),2)</f>
        <v>0</v>
      </c>
      <c r="X152" s="39" t="n">
        <f aca="false">ROUND(D152-N152-MIN(D152-N152,MAX(0,$AF152-SUMPRODUCT(--($B$4:$K$4&lt;D$4),$B152:$K152-$L152:$U152))),2)</f>
        <v>0</v>
      </c>
      <c r="Y152" s="39" t="n">
        <f aca="false">ROUND(E152-O152-MIN(E152-O152,MAX(0,$AF152-SUMPRODUCT(--($B$4:$K$4&lt;E$4),$B152:$K152-$L152:$U152))),2)</f>
        <v>0</v>
      </c>
      <c r="Z152" s="39" t="n">
        <f aca="false">ROUND(F152-P152-MIN(F152-P152,MAX(0,$AF152-SUMPRODUCT(--($B$4:$K$4&lt;F$4),$B152:$K152-$L152:$U152))),2)</f>
        <v>0</v>
      </c>
      <c r="AA152" s="39" t="n">
        <f aca="false">ROUND(G152-Q152-MIN(G152-Q152,MAX(0,$AF152-SUMPRODUCT(--($B$4:$K$4&lt;G$4),$B152:$K152-$L152:$U152))),2)</f>
        <v>0</v>
      </c>
      <c r="AB152" s="39" t="n">
        <f aca="false">ROUND(H152-R152-MIN(H152-R152,MAX(0,$AF152-SUMPRODUCT(--($B$4:$K$4&lt;H$4),$B152:$K152-$L152:$U152))),2)</f>
        <v>0</v>
      </c>
      <c r="AC152" s="39" t="n">
        <f aca="false">ROUND(I152-S152-MIN(I152-S152,MAX(0,$AF152-SUMPRODUCT(--($B$4:$K$4&lt;I$4),$B152:$K152-$L152:$U152))),2)</f>
        <v>0</v>
      </c>
      <c r="AD152" s="39" t="n">
        <f aca="false">ROUND(J152-T152-MIN(J152-T152,MAX(0,$AF152-SUMPRODUCT(--($B$4:$K$4&lt;J$4),$B152:$K152-$L152:$U152))),2)</f>
        <v>0</v>
      </c>
      <c r="AE152" s="39" t="n">
        <f aca="false">ROUND(K152-U152-MIN(K152-U152,MAX(0,$AF152-SUMPRODUCT(--($B$4:$K$4&lt;K$4),$B152:$K152-$L152:$U152))),2)</f>
        <v>0</v>
      </c>
      <c r="AF152" s="39" t="n">
        <f aca="false">MAX(0,'Start Here'!$C$5-SUM($L152:$U152))</f>
        <v>1200</v>
      </c>
      <c r="AG152" s="39" t="n">
        <f aca="false">SUM(V152:AE152)</f>
        <v>0</v>
      </c>
      <c r="AH152" s="39" t="n">
        <f aca="false">SUM(B152:K152)-AG151</f>
        <v>0</v>
      </c>
    </row>
    <row r="153" customFormat="false" ht="15" hidden="false" customHeight="false" outlineLevel="0" collapsed="false">
      <c r="A153" s="40" t="n">
        <f aca="false">DATE(YEAR('Start Here'!$C$6),MONTH('Start Here'!$C$6)+146,1)</f>
        <v>50740</v>
      </c>
      <c r="B153" s="39" t="n">
        <f aca="false">ROUND(V152*(1+N('My Debts'!$D$6)/12),2)</f>
        <v>0</v>
      </c>
      <c r="C153" s="39" t="n">
        <f aca="false">ROUND(W152*(1+N('My Debts'!$D$7)/12),2)</f>
        <v>0</v>
      </c>
      <c r="D153" s="39" t="n">
        <f aca="false">ROUND(X152*(1+N('My Debts'!$D$8)/12),2)</f>
        <v>0</v>
      </c>
      <c r="E153" s="39" t="n">
        <f aca="false">ROUND(Y152*(1+N('My Debts'!$D$9)/12),2)</f>
        <v>0</v>
      </c>
      <c r="F153" s="39" t="n">
        <f aca="false">ROUND(Z152*(1+N('My Debts'!$D$10)/12),2)</f>
        <v>0</v>
      </c>
      <c r="G153" s="39" t="n">
        <f aca="false">ROUND(AA152*(1+N('My Debts'!$D$11)/12),2)</f>
        <v>0</v>
      </c>
      <c r="H153" s="39" t="n">
        <f aca="false">ROUND(AB152*(1+N('My Debts'!$D$12)/12),2)</f>
        <v>0</v>
      </c>
      <c r="I153" s="39" t="n">
        <f aca="false">ROUND(AC152*(1+N('My Debts'!$D$13)/12),2)</f>
        <v>0</v>
      </c>
      <c r="J153" s="39" t="n">
        <f aca="false">ROUND(AD152*(1+N('My Debts'!$D$14)/12),2)</f>
        <v>0</v>
      </c>
      <c r="K153" s="39" t="n">
        <f aca="false">ROUND(AE152*(1+N('My Debts'!$D$15)/12),2)</f>
        <v>0</v>
      </c>
      <c r="L153" s="39" t="n">
        <f aca="false">MIN(N('My Debts'!$E$6),B153)</f>
        <v>0</v>
      </c>
      <c r="M153" s="39" t="n">
        <f aca="false">MIN(N('My Debts'!$E$7),C153)</f>
        <v>0</v>
      </c>
      <c r="N153" s="39" t="n">
        <f aca="false">MIN(N('My Debts'!$E$8),D153)</f>
        <v>0</v>
      </c>
      <c r="O153" s="39" t="n">
        <f aca="false">MIN(N('My Debts'!$E$9),E153)</f>
        <v>0</v>
      </c>
      <c r="P153" s="39" t="n">
        <f aca="false">MIN(N('My Debts'!$E$10),F153)</f>
        <v>0</v>
      </c>
      <c r="Q153" s="39" t="n">
        <f aca="false">MIN(N('My Debts'!$E$11),G153)</f>
        <v>0</v>
      </c>
      <c r="R153" s="39" t="n">
        <f aca="false">MIN(N('My Debts'!$E$12),H153)</f>
        <v>0</v>
      </c>
      <c r="S153" s="39" t="n">
        <f aca="false">MIN(N('My Debts'!$E$13),I153)</f>
        <v>0</v>
      </c>
      <c r="T153" s="39" t="n">
        <f aca="false">MIN(N('My Debts'!$E$14),J153)</f>
        <v>0</v>
      </c>
      <c r="U153" s="39" t="n">
        <f aca="false">MIN(N('My Debts'!$E$15),K153)</f>
        <v>0</v>
      </c>
      <c r="V153" s="39" t="n">
        <f aca="false">ROUND(B153-L153-MIN(B153-L153,MAX(0,$AF153-SUMPRODUCT(--($B$4:$K$4&lt;B$4),$B153:$K153-$L153:$U153))),2)</f>
        <v>0</v>
      </c>
      <c r="W153" s="39" t="n">
        <f aca="false">ROUND(C153-M153-MIN(C153-M153,MAX(0,$AF153-SUMPRODUCT(--($B$4:$K$4&lt;C$4),$B153:$K153-$L153:$U153))),2)</f>
        <v>0</v>
      </c>
      <c r="X153" s="39" t="n">
        <f aca="false">ROUND(D153-N153-MIN(D153-N153,MAX(0,$AF153-SUMPRODUCT(--($B$4:$K$4&lt;D$4),$B153:$K153-$L153:$U153))),2)</f>
        <v>0</v>
      </c>
      <c r="Y153" s="39" t="n">
        <f aca="false">ROUND(E153-O153-MIN(E153-O153,MAX(0,$AF153-SUMPRODUCT(--($B$4:$K$4&lt;E$4),$B153:$K153-$L153:$U153))),2)</f>
        <v>0</v>
      </c>
      <c r="Z153" s="39" t="n">
        <f aca="false">ROUND(F153-P153-MIN(F153-P153,MAX(0,$AF153-SUMPRODUCT(--($B$4:$K$4&lt;F$4),$B153:$K153-$L153:$U153))),2)</f>
        <v>0</v>
      </c>
      <c r="AA153" s="39" t="n">
        <f aca="false">ROUND(G153-Q153-MIN(G153-Q153,MAX(0,$AF153-SUMPRODUCT(--($B$4:$K$4&lt;G$4),$B153:$K153-$L153:$U153))),2)</f>
        <v>0</v>
      </c>
      <c r="AB153" s="39" t="n">
        <f aca="false">ROUND(H153-R153-MIN(H153-R153,MAX(0,$AF153-SUMPRODUCT(--($B$4:$K$4&lt;H$4),$B153:$K153-$L153:$U153))),2)</f>
        <v>0</v>
      </c>
      <c r="AC153" s="39" t="n">
        <f aca="false">ROUND(I153-S153-MIN(I153-S153,MAX(0,$AF153-SUMPRODUCT(--($B$4:$K$4&lt;I$4),$B153:$K153-$L153:$U153))),2)</f>
        <v>0</v>
      </c>
      <c r="AD153" s="39" t="n">
        <f aca="false">ROUND(J153-T153-MIN(J153-T153,MAX(0,$AF153-SUMPRODUCT(--($B$4:$K$4&lt;J$4),$B153:$K153-$L153:$U153))),2)</f>
        <v>0</v>
      </c>
      <c r="AE153" s="39" t="n">
        <f aca="false">ROUND(K153-U153-MIN(K153-U153,MAX(0,$AF153-SUMPRODUCT(--($B$4:$K$4&lt;K$4),$B153:$K153-$L153:$U153))),2)</f>
        <v>0</v>
      </c>
      <c r="AF153" s="39" t="n">
        <f aca="false">MAX(0,'Start Here'!$C$5-SUM($L153:$U153))</f>
        <v>1200</v>
      </c>
      <c r="AG153" s="39" t="n">
        <f aca="false">SUM(V153:AE153)</f>
        <v>0</v>
      </c>
      <c r="AH153" s="39" t="n">
        <f aca="false">SUM(B153:K153)-AG152</f>
        <v>0</v>
      </c>
    </row>
    <row r="154" customFormat="false" ht="15" hidden="false" customHeight="false" outlineLevel="0" collapsed="false">
      <c r="A154" s="40" t="n">
        <f aca="false">DATE(YEAR('Start Here'!$C$6),MONTH('Start Here'!$C$6)+147,1)</f>
        <v>50771</v>
      </c>
      <c r="B154" s="39" t="n">
        <f aca="false">ROUND(V153*(1+N('My Debts'!$D$6)/12),2)</f>
        <v>0</v>
      </c>
      <c r="C154" s="39" t="n">
        <f aca="false">ROUND(W153*(1+N('My Debts'!$D$7)/12),2)</f>
        <v>0</v>
      </c>
      <c r="D154" s="39" t="n">
        <f aca="false">ROUND(X153*(1+N('My Debts'!$D$8)/12),2)</f>
        <v>0</v>
      </c>
      <c r="E154" s="39" t="n">
        <f aca="false">ROUND(Y153*(1+N('My Debts'!$D$9)/12),2)</f>
        <v>0</v>
      </c>
      <c r="F154" s="39" t="n">
        <f aca="false">ROUND(Z153*(1+N('My Debts'!$D$10)/12),2)</f>
        <v>0</v>
      </c>
      <c r="G154" s="39" t="n">
        <f aca="false">ROUND(AA153*(1+N('My Debts'!$D$11)/12),2)</f>
        <v>0</v>
      </c>
      <c r="H154" s="39" t="n">
        <f aca="false">ROUND(AB153*(1+N('My Debts'!$D$12)/12),2)</f>
        <v>0</v>
      </c>
      <c r="I154" s="39" t="n">
        <f aca="false">ROUND(AC153*(1+N('My Debts'!$D$13)/12),2)</f>
        <v>0</v>
      </c>
      <c r="J154" s="39" t="n">
        <f aca="false">ROUND(AD153*(1+N('My Debts'!$D$14)/12),2)</f>
        <v>0</v>
      </c>
      <c r="K154" s="39" t="n">
        <f aca="false">ROUND(AE153*(1+N('My Debts'!$D$15)/12),2)</f>
        <v>0</v>
      </c>
      <c r="L154" s="39" t="n">
        <f aca="false">MIN(N('My Debts'!$E$6),B154)</f>
        <v>0</v>
      </c>
      <c r="M154" s="39" t="n">
        <f aca="false">MIN(N('My Debts'!$E$7),C154)</f>
        <v>0</v>
      </c>
      <c r="N154" s="39" t="n">
        <f aca="false">MIN(N('My Debts'!$E$8),D154)</f>
        <v>0</v>
      </c>
      <c r="O154" s="39" t="n">
        <f aca="false">MIN(N('My Debts'!$E$9),E154)</f>
        <v>0</v>
      </c>
      <c r="P154" s="39" t="n">
        <f aca="false">MIN(N('My Debts'!$E$10),F154)</f>
        <v>0</v>
      </c>
      <c r="Q154" s="39" t="n">
        <f aca="false">MIN(N('My Debts'!$E$11),G154)</f>
        <v>0</v>
      </c>
      <c r="R154" s="39" t="n">
        <f aca="false">MIN(N('My Debts'!$E$12),H154)</f>
        <v>0</v>
      </c>
      <c r="S154" s="39" t="n">
        <f aca="false">MIN(N('My Debts'!$E$13),I154)</f>
        <v>0</v>
      </c>
      <c r="T154" s="39" t="n">
        <f aca="false">MIN(N('My Debts'!$E$14),J154)</f>
        <v>0</v>
      </c>
      <c r="U154" s="39" t="n">
        <f aca="false">MIN(N('My Debts'!$E$15),K154)</f>
        <v>0</v>
      </c>
      <c r="V154" s="39" t="n">
        <f aca="false">ROUND(B154-L154-MIN(B154-L154,MAX(0,$AF154-SUMPRODUCT(--($B$4:$K$4&lt;B$4),$B154:$K154-$L154:$U154))),2)</f>
        <v>0</v>
      </c>
      <c r="W154" s="39" t="n">
        <f aca="false">ROUND(C154-M154-MIN(C154-M154,MAX(0,$AF154-SUMPRODUCT(--($B$4:$K$4&lt;C$4),$B154:$K154-$L154:$U154))),2)</f>
        <v>0</v>
      </c>
      <c r="X154" s="39" t="n">
        <f aca="false">ROUND(D154-N154-MIN(D154-N154,MAX(0,$AF154-SUMPRODUCT(--($B$4:$K$4&lt;D$4),$B154:$K154-$L154:$U154))),2)</f>
        <v>0</v>
      </c>
      <c r="Y154" s="39" t="n">
        <f aca="false">ROUND(E154-O154-MIN(E154-O154,MAX(0,$AF154-SUMPRODUCT(--($B$4:$K$4&lt;E$4),$B154:$K154-$L154:$U154))),2)</f>
        <v>0</v>
      </c>
      <c r="Z154" s="39" t="n">
        <f aca="false">ROUND(F154-P154-MIN(F154-P154,MAX(0,$AF154-SUMPRODUCT(--($B$4:$K$4&lt;F$4),$B154:$K154-$L154:$U154))),2)</f>
        <v>0</v>
      </c>
      <c r="AA154" s="39" t="n">
        <f aca="false">ROUND(G154-Q154-MIN(G154-Q154,MAX(0,$AF154-SUMPRODUCT(--($B$4:$K$4&lt;G$4),$B154:$K154-$L154:$U154))),2)</f>
        <v>0</v>
      </c>
      <c r="AB154" s="39" t="n">
        <f aca="false">ROUND(H154-R154-MIN(H154-R154,MAX(0,$AF154-SUMPRODUCT(--($B$4:$K$4&lt;H$4),$B154:$K154-$L154:$U154))),2)</f>
        <v>0</v>
      </c>
      <c r="AC154" s="39" t="n">
        <f aca="false">ROUND(I154-S154-MIN(I154-S154,MAX(0,$AF154-SUMPRODUCT(--($B$4:$K$4&lt;I$4),$B154:$K154-$L154:$U154))),2)</f>
        <v>0</v>
      </c>
      <c r="AD154" s="39" t="n">
        <f aca="false">ROUND(J154-T154-MIN(J154-T154,MAX(0,$AF154-SUMPRODUCT(--($B$4:$K$4&lt;J$4),$B154:$K154-$L154:$U154))),2)</f>
        <v>0</v>
      </c>
      <c r="AE154" s="39" t="n">
        <f aca="false">ROUND(K154-U154-MIN(K154-U154,MAX(0,$AF154-SUMPRODUCT(--($B$4:$K$4&lt;K$4),$B154:$K154-$L154:$U154))),2)</f>
        <v>0</v>
      </c>
      <c r="AF154" s="39" t="n">
        <f aca="false">MAX(0,'Start Here'!$C$5-SUM($L154:$U154))</f>
        <v>1200</v>
      </c>
      <c r="AG154" s="39" t="n">
        <f aca="false">SUM(V154:AE154)</f>
        <v>0</v>
      </c>
      <c r="AH154" s="39" t="n">
        <f aca="false">SUM(B154:K154)-AG153</f>
        <v>0</v>
      </c>
    </row>
    <row r="155" customFormat="false" ht="15" hidden="false" customHeight="false" outlineLevel="0" collapsed="false">
      <c r="A155" s="40" t="n">
        <f aca="false">DATE(YEAR('Start Here'!$C$6),MONTH('Start Here'!$C$6)+148,1)</f>
        <v>50802</v>
      </c>
      <c r="B155" s="39" t="n">
        <f aca="false">ROUND(V154*(1+N('My Debts'!$D$6)/12),2)</f>
        <v>0</v>
      </c>
      <c r="C155" s="39" t="n">
        <f aca="false">ROUND(W154*(1+N('My Debts'!$D$7)/12),2)</f>
        <v>0</v>
      </c>
      <c r="D155" s="39" t="n">
        <f aca="false">ROUND(X154*(1+N('My Debts'!$D$8)/12),2)</f>
        <v>0</v>
      </c>
      <c r="E155" s="39" t="n">
        <f aca="false">ROUND(Y154*(1+N('My Debts'!$D$9)/12),2)</f>
        <v>0</v>
      </c>
      <c r="F155" s="39" t="n">
        <f aca="false">ROUND(Z154*(1+N('My Debts'!$D$10)/12),2)</f>
        <v>0</v>
      </c>
      <c r="G155" s="39" t="n">
        <f aca="false">ROUND(AA154*(1+N('My Debts'!$D$11)/12),2)</f>
        <v>0</v>
      </c>
      <c r="H155" s="39" t="n">
        <f aca="false">ROUND(AB154*(1+N('My Debts'!$D$12)/12),2)</f>
        <v>0</v>
      </c>
      <c r="I155" s="39" t="n">
        <f aca="false">ROUND(AC154*(1+N('My Debts'!$D$13)/12),2)</f>
        <v>0</v>
      </c>
      <c r="J155" s="39" t="n">
        <f aca="false">ROUND(AD154*(1+N('My Debts'!$D$14)/12),2)</f>
        <v>0</v>
      </c>
      <c r="K155" s="39" t="n">
        <f aca="false">ROUND(AE154*(1+N('My Debts'!$D$15)/12),2)</f>
        <v>0</v>
      </c>
      <c r="L155" s="39" t="n">
        <f aca="false">MIN(N('My Debts'!$E$6),B155)</f>
        <v>0</v>
      </c>
      <c r="M155" s="39" t="n">
        <f aca="false">MIN(N('My Debts'!$E$7),C155)</f>
        <v>0</v>
      </c>
      <c r="N155" s="39" t="n">
        <f aca="false">MIN(N('My Debts'!$E$8),D155)</f>
        <v>0</v>
      </c>
      <c r="O155" s="39" t="n">
        <f aca="false">MIN(N('My Debts'!$E$9),E155)</f>
        <v>0</v>
      </c>
      <c r="P155" s="39" t="n">
        <f aca="false">MIN(N('My Debts'!$E$10),F155)</f>
        <v>0</v>
      </c>
      <c r="Q155" s="39" t="n">
        <f aca="false">MIN(N('My Debts'!$E$11),G155)</f>
        <v>0</v>
      </c>
      <c r="R155" s="39" t="n">
        <f aca="false">MIN(N('My Debts'!$E$12),H155)</f>
        <v>0</v>
      </c>
      <c r="S155" s="39" t="n">
        <f aca="false">MIN(N('My Debts'!$E$13),I155)</f>
        <v>0</v>
      </c>
      <c r="T155" s="39" t="n">
        <f aca="false">MIN(N('My Debts'!$E$14),J155)</f>
        <v>0</v>
      </c>
      <c r="U155" s="39" t="n">
        <f aca="false">MIN(N('My Debts'!$E$15),K155)</f>
        <v>0</v>
      </c>
      <c r="V155" s="39" t="n">
        <f aca="false">ROUND(B155-L155-MIN(B155-L155,MAX(0,$AF155-SUMPRODUCT(--($B$4:$K$4&lt;B$4),$B155:$K155-$L155:$U155))),2)</f>
        <v>0</v>
      </c>
      <c r="W155" s="39" t="n">
        <f aca="false">ROUND(C155-M155-MIN(C155-M155,MAX(0,$AF155-SUMPRODUCT(--($B$4:$K$4&lt;C$4),$B155:$K155-$L155:$U155))),2)</f>
        <v>0</v>
      </c>
      <c r="X155" s="39" t="n">
        <f aca="false">ROUND(D155-N155-MIN(D155-N155,MAX(0,$AF155-SUMPRODUCT(--($B$4:$K$4&lt;D$4),$B155:$K155-$L155:$U155))),2)</f>
        <v>0</v>
      </c>
      <c r="Y155" s="39" t="n">
        <f aca="false">ROUND(E155-O155-MIN(E155-O155,MAX(0,$AF155-SUMPRODUCT(--($B$4:$K$4&lt;E$4),$B155:$K155-$L155:$U155))),2)</f>
        <v>0</v>
      </c>
      <c r="Z155" s="39" t="n">
        <f aca="false">ROUND(F155-P155-MIN(F155-P155,MAX(0,$AF155-SUMPRODUCT(--($B$4:$K$4&lt;F$4),$B155:$K155-$L155:$U155))),2)</f>
        <v>0</v>
      </c>
      <c r="AA155" s="39" t="n">
        <f aca="false">ROUND(G155-Q155-MIN(G155-Q155,MAX(0,$AF155-SUMPRODUCT(--($B$4:$K$4&lt;G$4),$B155:$K155-$L155:$U155))),2)</f>
        <v>0</v>
      </c>
      <c r="AB155" s="39" t="n">
        <f aca="false">ROUND(H155-R155-MIN(H155-R155,MAX(0,$AF155-SUMPRODUCT(--($B$4:$K$4&lt;H$4),$B155:$K155-$L155:$U155))),2)</f>
        <v>0</v>
      </c>
      <c r="AC155" s="39" t="n">
        <f aca="false">ROUND(I155-S155-MIN(I155-S155,MAX(0,$AF155-SUMPRODUCT(--($B$4:$K$4&lt;I$4),$B155:$K155-$L155:$U155))),2)</f>
        <v>0</v>
      </c>
      <c r="AD155" s="39" t="n">
        <f aca="false">ROUND(J155-T155-MIN(J155-T155,MAX(0,$AF155-SUMPRODUCT(--($B$4:$K$4&lt;J$4),$B155:$K155-$L155:$U155))),2)</f>
        <v>0</v>
      </c>
      <c r="AE155" s="39" t="n">
        <f aca="false">ROUND(K155-U155-MIN(K155-U155,MAX(0,$AF155-SUMPRODUCT(--($B$4:$K$4&lt;K$4),$B155:$K155-$L155:$U155))),2)</f>
        <v>0</v>
      </c>
      <c r="AF155" s="39" t="n">
        <f aca="false">MAX(0,'Start Here'!$C$5-SUM($L155:$U155))</f>
        <v>1200</v>
      </c>
      <c r="AG155" s="39" t="n">
        <f aca="false">SUM(V155:AE155)</f>
        <v>0</v>
      </c>
      <c r="AH155" s="39" t="n">
        <f aca="false">SUM(B155:K155)-AG154</f>
        <v>0</v>
      </c>
    </row>
    <row r="156" customFormat="false" ht="15" hidden="false" customHeight="false" outlineLevel="0" collapsed="false">
      <c r="A156" s="40" t="n">
        <f aca="false">DATE(YEAR('Start Here'!$C$6),MONTH('Start Here'!$C$6)+149,1)</f>
        <v>50830</v>
      </c>
      <c r="B156" s="39" t="n">
        <f aca="false">ROUND(V155*(1+N('My Debts'!$D$6)/12),2)</f>
        <v>0</v>
      </c>
      <c r="C156" s="39" t="n">
        <f aca="false">ROUND(W155*(1+N('My Debts'!$D$7)/12),2)</f>
        <v>0</v>
      </c>
      <c r="D156" s="39" t="n">
        <f aca="false">ROUND(X155*(1+N('My Debts'!$D$8)/12),2)</f>
        <v>0</v>
      </c>
      <c r="E156" s="39" t="n">
        <f aca="false">ROUND(Y155*(1+N('My Debts'!$D$9)/12),2)</f>
        <v>0</v>
      </c>
      <c r="F156" s="39" t="n">
        <f aca="false">ROUND(Z155*(1+N('My Debts'!$D$10)/12),2)</f>
        <v>0</v>
      </c>
      <c r="G156" s="39" t="n">
        <f aca="false">ROUND(AA155*(1+N('My Debts'!$D$11)/12),2)</f>
        <v>0</v>
      </c>
      <c r="H156" s="39" t="n">
        <f aca="false">ROUND(AB155*(1+N('My Debts'!$D$12)/12),2)</f>
        <v>0</v>
      </c>
      <c r="I156" s="39" t="n">
        <f aca="false">ROUND(AC155*(1+N('My Debts'!$D$13)/12),2)</f>
        <v>0</v>
      </c>
      <c r="J156" s="39" t="n">
        <f aca="false">ROUND(AD155*(1+N('My Debts'!$D$14)/12),2)</f>
        <v>0</v>
      </c>
      <c r="K156" s="39" t="n">
        <f aca="false">ROUND(AE155*(1+N('My Debts'!$D$15)/12),2)</f>
        <v>0</v>
      </c>
      <c r="L156" s="39" t="n">
        <f aca="false">MIN(N('My Debts'!$E$6),B156)</f>
        <v>0</v>
      </c>
      <c r="M156" s="39" t="n">
        <f aca="false">MIN(N('My Debts'!$E$7),C156)</f>
        <v>0</v>
      </c>
      <c r="N156" s="39" t="n">
        <f aca="false">MIN(N('My Debts'!$E$8),D156)</f>
        <v>0</v>
      </c>
      <c r="O156" s="39" t="n">
        <f aca="false">MIN(N('My Debts'!$E$9),E156)</f>
        <v>0</v>
      </c>
      <c r="P156" s="39" t="n">
        <f aca="false">MIN(N('My Debts'!$E$10),F156)</f>
        <v>0</v>
      </c>
      <c r="Q156" s="39" t="n">
        <f aca="false">MIN(N('My Debts'!$E$11),G156)</f>
        <v>0</v>
      </c>
      <c r="R156" s="39" t="n">
        <f aca="false">MIN(N('My Debts'!$E$12),H156)</f>
        <v>0</v>
      </c>
      <c r="S156" s="39" t="n">
        <f aca="false">MIN(N('My Debts'!$E$13),I156)</f>
        <v>0</v>
      </c>
      <c r="T156" s="39" t="n">
        <f aca="false">MIN(N('My Debts'!$E$14),J156)</f>
        <v>0</v>
      </c>
      <c r="U156" s="39" t="n">
        <f aca="false">MIN(N('My Debts'!$E$15),K156)</f>
        <v>0</v>
      </c>
      <c r="V156" s="39" t="n">
        <f aca="false">ROUND(B156-L156-MIN(B156-L156,MAX(0,$AF156-SUMPRODUCT(--($B$4:$K$4&lt;B$4),$B156:$K156-$L156:$U156))),2)</f>
        <v>0</v>
      </c>
      <c r="W156" s="39" t="n">
        <f aca="false">ROUND(C156-M156-MIN(C156-M156,MAX(0,$AF156-SUMPRODUCT(--($B$4:$K$4&lt;C$4),$B156:$K156-$L156:$U156))),2)</f>
        <v>0</v>
      </c>
      <c r="X156" s="39" t="n">
        <f aca="false">ROUND(D156-N156-MIN(D156-N156,MAX(0,$AF156-SUMPRODUCT(--($B$4:$K$4&lt;D$4),$B156:$K156-$L156:$U156))),2)</f>
        <v>0</v>
      </c>
      <c r="Y156" s="39" t="n">
        <f aca="false">ROUND(E156-O156-MIN(E156-O156,MAX(0,$AF156-SUMPRODUCT(--($B$4:$K$4&lt;E$4),$B156:$K156-$L156:$U156))),2)</f>
        <v>0</v>
      </c>
      <c r="Z156" s="39" t="n">
        <f aca="false">ROUND(F156-P156-MIN(F156-P156,MAX(0,$AF156-SUMPRODUCT(--($B$4:$K$4&lt;F$4),$B156:$K156-$L156:$U156))),2)</f>
        <v>0</v>
      </c>
      <c r="AA156" s="39" t="n">
        <f aca="false">ROUND(G156-Q156-MIN(G156-Q156,MAX(0,$AF156-SUMPRODUCT(--($B$4:$K$4&lt;G$4),$B156:$K156-$L156:$U156))),2)</f>
        <v>0</v>
      </c>
      <c r="AB156" s="39" t="n">
        <f aca="false">ROUND(H156-R156-MIN(H156-R156,MAX(0,$AF156-SUMPRODUCT(--($B$4:$K$4&lt;H$4),$B156:$K156-$L156:$U156))),2)</f>
        <v>0</v>
      </c>
      <c r="AC156" s="39" t="n">
        <f aca="false">ROUND(I156-S156-MIN(I156-S156,MAX(0,$AF156-SUMPRODUCT(--($B$4:$K$4&lt;I$4),$B156:$K156-$L156:$U156))),2)</f>
        <v>0</v>
      </c>
      <c r="AD156" s="39" t="n">
        <f aca="false">ROUND(J156-T156-MIN(J156-T156,MAX(0,$AF156-SUMPRODUCT(--($B$4:$K$4&lt;J$4),$B156:$K156-$L156:$U156))),2)</f>
        <v>0</v>
      </c>
      <c r="AE156" s="39" t="n">
        <f aca="false">ROUND(K156-U156-MIN(K156-U156,MAX(0,$AF156-SUMPRODUCT(--($B$4:$K$4&lt;K$4),$B156:$K156-$L156:$U156))),2)</f>
        <v>0</v>
      </c>
      <c r="AF156" s="39" t="n">
        <f aca="false">MAX(0,'Start Here'!$C$5-SUM($L156:$U156))</f>
        <v>1200</v>
      </c>
      <c r="AG156" s="39" t="n">
        <f aca="false">SUM(V156:AE156)</f>
        <v>0</v>
      </c>
      <c r="AH156" s="39" t="n">
        <f aca="false">SUM(B156:K156)-AG155</f>
        <v>0</v>
      </c>
    </row>
    <row r="157" customFormat="false" ht="15" hidden="false" customHeight="false" outlineLevel="0" collapsed="false">
      <c r="A157" s="40" t="n">
        <f aca="false">DATE(YEAR('Start Here'!$C$6),MONTH('Start Here'!$C$6)+150,1)</f>
        <v>50861</v>
      </c>
      <c r="B157" s="39" t="n">
        <f aca="false">ROUND(V156*(1+N('My Debts'!$D$6)/12),2)</f>
        <v>0</v>
      </c>
      <c r="C157" s="39" t="n">
        <f aca="false">ROUND(W156*(1+N('My Debts'!$D$7)/12),2)</f>
        <v>0</v>
      </c>
      <c r="D157" s="39" t="n">
        <f aca="false">ROUND(X156*(1+N('My Debts'!$D$8)/12),2)</f>
        <v>0</v>
      </c>
      <c r="E157" s="39" t="n">
        <f aca="false">ROUND(Y156*(1+N('My Debts'!$D$9)/12),2)</f>
        <v>0</v>
      </c>
      <c r="F157" s="39" t="n">
        <f aca="false">ROUND(Z156*(1+N('My Debts'!$D$10)/12),2)</f>
        <v>0</v>
      </c>
      <c r="G157" s="39" t="n">
        <f aca="false">ROUND(AA156*(1+N('My Debts'!$D$11)/12),2)</f>
        <v>0</v>
      </c>
      <c r="H157" s="39" t="n">
        <f aca="false">ROUND(AB156*(1+N('My Debts'!$D$12)/12),2)</f>
        <v>0</v>
      </c>
      <c r="I157" s="39" t="n">
        <f aca="false">ROUND(AC156*(1+N('My Debts'!$D$13)/12),2)</f>
        <v>0</v>
      </c>
      <c r="J157" s="39" t="n">
        <f aca="false">ROUND(AD156*(1+N('My Debts'!$D$14)/12),2)</f>
        <v>0</v>
      </c>
      <c r="K157" s="39" t="n">
        <f aca="false">ROUND(AE156*(1+N('My Debts'!$D$15)/12),2)</f>
        <v>0</v>
      </c>
      <c r="L157" s="39" t="n">
        <f aca="false">MIN(N('My Debts'!$E$6),B157)</f>
        <v>0</v>
      </c>
      <c r="M157" s="39" t="n">
        <f aca="false">MIN(N('My Debts'!$E$7),C157)</f>
        <v>0</v>
      </c>
      <c r="N157" s="39" t="n">
        <f aca="false">MIN(N('My Debts'!$E$8),D157)</f>
        <v>0</v>
      </c>
      <c r="O157" s="39" t="n">
        <f aca="false">MIN(N('My Debts'!$E$9),E157)</f>
        <v>0</v>
      </c>
      <c r="P157" s="39" t="n">
        <f aca="false">MIN(N('My Debts'!$E$10),F157)</f>
        <v>0</v>
      </c>
      <c r="Q157" s="39" t="n">
        <f aca="false">MIN(N('My Debts'!$E$11),G157)</f>
        <v>0</v>
      </c>
      <c r="R157" s="39" t="n">
        <f aca="false">MIN(N('My Debts'!$E$12),H157)</f>
        <v>0</v>
      </c>
      <c r="S157" s="39" t="n">
        <f aca="false">MIN(N('My Debts'!$E$13),I157)</f>
        <v>0</v>
      </c>
      <c r="T157" s="39" t="n">
        <f aca="false">MIN(N('My Debts'!$E$14),J157)</f>
        <v>0</v>
      </c>
      <c r="U157" s="39" t="n">
        <f aca="false">MIN(N('My Debts'!$E$15),K157)</f>
        <v>0</v>
      </c>
      <c r="V157" s="39" t="n">
        <f aca="false">ROUND(B157-L157-MIN(B157-L157,MAX(0,$AF157-SUMPRODUCT(--($B$4:$K$4&lt;B$4),$B157:$K157-$L157:$U157))),2)</f>
        <v>0</v>
      </c>
      <c r="W157" s="39" t="n">
        <f aca="false">ROUND(C157-M157-MIN(C157-M157,MAX(0,$AF157-SUMPRODUCT(--($B$4:$K$4&lt;C$4),$B157:$K157-$L157:$U157))),2)</f>
        <v>0</v>
      </c>
      <c r="X157" s="39" t="n">
        <f aca="false">ROUND(D157-N157-MIN(D157-N157,MAX(0,$AF157-SUMPRODUCT(--($B$4:$K$4&lt;D$4),$B157:$K157-$L157:$U157))),2)</f>
        <v>0</v>
      </c>
      <c r="Y157" s="39" t="n">
        <f aca="false">ROUND(E157-O157-MIN(E157-O157,MAX(0,$AF157-SUMPRODUCT(--($B$4:$K$4&lt;E$4),$B157:$K157-$L157:$U157))),2)</f>
        <v>0</v>
      </c>
      <c r="Z157" s="39" t="n">
        <f aca="false">ROUND(F157-P157-MIN(F157-P157,MAX(0,$AF157-SUMPRODUCT(--($B$4:$K$4&lt;F$4),$B157:$K157-$L157:$U157))),2)</f>
        <v>0</v>
      </c>
      <c r="AA157" s="39" t="n">
        <f aca="false">ROUND(G157-Q157-MIN(G157-Q157,MAX(0,$AF157-SUMPRODUCT(--($B$4:$K$4&lt;G$4),$B157:$K157-$L157:$U157))),2)</f>
        <v>0</v>
      </c>
      <c r="AB157" s="39" t="n">
        <f aca="false">ROUND(H157-R157-MIN(H157-R157,MAX(0,$AF157-SUMPRODUCT(--($B$4:$K$4&lt;H$4),$B157:$K157-$L157:$U157))),2)</f>
        <v>0</v>
      </c>
      <c r="AC157" s="39" t="n">
        <f aca="false">ROUND(I157-S157-MIN(I157-S157,MAX(0,$AF157-SUMPRODUCT(--($B$4:$K$4&lt;I$4),$B157:$K157-$L157:$U157))),2)</f>
        <v>0</v>
      </c>
      <c r="AD157" s="39" t="n">
        <f aca="false">ROUND(J157-T157-MIN(J157-T157,MAX(0,$AF157-SUMPRODUCT(--($B$4:$K$4&lt;J$4),$B157:$K157-$L157:$U157))),2)</f>
        <v>0</v>
      </c>
      <c r="AE157" s="39" t="n">
        <f aca="false">ROUND(K157-U157-MIN(K157-U157,MAX(0,$AF157-SUMPRODUCT(--($B$4:$K$4&lt;K$4),$B157:$K157-$L157:$U157))),2)</f>
        <v>0</v>
      </c>
      <c r="AF157" s="39" t="n">
        <f aca="false">MAX(0,'Start Here'!$C$5-SUM($L157:$U157))</f>
        <v>1200</v>
      </c>
      <c r="AG157" s="39" t="n">
        <f aca="false">SUM(V157:AE157)</f>
        <v>0</v>
      </c>
      <c r="AH157" s="39" t="n">
        <f aca="false">SUM(B157:K157)-AG156</f>
        <v>0</v>
      </c>
    </row>
    <row r="158" customFormat="false" ht="15" hidden="false" customHeight="false" outlineLevel="0" collapsed="false">
      <c r="A158" s="40" t="n">
        <f aca="false">DATE(YEAR('Start Here'!$C$6),MONTH('Start Here'!$C$6)+151,1)</f>
        <v>50891</v>
      </c>
      <c r="B158" s="39" t="n">
        <f aca="false">ROUND(V157*(1+N('My Debts'!$D$6)/12),2)</f>
        <v>0</v>
      </c>
      <c r="C158" s="39" t="n">
        <f aca="false">ROUND(W157*(1+N('My Debts'!$D$7)/12),2)</f>
        <v>0</v>
      </c>
      <c r="D158" s="39" t="n">
        <f aca="false">ROUND(X157*(1+N('My Debts'!$D$8)/12),2)</f>
        <v>0</v>
      </c>
      <c r="E158" s="39" t="n">
        <f aca="false">ROUND(Y157*(1+N('My Debts'!$D$9)/12),2)</f>
        <v>0</v>
      </c>
      <c r="F158" s="39" t="n">
        <f aca="false">ROUND(Z157*(1+N('My Debts'!$D$10)/12),2)</f>
        <v>0</v>
      </c>
      <c r="G158" s="39" t="n">
        <f aca="false">ROUND(AA157*(1+N('My Debts'!$D$11)/12),2)</f>
        <v>0</v>
      </c>
      <c r="H158" s="39" t="n">
        <f aca="false">ROUND(AB157*(1+N('My Debts'!$D$12)/12),2)</f>
        <v>0</v>
      </c>
      <c r="I158" s="39" t="n">
        <f aca="false">ROUND(AC157*(1+N('My Debts'!$D$13)/12),2)</f>
        <v>0</v>
      </c>
      <c r="J158" s="39" t="n">
        <f aca="false">ROUND(AD157*(1+N('My Debts'!$D$14)/12),2)</f>
        <v>0</v>
      </c>
      <c r="K158" s="39" t="n">
        <f aca="false">ROUND(AE157*(1+N('My Debts'!$D$15)/12),2)</f>
        <v>0</v>
      </c>
      <c r="L158" s="39" t="n">
        <f aca="false">MIN(N('My Debts'!$E$6),B158)</f>
        <v>0</v>
      </c>
      <c r="M158" s="39" t="n">
        <f aca="false">MIN(N('My Debts'!$E$7),C158)</f>
        <v>0</v>
      </c>
      <c r="N158" s="39" t="n">
        <f aca="false">MIN(N('My Debts'!$E$8),D158)</f>
        <v>0</v>
      </c>
      <c r="O158" s="39" t="n">
        <f aca="false">MIN(N('My Debts'!$E$9),E158)</f>
        <v>0</v>
      </c>
      <c r="P158" s="39" t="n">
        <f aca="false">MIN(N('My Debts'!$E$10),F158)</f>
        <v>0</v>
      </c>
      <c r="Q158" s="39" t="n">
        <f aca="false">MIN(N('My Debts'!$E$11),G158)</f>
        <v>0</v>
      </c>
      <c r="R158" s="39" t="n">
        <f aca="false">MIN(N('My Debts'!$E$12),H158)</f>
        <v>0</v>
      </c>
      <c r="S158" s="39" t="n">
        <f aca="false">MIN(N('My Debts'!$E$13),I158)</f>
        <v>0</v>
      </c>
      <c r="T158" s="39" t="n">
        <f aca="false">MIN(N('My Debts'!$E$14),J158)</f>
        <v>0</v>
      </c>
      <c r="U158" s="39" t="n">
        <f aca="false">MIN(N('My Debts'!$E$15),K158)</f>
        <v>0</v>
      </c>
      <c r="V158" s="39" t="n">
        <f aca="false">ROUND(B158-L158-MIN(B158-L158,MAX(0,$AF158-SUMPRODUCT(--($B$4:$K$4&lt;B$4),$B158:$K158-$L158:$U158))),2)</f>
        <v>0</v>
      </c>
      <c r="W158" s="39" t="n">
        <f aca="false">ROUND(C158-M158-MIN(C158-M158,MAX(0,$AF158-SUMPRODUCT(--($B$4:$K$4&lt;C$4),$B158:$K158-$L158:$U158))),2)</f>
        <v>0</v>
      </c>
      <c r="X158" s="39" t="n">
        <f aca="false">ROUND(D158-N158-MIN(D158-N158,MAX(0,$AF158-SUMPRODUCT(--($B$4:$K$4&lt;D$4),$B158:$K158-$L158:$U158))),2)</f>
        <v>0</v>
      </c>
      <c r="Y158" s="39" t="n">
        <f aca="false">ROUND(E158-O158-MIN(E158-O158,MAX(0,$AF158-SUMPRODUCT(--($B$4:$K$4&lt;E$4),$B158:$K158-$L158:$U158))),2)</f>
        <v>0</v>
      </c>
      <c r="Z158" s="39" t="n">
        <f aca="false">ROUND(F158-P158-MIN(F158-P158,MAX(0,$AF158-SUMPRODUCT(--($B$4:$K$4&lt;F$4),$B158:$K158-$L158:$U158))),2)</f>
        <v>0</v>
      </c>
      <c r="AA158" s="39" t="n">
        <f aca="false">ROUND(G158-Q158-MIN(G158-Q158,MAX(0,$AF158-SUMPRODUCT(--($B$4:$K$4&lt;G$4),$B158:$K158-$L158:$U158))),2)</f>
        <v>0</v>
      </c>
      <c r="AB158" s="39" t="n">
        <f aca="false">ROUND(H158-R158-MIN(H158-R158,MAX(0,$AF158-SUMPRODUCT(--($B$4:$K$4&lt;H$4),$B158:$K158-$L158:$U158))),2)</f>
        <v>0</v>
      </c>
      <c r="AC158" s="39" t="n">
        <f aca="false">ROUND(I158-S158-MIN(I158-S158,MAX(0,$AF158-SUMPRODUCT(--($B$4:$K$4&lt;I$4),$B158:$K158-$L158:$U158))),2)</f>
        <v>0</v>
      </c>
      <c r="AD158" s="39" t="n">
        <f aca="false">ROUND(J158-T158-MIN(J158-T158,MAX(0,$AF158-SUMPRODUCT(--($B$4:$K$4&lt;J$4),$B158:$K158-$L158:$U158))),2)</f>
        <v>0</v>
      </c>
      <c r="AE158" s="39" t="n">
        <f aca="false">ROUND(K158-U158-MIN(K158-U158,MAX(0,$AF158-SUMPRODUCT(--($B$4:$K$4&lt;K$4),$B158:$K158-$L158:$U158))),2)</f>
        <v>0</v>
      </c>
      <c r="AF158" s="39" t="n">
        <f aca="false">MAX(0,'Start Here'!$C$5-SUM($L158:$U158))</f>
        <v>1200</v>
      </c>
      <c r="AG158" s="39" t="n">
        <f aca="false">SUM(V158:AE158)</f>
        <v>0</v>
      </c>
      <c r="AH158" s="39" t="n">
        <f aca="false">SUM(B158:K158)-AG157</f>
        <v>0</v>
      </c>
    </row>
    <row r="159" customFormat="false" ht="15" hidden="false" customHeight="false" outlineLevel="0" collapsed="false">
      <c r="A159" s="40" t="n">
        <f aca="false">DATE(YEAR('Start Here'!$C$6),MONTH('Start Here'!$C$6)+152,1)</f>
        <v>50922</v>
      </c>
      <c r="B159" s="39" t="n">
        <f aca="false">ROUND(V158*(1+N('My Debts'!$D$6)/12),2)</f>
        <v>0</v>
      </c>
      <c r="C159" s="39" t="n">
        <f aca="false">ROUND(W158*(1+N('My Debts'!$D$7)/12),2)</f>
        <v>0</v>
      </c>
      <c r="D159" s="39" t="n">
        <f aca="false">ROUND(X158*(1+N('My Debts'!$D$8)/12),2)</f>
        <v>0</v>
      </c>
      <c r="E159" s="39" t="n">
        <f aca="false">ROUND(Y158*(1+N('My Debts'!$D$9)/12),2)</f>
        <v>0</v>
      </c>
      <c r="F159" s="39" t="n">
        <f aca="false">ROUND(Z158*(1+N('My Debts'!$D$10)/12),2)</f>
        <v>0</v>
      </c>
      <c r="G159" s="39" t="n">
        <f aca="false">ROUND(AA158*(1+N('My Debts'!$D$11)/12),2)</f>
        <v>0</v>
      </c>
      <c r="H159" s="39" t="n">
        <f aca="false">ROUND(AB158*(1+N('My Debts'!$D$12)/12),2)</f>
        <v>0</v>
      </c>
      <c r="I159" s="39" t="n">
        <f aca="false">ROUND(AC158*(1+N('My Debts'!$D$13)/12),2)</f>
        <v>0</v>
      </c>
      <c r="J159" s="39" t="n">
        <f aca="false">ROUND(AD158*(1+N('My Debts'!$D$14)/12),2)</f>
        <v>0</v>
      </c>
      <c r="K159" s="39" t="n">
        <f aca="false">ROUND(AE158*(1+N('My Debts'!$D$15)/12),2)</f>
        <v>0</v>
      </c>
      <c r="L159" s="39" t="n">
        <f aca="false">MIN(N('My Debts'!$E$6),B159)</f>
        <v>0</v>
      </c>
      <c r="M159" s="39" t="n">
        <f aca="false">MIN(N('My Debts'!$E$7),C159)</f>
        <v>0</v>
      </c>
      <c r="N159" s="39" t="n">
        <f aca="false">MIN(N('My Debts'!$E$8),D159)</f>
        <v>0</v>
      </c>
      <c r="O159" s="39" t="n">
        <f aca="false">MIN(N('My Debts'!$E$9),E159)</f>
        <v>0</v>
      </c>
      <c r="P159" s="39" t="n">
        <f aca="false">MIN(N('My Debts'!$E$10),F159)</f>
        <v>0</v>
      </c>
      <c r="Q159" s="39" t="n">
        <f aca="false">MIN(N('My Debts'!$E$11),G159)</f>
        <v>0</v>
      </c>
      <c r="R159" s="39" t="n">
        <f aca="false">MIN(N('My Debts'!$E$12),H159)</f>
        <v>0</v>
      </c>
      <c r="S159" s="39" t="n">
        <f aca="false">MIN(N('My Debts'!$E$13),I159)</f>
        <v>0</v>
      </c>
      <c r="T159" s="39" t="n">
        <f aca="false">MIN(N('My Debts'!$E$14),J159)</f>
        <v>0</v>
      </c>
      <c r="U159" s="39" t="n">
        <f aca="false">MIN(N('My Debts'!$E$15),K159)</f>
        <v>0</v>
      </c>
      <c r="V159" s="39" t="n">
        <f aca="false">ROUND(B159-L159-MIN(B159-L159,MAX(0,$AF159-SUMPRODUCT(--($B$4:$K$4&lt;B$4),$B159:$K159-$L159:$U159))),2)</f>
        <v>0</v>
      </c>
      <c r="W159" s="39" t="n">
        <f aca="false">ROUND(C159-M159-MIN(C159-M159,MAX(0,$AF159-SUMPRODUCT(--($B$4:$K$4&lt;C$4),$B159:$K159-$L159:$U159))),2)</f>
        <v>0</v>
      </c>
      <c r="X159" s="39" t="n">
        <f aca="false">ROUND(D159-N159-MIN(D159-N159,MAX(0,$AF159-SUMPRODUCT(--($B$4:$K$4&lt;D$4),$B159:$K159-$L159:$U159))),2)</f>
        <v>0</v>
      </c>
      <c r="Y159" s="39" t="n">
        <f aca="false">ROUND(E159-O159-MIN(E159-O159,MAX(0,$AF159-SUMPRODUCT(--($B$4:$K$4&lt;E$4),$B159:$K159-$L159:$U159))),2)</f>
        <v>0</v>
      </c>
      <c r="Z159" s="39" t="n">
        <f aca="false">ROUND(F159-P159-MIN(F159-P159,MAX(0,$AF159-SUMPRODUCT(--($B$4:$K$4&lt;F$4),$B159:$K159-$L159:$U159))),2)</f>
        <v>0</v>
      </c>
      <c r="AA159" s="39" t="n">
        <f aca="false">ROUND(G159-Q159-MIN(G159-Q159,MAX(0,$AF159-SUMPRODUCT(--($B$4:$K$4&lt;G$4),$B159:$K159-$L159:$U159))),2)</f>
        <v>0</v>
      </c>
      <c r="AB159" s="39" t="n">
        <f aca="false">ROUND(H159-R159-MIN(H159-R159,MAX(0,$AF159-SUMPRODUCT(--($B$4:$K$4&lt;H$4),$B159:$K159-$L159:$U159))),2)</f>
        <v>0</v>
      </c>
      <c r="AC159" s="39" t="n">
        <f aca="false">ROUND(I159-S159-MIN(I159-S159,MAX(0,$AF159-SUMPRODUCT(--($B$4:$K$4&lt;I$4),$B159:$K159-$L159:$U159))),2)</f>
        <v>0</v>
      </c>
      <c r="AD159" s="39" t="n">
        <f aca="false">ROUND(J159-T159-MIN(J159-T159,MAX(0,$AF159-SUMPRODUCT(--($B$4:$K$4&lt;J$4),$B159:$K159-$L159:$U159))),2)</f>
        <v>0</v>
      </c>
      <c r="AE159" s="39" t="n">
        <f aca="false">ROUND(K159-U159-MIN(K159-U159,MAX(0,$AF159-SUMPRODUCT(--($B$4:$K$4&lt;K$4),$B159:$K159-$L159:$U159))),2)</f>
        <v>0</v>
      </c>
      <c r="AF159" s="39" t="n">
        <f aca="false">MAX(0,'Start Here'!$C$5-SUM($L159:$U159))</f>
        <v>1200</v>
      </c>
      <c r="AG159" s="39" t="n">
        <f aca="false">SUM(V159:AE159)</f>
        <v>0</v>
      </c>
      <c r="AH159" s="39" t="n">
        <f aca="false">SUM(B159:K159)-AG158</f>
        <v>0</v>
      </c>
    </row>
    <row r="160" customFormat="false" ht="15" hidden="false" customHeight="false" outlineLevel="0" collapsed="false">
      <c r="A160" s="40" t="n">
        <f aca="false">DATE(YEAR('Start Here'!$C$6),MONTH('Start Here'!$C$6)+153,1)</f>
        <v>50952</v>
      </c>
      <c r="B160" s="39" t="n">
        <f aca="false">ROUND(V159*(1+N('My Debts'!$D$6)/12),2)</f>
        <v>0</v>
      </c>
      <c r="C160" s="39" t="n">
        <f aca="false">ROUND(W159*(1+N('My Debts'!$D$7)/12),2)</f>
        <v>0</v>
      </c>
      <c r="D160" s="39" t="n">
        <f aca="false">ROUND(X159*(1+N('My Debts'!$D$8)/12),2)</f>
        <v>0</v>
      </c>
      <c r="E160" s="39" t="n">
        <f aca="false">ROUND(Y159*(1+N('My Debts'!$D$9)/12),2)</f>
        <v>0</v>
      </c>
      <c r="F160" s="39" t="n">
        <f aca="false">ROUND(Z159*(1+N('My Debts'!$D$10)/12),2)</f>
        <v>0</v>
      </c>
      <c r="G160" s="39" t="n">
        <f aca="false">ROUND(AA159*(1+N('My Debts'!$D$11)/12),2)</f>
        <v>0</v>
      </c>
      <c r="H160" s="39" t="n">
        <f aca="false">ROUND(AB159*(1+N('My Debts'!$D$12)/12),2)</f>
        <v>0</v>
      </c>
      <c r="I160" s="39" t="n">
        <f aca="false">ROUND(AC159*(1+N('My Debts'!$D$13)/12),2)</f>
        <v>0</v>
      </c>
      <c r="J160" s="39" t="n">
        <f aca="false">ROUND(AD159*(1+N('My Debts'!$D$14)/12),2)</f>
        <v>0</v>
      </c>
      <c r="K160" s="39" t="n">
        <f aca="false">ROUND(AE159*(1+N('My Debts'!$D$15)/12),2)</f>
        <v>0</v>
      </c>
      <c r="L160" s="39" t="n">
        <f aca="false">MIN(N('My Debts'!$E$6),B160)</f>
        <v>0</v>
      </c>
      <c r="M160" s="39" t="n">
        <f aca="false">MIN(N('My Debts'!$E$7),C160)</f>
        <v>0</v>
      </c>
      <c r="N160" s="39" t="n">
        <f aca="false">MIN(N('My Debts'!$E$8),D160)</f>
        <v>0</v>
      </c>
      <c r="O160" s="39" t="n">
        <f aca="false">MIN(N('My Debts'!$E$9),E160)</f>
        <v>0</v>
      </c>
      <c r="P160" s="39" t="n">
        <f aca="false">MIN(N('My Debts'!$E$10),F160)</f>
        <v>0</v>
      </c>
      <c r="Q160" s="39" t="n">
        <f aca="false">MIN(N('My Debts'!$E$11),G160)</f>
        <v>0</v>
      </c>
      <c r="R160" s="39" t="n">
        <f aca="false">MIN(N('My Debts'!$E$12),H160)</f>
        <v>0</v>
      </c>
      <c r="S160" s="39" t="n">
        <f aca="false">MIN(N('My Debts'!$E$13),I160)</f>
        <v>0</v>
      </c>
      <c r="T160" s="39" t="n">
        <f aca="false">MIN(N('My Debts'!$E$14),J160)</f>
        <v>0</v>
      </c>
      <c r="U160" s="39" t="n">
        <f aca="false">MIN(N('My Debts'!$E$15),K160)</f>
        <v>0</v>
      </c>
      <c r="V160" s="39" t="n">
        <f aca="false">ROUND(B160-L160-MIN(B160-L160,MAX(0,$AF160-SUMPRODUCT(--($B$4:$K$4&lt;B$4),$B160:$K160-$L160:$U160))),2)</f>
        <v>0</v>
      </c>
      <c r="W160" s="39" t="n">
        <f aca="false">ROUND(C160-M160-MIN(C160-M160,MAX(0,$AF160-SUMPRODUCT(--($B$4:$K$4&lt;C$4),$B160:$K160-$L160:$U160))),2)</f>
        <v>0</v>
      </c>
      <c r="X160" s="39" t="n">
        <f aca="false">ROUND(D160-N160-MIN(D160-N160,MAX(0,$AF160-SUMPRODUCT(--($B$4:$K$4&lt;D$4),$B160:$K160-$L160:$U160))),2)</f>
        <v>0</v>
      </c>
      <c r="Y160" s="39" t="n">
        <f aca="false">ROUND(E160-O160-MIN(E160-O160,MAX(0,$AF160-SUMPRODUCT(--($B$4:$K$4&lt;E$4),$B160:$K160-$L160:$U160))),2)</f>
        <v>0</v>
      </c>
      <c r="Z160" s="39" t="n">
        <f aca="false">ROUND(F160-P160-MIN(F160-P160,MAX(0,$AF160-SUMPRODUCT(--($B$4:$K$4&lt;F$4),$B160:$K160-$L160:$U160))),2)</f>
        <v>0</v>
      </c>
      <c r="AA160" s="39" t="n">
        <f aca="false">ROUND(G160-Q160-MIN(G160-Q160,MAX(0,$AF160-SUMPRODUCT(--($B$4:$K$4&lt;G$4),$B160:$K160-$L160:$U160))),2)</f>
        <v>0</v>
      </c>
      <c r="AB160" s="39" t="n">
        <f aca="false">ROUND(H160-R160-MIN(H160-R160,MAX(0,$AF160-SUMPRODUCT(--($B$4:$K$4&lt;H$4),$B160:$K160-$L160:$U160))),2)</f>
        <v>0</v>
      </c>
      <c r="AC160" s="39" t="n">
        <f aca="false">ROUND(I160-S160-MIN(I160-S160,MAX(0,$AF160-SUMPRODUCT(--($B$4:$K$4&lt;I$4),$B160:$K160-$L160:$U160))),2)</f>
        <v>0</v>
      </c>
      <c r="AD160" s="39" t="n">
        <f aca="false">ROUND(J160-T160-MIN(J160-T160,MAX(0,$AF160-SUMPRODUCT(--($B$4:$K$4&lt;J$4),$B160:$K160-$L160:$U160))),2)</f>
        <v>0</v>
      </c>
      <c r="AE160" s="39" t="n">
        <f aca="false">ROUND(K160-U160-MIN(K160-U160,MAX(0,$AF160-SUMPRODUCT(--($B$4:$K$4&lt;K$4),$B160:$K160-$L160:$U160))),2)</f>
        <v>0</v>
      </c>
      <c r="AF160" s="39" t="n">
        <f aca="false">MAX(0,'Start Here'!$C$5-SUM($L160:$U160))</f>
        <v>1200</v>
      </c>
      <c r="AG160" s="39" t="n">
        <f aca="false">SUM(V160:AE160)</f>
        <v>0</v>
      </c>
      <c r="AH160" s="39" t="n">
        <f aca="false">SUM(B160:K160)-AG159</f>
        <v>0</v>
      </c>
    </row>
    <row r="161" customFormat="false" ht="15" hidden="false" customHeight="false" outlineLevel="0" collapsed="false">
      <c r="A161" s="40" t="n">
        <f aca="false">DATE(YEAR('Start Here'!$C$6),MONTH('Start Here'!$C$6)+154,1)</f>
        <v>50983</v>
      </c>
      <c r="B161" s="39" t="n">
        <f aca="false">ROUND(V160*(1+N('My Debts'!$D$6)/12),2)</f>
        <v>0</v>
      </c>
      <c r="C161" s="39" t="n">
        <f aca="false">ROUND(W160*(1+N('My Debts'!$D$7)/12),2)</f>
        <v>0</v>
      </c>
      <c r="D161" s="39" t="n">
        <f aca="false">ROUND(X160*(1+N('My Debts'!$D$8)/12),2)</f>
        <v>0</v>
      </c>
      <c r="E161" s="39" t="n">
        <f aca="false">ROUND(Y160*(1+N('My Debts'!$D$9)/12),2)</f>
        <v>0</v>
      </c>
      <c r="F161" s="39" t="n">
        <f aca="false">ROUND(Z160*(1+N('My Debts'!$D$10)/12),2)</f>
        <v>0</v>
      </c>
      <c r="G161" s="39" t="n">
        <f aca="false">ROUND(AA160*(1+N('My Debts'!$D$11)/12),2)</f>
        <v>0</v>
      </c>
      <c r="H161" s="39" t="n">
        <f aca="false">ROUND(AB160*(1+N('My Debts'!$D$12)/12),2)</f>
        <v>0</v>
      </c>
      <c r="I161" s="39" t="n">
        <f aca="false">ROUND(AC160*(1+N('My Debts'!$D$13)/12),2)</f>
        <v>0</v>
      </c>
      <c r="J161" s="39" t="n">
        <f aca="false">ROUND(AD160*(1+N('My Debts'!$D$14)/12),2)</f>
        <v>0</v>
      </c>
      <c r="K161" s="39" t="n">
        <f aca="false">ROUND(AE160*(1+N('My Debts'!$D$15)/12),2)</f>
        <v>0</v>
      </c>
      <c r="L161" s="39" t="n">
        <f aca="false">MIN(N('My Debts'!$E$6),B161)</f>
        <v>0</v>
      </c>
      <c r="M161" s="39" t="n">
        <f aca="false">MIN(N('My Debts'!$E$7),C161)</f>
        <v>0</v>
      </c>
      <c r="N161" s="39" t="n">
        <f aca="false">MIN(N('My Debts'!$E$8),D161)</f>
        <v>0</v>
      </c>
      <c r="O161" s="39" t="n">
        <f aca="false">MIN(N('My Debts'!$E$9),E161)</f>
        <v>0</v>
      </c>
      <c r="P161" s="39" t="n">
        <f aca="false">MIN(N('My Debts'!$E$10),F161)</f>
        <v>0</v>
      </c>
      <c r="Q161" s="39" t="n">
        <f aca="false">MIN(N('My Debts'!$E$11),G161)</f>
        <v>0</v>
      </c>
      <c r="R161" s="39" t="n">
        <f aca="false">MIN(N('My Debts'!$E$12),H161)</f>
        <v>0</v>
      </c>
      <c r="S161" s="39" t="n">
        <f aca="false">MIN(N('My Debts'!$E$13),I161)</f>
        <v>0</v>
      </c>
      <c r="T161" s="39" t="n">
        <f aca="false">MIN(N('My Debts'!$E$14),J161)</f>
        <v>0</v>
      </c>
      <c r="U161" s="39" t="n">
        <f aca="false">MIN(N('My Debts'!$E$15),K161)</f>
        <v>0</v>
      </c>
      <c r="V161" s="39" t="n">
        <f aca="false">ROUND(B161-L161-MIN(B161-L161,MAX(0,$AF161-SUMPRODUCT(--($B$4:$K$4&lt;B$4),$B161:$K161-$L161:$U161))),2)</f>
        <v>0</v>
      </c>
      <c r="W161" s="39" t="n">
        <f aca="false">ROUND(C161-M161-MIN(C161-M161,MAX(0,$AF161-SUMPRODUCT(--($B$4:$K$4&lt;C$4),$B161:$K161-$L161:$U161))),2)</f>
        <v>0</v>
      </c>
      <c r="X161" s="39" t="n">
        <f aca="false">ROUND(D161-N161-MIN(D161-N161,MAX(0,$AF161-SUMPRODUCT(--($B$4:$K$4&lt;D$4),$B161:$K161-$L161:$U161))),2)</f>
        <v>0</v>
      </c>
      <c r="Y161" s="39" t="n">
        <f aca="false">ROUND(E161-O161-MIN(E161-O161,MAX(0,$AF161-SUMPRODUCT(--($B$4:$K$4&lt;E$4),$B161:$K161-$L161:$U161))),2)</f>
        <v>0</v>
      </c>
      <c r="Z161" s="39" t="n">
        <f aca="false">ROUND(F161-P161-MIN(F161-P161,MAX(0,$AF161-SUMPRODUCT(--($B$4:$K$4&lt;F$4),$B161:$K161-$L161:$U161))),2)</f>
        <v>0</v>
      </c>
      <c r="AA161" s="39" t="n">
        <f aca="false">ROUND(G161-Q161-MIN(G161-Q161,MAX(0,$AF161-SUMPRODUCT(--($B$4:$K$4&lt;G$4),$B161:$K161-$L161:$U161))),2)</f>
        <v>0</v>
      </c>
      <c r="AB161" s="39" t="n">
        <f aca="false">ROUND(H161-R161-MIN(H161-R161,MAX(0,$AF161-SUMPRODUCT(--($B$4:$K$4&lt;H$4),$B161:$K161-$L161:$U161))),2)</f>
        <v>0</v>
      </c>
      <c r="AC161" s="39" t="n">
        <f aca="false">ROUND(I161-S161-MIN(I161-S161,MAX(0,$AF161-SUMPRODUCT(--($B$4:$K$4&lt;I$4),$B161:$K161-$L161:$U161))),2)</f>
        <v>0</v>
      </c>
      <c r="AD161" s="39" t="n">
        <f aca="false">ROUND(J161-T161-MIN(J161-T161,MAX(0,$AF161-SUMPRODUCT(--($B$4:$K$4&lt;J$4),$B161:$K161-$L161:$U161))),2)</f>
        <v>0</v>
      </c>
      <c r="AE161" s="39" t="n">
        <f aca="false">ROUND(K161-U161-MIN(K161-U161,MAX(0,$AF161-SUMPRODUCT(--($B$4:$K$4&lt;K$4),$B161:$K161-$L161:$U161))),2)</f>
        <v>0</v>
      </c>
      <c r="AF161" s="39" t="n">
        <f aca="false">MAX(0,'Start Here'!$C$5-SUM($L161:$U161))</f>
        <v>1200</v>
      </c>
      <c r="AG161" s="39" t="n">
        <f aca="false">SUM(V161:AE161)</f>
        <v>0</v>
      </c>
      <c r="AH161" s="39" t="n">
        <f aca="false">SUM(B161:K161)-AG160</f>
        <v>0</v>
      </c>
    </row>
    <row r="162" customFormat="false" ht="15" hidden="false" customHeight="false" outlineLevel="0" collapsed="false">
      <c r="A162" s="40" t="n">
        <f aca="false">DATE(YEAR('Start Here'!$C$6),MONTH('Start Here'!$C$6)+155,1)</f>
        <v>51014</v>
      </c>
      <c r="B162" s="39" t="n">
        <f aca="false">ROUND(V161*(1+N('My Debts'!$D$6)/12),2)</f>
        <v>0</v>
      </c>
      <c r="C162" s="39" t="n">
        <f aca="false">ROUND(W161*(1+N('My Debts'!$D$7)/12),2)</f>
        <v>0</v>
      </c>
      <c r="D162" s="39" t="n">
        <f aca="false">ROUND(X161*(1+N('My Debts'!$D$8)/12),2)</f>
        <v>0</v>
      </c>
      <c r="E162" s="39" t="n">
        <f aca="false">ROUND(Y161*(1+N('My Debts'!$D$9)/12),2)</f>
        <v>0</v>
      </c>
      <c r="F162" s="39" t="n">
        <f aca="false">ROUND(Z161*(1+N('My Debts'!$D$10)/12),2)</f>
        <v>0</v>
      </c>
      <c r="G162" s="39" t="n">
        <f aca="false">ROUND(AA161*(1+N('My Debts'!$D$11)/12),2)</f>
        <v>0</v>
      </c>
      <c r="H162" s="39" t="n">
        <f aca="false">ROUND(AB161*(1+N('My Debts'!$D$12)/12),2)</f>
        <v>0</v>
      </c>
      <c r="I162" s="39" t="n">
        <f aca="false">ROUND(AC161*(1+N('My Debts'!$D$13)/12),2)</f>
        <v>0</v>
      </c>
      <c r="J162" s="39" t="n">
        <f aca="false">ROUND(AD161*(1+N('My Debts'!$D$14)/12),2)</f>
        <v>0</v>
      </c>
      <c r="K162" s="39" t="n">
        <f aca="false">ROUND(AE161*(1+N('My Debts'!$D$15)/12),2)</f>
        <v>0</v>
      </c>
      <c r="L162" s="39" t="n">
        <f aca="false">MIN(N('My Debts'!$E$6),B162)</f>
        <v>0</v>
      </c>
      <c r="M162" s="39" t="n">
        <f aca="false">MIN(N('My Debts'!$E$7),C162)</f>
        <v>0</v>
      </c>
      <c r="N162" s="39" t="n">
        <f aca="false">MIN(N('My Debts'!$E$8),D162)</f>
        <v>0</v>
      </c>
      <c r="O162" s="39" t="n">
        <f aca="false">MIN(N('My Debts'!$E$9),E162)</f>
        <v>0</v>
      </c>
      <c r="P162" s="39" t="n">
        <f aca="false">MIN(N('My Debts'!$E$10),F162)</f>
        <v>0</v>
      </c>
      <c r="Q162" s="39" t="n">
        <f aca="false">MIN(N('My Debts'!$E$11),G162)</f>
        <v>0</v>
      </c>
      <c r="R162" s="39" t="n">
        <f aca="false">MIN(N('My Debts'!$E$12),H162)</f>
        <v>0</v>
      </c>
      <c r="S162" s="39" t="n">
        <f aca="false">MIN(N('My Debts'!$E$13),I162)</f>
        <v>0</v>
      </c>
      <c r="T162" s="39" t="n">
        <f aca="false">MIN(N('My Debts'!$E$14),J162)</f>
        <v>0</v>
      </c>
      <c r="U162" s="39" t="n">
        <f aca="false">MIN(N('My Debts'!$E$15),K162)</f>
        <v>0</v>
      </c>
      <c r="V162" s="39" t="n">
        <f aca="false">ROUND(B162-L162-MIN(B162-L162,MAX(0,$AF162-SUMPRODUCT(--($B$4:$K$4&lt;B$4),$B162:$K162-$L162:$U162))),2)</f>
        <v>0</v>
      </c>
      <c r="W162" s="39" t="n">
        <f aca="false">ROUND(C162-M162-MIN(C162-M162,MAX(0,$AF162-SUMPRODUCT(--($B$4:$K$4&lt;C$4),$B162:$K162-$L162:$U162))),2)</f>
        <v>0</v>
      </c>
      <c r="X162" s="39" t="n">
        <f aca="false">ROUND(D162-N162-MIN(D162-N162,MAX(0,$AF162-SUMPRODUCT(--($B$4:$K$4&lt;D$4),$B162:$K162-$L162:$U162))),2)</f>
        <v>0</v>
      </c>
      <c r="Y162" s="39" t="n">
        <f aca="false">ROUND(E162-O162-MIN(E162-O162,MAX(0,$AF162-SUMPRODUCT(--($B$4:$K$4&lt;E$4),$B162:$K162-$L162:$U162))),2)</f>
        <v>0</v>
      </c>
      <c r="Z162" s="39" t="n">
        <f aca="false">ROUND(F162-P162-MIN(F162-P162,MAX(0,$AF162-SUMPRODUCT(--($B$4:$K$4&lt;F$4),$B162:$K162-$L162:$U162))),2)</f>
        <v>0</v>
      </c>
      <c r="AA162" s="39" t="n">
        <f aca="false">ROUND(G162-Q162-MIN(G162-Q162,MAX(0,$AF162-SUMPRODUCT(--($B$4:$K$4&lt;G$4),$B162:$K162-$L162:$U162))),2)</f>
        <v>0</v>
      </c>
      <c r="AB162" s="39" t="n">
        <f aca="false">ROUND(H162-R162-MIN(H162-R162,MAX(0,$AF162-SUMPRODUCT(--($B$4:$K$4&lt;H$4),$B162:$K162-$L162:$U162))),2)</f>
        <v>0</v>
      </c>
      <c r="AC162" s="39" t="n">
        <f aca="false">ROUND(I162-S162-MIN(I162-S162,MAX(0,$AF162-SUMPRODUCT(--($B$4:$K$4&lt;I$4),$B162:$K162-$L162:$U162))),2)</f>
        <v>0</v>
      </c>
      <c r="AD162" s="39" t="n">
        <f aca="false">ROUND(J162-T162-MIN(J162-T162,MAX(0,$AF162-SUMPRODUCT(--($B$4:$K$4&lt;J$4),$B162:$K162-$L162:$U162))),2)</f>
        <v>0</v>
      </c>
      <c r="AE162" s="39" t="n">
        <f aca="false">ROUND(K162-U162-MIN(K162-U162,MAX(0,$AF162-SUMPRODUCT(--($B$4:$K$4&lt;K$4),$B162:$K162-$L162:$U162))),2)</f>
        <v>0</v>
      </c>
      <c r="AF162" s="39" t="n">
        <f aca="false">MAX(0,'Start Here'!$C$5-SUM($L162:$U162))</f>
        <v>1200</v>
      </c>
      <c r="AG162" s="39" t="n">
        <f aca="false">SUM(V162:AE162)</f>
        <v>0</v>
      </c>
      <c r="AH162" s="39" t="n">
        <f aca="false">SUM(B162:K162)-AG161</f>
        <v>0</v>
      </c>
    </row>
    <row r="163" customFormat="false" ht="15" hidden="false" customHeight="false" outlineLevel="0" collapsed="false">
      <c r="A163" s="40" t="n">
        <f aca="false">DATE(YEAR('Start Here'!$C$6),MONTH('Start Here'!$C$6)+156,1)</f>
        <v>51044</v>
      </c>
      <c r="B163" s="39" t="n">
        <f aca="false">ROUND(V162*(1+N('My Debts'!$D$6)/12),2)</f>
        <v>0</v>
      </c>
      <c r="C163" s="39" t="n">
        <f aca="false">ROUND(W162*(1+N('My Debts'!$D$7)/12),2)</f>
        <v>0</v>
      </c>
      <c r="D163" s="39" t="n">
        <f aca="false">ROUND(X162*(1+N('My Debts'!$D$8)/12),2)</f>
        <v>0</v>
      </c>
      <c r="E163" s="39" t="n">
        <f aca="false">ROUND(Y162*(1+N('My Debts'!$D$9)/12),2)</f>
        <v>0</v>
      </c>
      <c r="F163" s="39" t="n">
        <f aca="false">ROUND(Z162*(1+N('My Debts'!$D$10)/12),2)</f>
        <v>0</v>
      </c>
      <c r="G163" s="39" t="n">
        <f aca="false">ROUND(AA162*(1+N('My Debts'!$D$11)/12),2)</f>
        <v>0</v>
      </c>
      <c r="H163" s="39" t="n">
        <f aca="false">ROUND(AB162*(1+N('My Debts'!$D$12)/12),2)</f>
        <v>0</v>
      </c>
      <c r="I163" s="39" t="n">
        <f aca="false">ROUND(AC162*(1+N('My Debts'!$D$13)/12),2)</f>
        <v>0</v>
      </c>
      <c r="J163" s="39" t="n">
        <f aca="false">ROUND(AD162*(1+N('My Debts'!$D$14)/12),2)</f>
        <v>0</v>
      </c>
      <c r="K163" s="39" t="n">
        <f aca="false">ROUND(AE162*(1+N('My Debts'!$D$15)/12),2)</f>
        <v>0</v>
      </c>
      <c r="L163" s="39" t="n">
        <f aca="false">MIN(N('My Debts'!$E$6),B163)</f>
        <v>0</v>
      </c>
      <c r="M163" s="39" t="n">
        <f aca="false">MIN(N('My Debts'!$E$7),C163)</f>
        <v>0</v>
      </c>
      <c r="N163" s="39" t="n">
        <f aca="false">MIN(N('My Debts'!$E$8),D163)</f>
        <v>0</v>
      </c>
      <c r="O163" s="39" t="n">
        <f aca="false">MIN(N('My Debts'!$E$9),E163)</f>
        <v>0</v>
      </c>
      <c r="P163" s="39" t="n">
        <f aca="false">MIN(N('My Debts'!$E$10),F163)</f>
        <v>0</v>
      </c>
      <c r="Q163" s="39" t="n">
        <f aca="false">MIN(N('My Debts'!$E$11),G163)</f>
        <v>0</v>
      </c>
      <c r="R163" s="39" t="n">
        <f aca="false">MIN(N('My Debts'!$E$12),H163)</f>
        <v>0</v>
      </c>
      <c r="S163" s="39" t="n">
        <f aca="false">MIN(N('My Debts'!$E$13),I163)</f>
        <v>0</v>
      </c>
      <c r="T163" s="39" t="n">
        <f aca="false">MIN(N('My Debts'!$E$14),J163)</f>
        <v>0</v>
      </c>
      <c r="U163" s="39" t="n">
        <f aca="false">MIN(N('My Debts'!$E$15),K163)</f>
        <v>0</v>
      </c>
      <c r="V163" s="39" t="n">
        <f aca="false">ROUND(B163-L163-MIN(B163-L163,MAX(0,$AF163-SUMPRODUCT(--($B$4:$K$4&lt;B$4),$B163:$K163-$L163:$U163))),2)</f>
        <v>0</v>
      </c>
      <c r="W163" s="39" t="n">
        <f aca="false">ROUND(C163-M163-MIN(C163-M163,MAX(0,$AF163-SUMPRODUCT(--($B$4:$K$4&lt;C$4),$B163:$K163-$L163:$U163))),2)</f>
        <v>0</v>
      </c>
      <c r="X163" s="39" t="n">
        <f aca="false">ROUND(D163-N163-MIN(D163-N163,MAX(0,$AF163-SUMPRODUCT(--($B$4:$K$4&lt;D$4),$B163:$K163-$L163:$U163))),2)</f>
        <v>0</v>
      </c>
      <c r="Y163" s="39" t="n">
        <f aca="false">ROUND(E163-O163-MIN(E163-O163,MAX(0,$AF163-SUMPRODUCT(--($B$4:$K$4&lt;E$4),$B163:$K163-$L163:$U163))),2)</f>
        <v>0</v>
      </c>
      <c r="Z163" s="39" t="n">
        <f aca="false">ROUND(F163-P163-MIN(F163-P163,MAX(0,$AF163-SUMPRODUCT(--($B$4:$K$4&lt;F$4),$B163:$K163-$L163:$U163))),2)</f>
        <v>0</v>
      </c>
      <c r="AA163" s="39" t="n">
        <f aca="false">ROUND(G163-Q163-MIN(G163-Q163,MAX(0,$AF163-SUMPRODUCT(--($B$4:$K$4&lt;G$4),$B163:$K163-$L163:$U163))),2)</f>
        <v>0</v>
      </c>
      <c r="AB163" s="39" t="n">
        <f aca="false">ROUND(H163-R163-MIN(H163-R163,MAX(0,$AF163-SUMPRODUCT(--($B$4:$K$4&lt;H$4),$B163:$K163-$L163:$U163))),2)</f>
        <v>0</v>
      </c>
      <c r="AC163" s="39" t="n">
        <f aca="false">ROUND(I163-S163-MIN(I163-S163,MAX(0,$AF163-SUMPRODUCT(--($B$4:$K$4&lt;I$4),$B163:$K163-$L163:$U163))),2)</f>
        <v>0</v>
      </c>
      <c r="AD163" s="39" t="n">
        <f aca="false">ROUND(J163-T163-MIN(J163-T163,MAX(0,$AF163-SUMPRODUCT(--($B$4:$K$4&lt;J$4),$B163:$K163-$L163:$U163))),2)</f>
        <v>0</v>
      </c>
      <c r="AE163" s="39" t="n">
        <f aca="false">ROUND(K163-U163-MIN(K163-U163,MAX(0,$AF163-SUMPRODUCT(--($B$4:$K$4&lt;K$4),$B163:$K163-$L163:$U163))),2)</f>
        <v>0</v>
      </c>
      <c r="AF163" s="39" t="n">
        <f aca="false">MAX(0,'Start Here'!$C$5-SUM($L163:$U163))</f>
        <v>1200</v>
      </c>
      <c r="AG163" s="39" t="n">
        <f aca="false">SUM(V163:AE163)</f>
        <v>0</v>
      </c>
      <c r="AH163" s="39" t="n">
        <f aca="false">SUM(B163:K163)-AG162</f>
        <v>0</v>
      </c>
    </row>
    <row r="164" customFormat="false" ht="15" hidden="false" customHeight="false" outlineLevel="0" collapsed="false">
      <c r="A164" s="40" t="n">
        <f aca="false">DATE(YEAR('Start Here'!$C$6),MONTH('Start Here'!$C$6)+157,1)</f>
        <v>51075</v>
      </c>
      <c r="B164" s="39" t="n">
        <f aca="false">ROUND(V163*(1+N('My Debts'!$D$6)/12),2)</f>
        <v>0</v>
      </c>
      <c r="C164" s="39" t="n">
        <f aca="false">ROUND(W163*(1+N('My Debts'!$D$7)/12),2)</f>
        <v>0</v>
      </c>
      <c r="D164" s="39" t="n">
        <f aca="false">ROUND(X163*(1+N('My Debts'!$D$8)/12),2)</f>
        <v>0</v>
      </c>
      <c r="E164" s="39" t="n">
        <f aca="false">ROUND(Y163*(1+N('My Debts'!$D$9)/12),2)</f>
        <v>0</v>
      </c>
      <c r="F164" s="39" t="n">
        <f aca="false">ROUND(Z163*(1+N('My Debts'!$D$10)/12),2)</f>
        <v>0</v>
      </c>
      <c r="G164" s="39" t="n">
        <f aca="false">ROUND(AA163*(1+N('My Debts'!$D$11)/12),2)</f>
        <v>0</v>
      </c>
      <c r="H164" s="39" t="n">
        <f aca="false">ROUND(AB163*(1+N('My Debts'!$D$12)/12),2)</f>
        <v>0</v>
      </c>
      <c r="I164" s="39" t="n">
        <f aca="false">ROUND(AC163*(1+N('My Debts'!$D$13)/12),2)</f>
        <v>0</v>
      </c>
      <c r="J164" s="39" t="n">
        <f aca="false">ROUND(AD163*(1+N('My Debts'!$D$14)/12),2)</f>
        <v>0</v>
      </c>
      <c r="K164" s="39" t="n">
        <f aca="false">ROUND(AE163*(1+N('My Debts'!$D$15)/12),2)</f>
        <v>0</v>
      </c>
      <c r="L164" s="39" t="n">
        <f aca="false">MIN(N('My Debts'!$E$6),B164)</f>
        <v>0</v>
      </c>
      <c r="M164" s="39" t="n">
        <f aca="false">MIN(N('My Debts'!$E$7),C164)</f>
        <v>0</v>
      </c>
      <c r="N164" s="39" t="n">
        <f aca="false">MIN(N('My Debts'!$E$8),D164)</f>
        <v>0</v>
      </c>
      <c r="O164" s="39" t="n">
        <f aca="false">MIN(N('My Debts'!$E$9),E164)</f>
        <v>0</v>
      </c>
      <c r="P164" s="39" t="n">
        <f aca="false">MIN(N('My Debts'!$E$10),F164)</f>
        <v>0</v>
      </c>
      <c r="Q164" s="39" t="n">
        <f aca="false">MIN(N('My Debts'!$E$11),G164)</f>
        <v>0</v>
      </c>
      <c r="R164" s="39" t="n">
        <f aca="false">MIN(N('My Debts'!$E$12),H164)</f>
        <v>0</v>
      </c>
      <c r="S164" s="39" t="n">
        <f aca="false">MIN(N('My Debts'!$E$13),I164)</f>
        <v>0</v>
      </c>
      <c r="T164" s="39" t="n">
        <f aca="false">MIN(N('My Debts'!$E$14),J164)</f>
        <v>0</v>
      </c>
      <c r="U164" s="39" t="n">
        <f aca="false">MIN(N('My Debts'!$E$15),K164)</f>
        <v>0</v>
      </c>
      <c r="V164" s="39" t="n">
        <f aca="false">ROUND(B164-L164-MIN(B164-L164,MAX(0,$AF164-SUMPRODUCT(--($B$4:$K$4&lt;B$4),$B164:$K164-$L164:$U164))),2)</f>
        <v>0</v>
      </c>
      <c r="W164" s="39" t="n">
        <f aca="false">ROUND(C164-M164-MIN(C164-M164,MAX(0,$AF164-SUMPRODUCT(--($B$4:$K$4&lt;C$4),$B164:$K164-$L164:$U164))),2)</f>
        <v>0</v>
      </c>
      <c r="X164" s="39" t="n">
        <f aca="false">ROUND(D164-N164-MIN(D164-N164,MAX(0,$AF164-SUMPRODUCT(--($B$4:$K$4&lt;D$4),$B164:$K164-$L164:$U164))),2)</f>
        <v>0</v>
      </c>
      <c r="Y164" s="39" t="n">
        <f aca="false">ROUND(E164-O164-MIN(E164-O164,MAX(0,$AF164-SUMPRODUCT(--($B$4:$K$4&lt;E$4),$B164:$K164-$L164:$U164))),2)</f>
        <v>0</v>
      </c>
      <c r="Z164" s="39" t="n">
        <f aca="false">ROUND(F164-P164-MIN(F164-P164,MAX(0,$AF164-SUMPRODUCT(--($B$4:$K$4&lt;F$4),$B164:$K164-$L164:$U164))),2)</f>
        <v>0</v>
      </c>
      <c r="AA164" s="39" t="n">
        <f aca="false">ROUND(G164-Q164-MIN(G164-Q164,MAX(0,$AF164-SUMPRODUCT(--($B$4:$K$4&lt;G$4),$B164:$K164-$L164:$U164))),2)</f>
        <v>0</v>
      </c>
      <c r="AB164" s="39" t="n">
        <f aca="false">ROUND(H164-R164-MIN(H164-R164,MAX(0,$AF164-SUMPRODUCT(--($B$4:$K$4&lt;H$4),$B164:$K164-$L164:$U164))),2)</f>
        <v>0</v>
      </c>
      <c r="AC164" s="39" t="n">
        <f aca="false">ROUND(I164-S164-MIN(I164-S164,MAX(0,$AF164-SUMPRODUCT(--($B$4:$K$4&lt;I$4),$B164:$K164-$L164:$U164))),2)</f>
        <v>0</v>
      </c>
      <c r="AD164" s="39" t="n">
        <f aca="false">ROUND(J164-T164-MIN(J164-T164,MAX(0,$AF164-SUMPRODUCT(--($B$4:$K$4&lt;J$4),$B164:$K164-$L164:$U164))),2)</f>
        <v>0</v>
      </c>
      <c r="AE164" s="39" t="n">
        <f aca="false">ROUND(K164-U164-MIN(K164-U164,MAX(0,$AF164-SUMPRODUCT(--($B$4:$K$4&lt;K$4),$B164:$K164-$L164:$U164))),2)</f>
        <v>0</v>
      </c>
      <c r="AF164" s="39" t="n">
        <f aca="false">MAX(0,'Start Here'!$C$5-SUM($L164:$U164))</f>
        <v>1200</v>
      </c>
      <c r="AG164" s="39" t="n">
        <f aca="false">SUM(V164:AE164)</f>
        <v>0</v>
      </c>
      <c r="AH164" s="39" t="n">
        <f aca="false">SUM(B164:K164)-AG163</f>
        <v>0</v>
      </c>
    </row>
    <row r="165" customFormat="false" ht="15" hidden="false" customHeight="false" outlineLevel="0" collapsed="false">
      <c r="A165" s="40" t="n">
        <f aca="false">DATE(YEAR('Start Here'!$C$6),MONTH('Start Here'!$C$6)+158,1)</f>
        <v>51105</v>
      </c>
      <c r="B165" s="39" t="n">
        <f aca="false">ROUND(V164*(1+N('My Debts'!$D$6)/12),2)</f>
        <v>0</v>
      </c>
      <c r="C165" s="39" t="n">
        <f aca="false">ROUND(W164*(1+N('My Debts'!$D$7)/12),2)</f>
        <v>0</v>
      </c>
      <c r="D165" s="39" t="n">
        <f aca="false">ROUND(X164*(1+N('My Debts'!$D$8)/12),2)</f>
        <v>0</v>
      </c>
      <c r="E165" s="39" t="n">
        <f aca="false">ROUND(Y164*(1+N('My Debts'!$D$9)/12),2)</f>
        <v>0</v>
      </c>
      <c r="F165" s="39" t="n">
        <f aca="false">ROUND(Z164*(1+N('My Debts'!$D$10)/12),2)</f>
        <v>0</v>
      </c>
      <c r="G165" s="39" t="n">
        <f aca="false">ROUND(AA164*(1+N('My Debts'!$D$11)/12),2)</f>
        <v>0</v>
      </c>
      <c r="H165" s="39" t="n">
        <f aca="false">ROUND(AB164*(1+N('My Debts'!$D$12)/12),2)</f>
        <v>0</v>
      </c>
      <c r="I165" s="39" t="n">
        <f aca="false">ROUND(AC164*(1+N('My Debts'!$D$13)/12),2)</f>
        <v>0</v>
      </c>
      <c r="J165" s="39" t="n">
        <f aca="false">ROUND(AD164*(1+N('My Debts'!$D$14)/12),2)</f>
        <v>0</v>
      </c>
      <c r="K165" s="39" t="n">
        <f aca="false">ROUND(AE164*(1+N('My Debts'!$D$15)/12),2)</f>
        <v>0</v>
      </c>
      <c r="L165" s="39" t="n">
        <f aca="false">MIN(N('My Debts'!$E$6),B165)</f>
        <v>0</v>
      </c>
      <c r="M165" s="39" t="n">
        <f aca="false">MIN(N('My Debts'!$E$7),C165)</f>
        <v>0</v>
      </c>
      <c r="N165" s="39" t="n">
        <f aca="false">MIN(N('My Debts'!$E$8),D165)</f>
        <v>0</v>
      </c>
      <c r="O165" s="39" t="n">
        <f aca="false">MIN(N('My Debts'!$E$9),E165)</f>
        <v>0</v>
      </c>
      <c r="P165" s="39" t="n">
        <f aca="false">MIN(N('My Debts'!$E$10),F165)</f>
        <v>0</v>
      </c>
      <c r="Q165" s="39" t="n">
        <f aca="false">MIN(N('My Debts'!$E$11),G165)</f>
        <v>0</v>
      </c>
      <c r="R165" s="39" t="n">
        <f aca="false">MIN(N('My Debts'!$E$12),H165)</f>
        <v>0</v>
      </c>
      <c r="S165" s="39" t="n">
        <f aca="false">MIN(N('My Debts'!$E$13),I165)</f>
        <v>0</v>
      </c>
      <c r="T165" s="39" t="n">
        <f aca="false">MIN(N('My Debts'!$E$14),J165)</f>
        <v>0</v>
      </c>
      <c r="U165" s="39" t="n">
        <f aca="false">MIN(N('My Debts'!$E$15),K165)</f>
        <v>0</v>
      </c>
      <c r="V165" s="39" t="n">
        <f aca="false">ROUND(B165-L165-MIN(B165-L165,MAX(0,$AF165-SUMPRODUCT(--($B$4:$K$4&lt;B$4),$B165:$K165-$L165:$U165))),2)</f>
        <v>0</v>
      </c>
      <c r="W165" s="39" t="n">
        <f aca="false">ROUND(C165-M165-MIN(C165-M165,MAX(0,$AF165-SUMPRODUCT(--($B$4:$K$4&lt;C$4),$B165:$K165-$L165:$U165))),2)</f>
        <v>0</v>
      </c>
      <c r="X165" s="39" t="n">
        <f aca="false">ROUND(D165-N165-MIN(D165-N165,MAX(0,$AF165-SUMPRODUCT(--($B$4:$K$4&lt;D$4),$B165:$K165-$L165:$U165))),2)</f>
        <v>0</v>
      </c>
      <c r="Y165" s="39" t="n">
        <f aca="false">ROUND(E165-O165-MIN(E165-O165,MAX(0,$AF165-SUMPRODUCT(--($B$4:$K$4&lt;E$4),$B165:$K165-$L165:$U165))),2)</f>
        <v>0</v>
      </c>
      <c r="Z165" s="39" t="n">
        <f aca="false">ROUND(F165-P165-MIN(F165-P165,MAX(0,$AF165-SUMPRODUCT(--($B$4:$K$4&lt;F$4),$B165:$K165-$L165:$U165))),2)</f>
        <v>0</v>
      </c>
      <c r="AA165" s="39" t="n">
        <f aca="false">ROUND(G165-Q165-MIN(G165-Q165,MAX(0,$AF165-SUMPRODUCT(--($B$4:$K$4&lt;G$4),$B165:$K165-$L165:$U165))),2)</f>
        <v>0</v>
      </c>
      <c r="AB165" s="39" t="n">
        <f aca="false">ROUND(H165-R165-MIN(H165-R165,MAX(0,$AF165-SUMPRODUCT(--($B$4:$K$4&lt;H$4),$B165:$K165-$L165:$U165))),2)</f>
        <v>0</v>
      </c>
      <c r="AC165" s="39" t="n">
        <f aca="false">ROUND(I165-S165-MIN(I165-S165,MAX(0,$AF165-SUMPRODUCT(--($B$4:$K$4&lt;I$4),$B165:$K165-$L165:$U165))),2)</f>
        <v>0</v>
      </c>
      <c r="AD165" s="39" t="n">
        <f aca="false">ROUND(J165-T165-MIN(J165-T165,MAX(0,$AF165-SUMPRODUCT(--($B$4:$K$4&lt;J$4),$B165:$K165-$L165:$U165))),2)</f>
        <v>0</v>
      </c>
      <c r="AE165" s="39" t="n">
        <f aca="false">ROUND(K165-U165-MIN(K165-U165,MAX(0,$AF165-SUMPRODUCT(--($B$4:$K$4&lt;K$4),$B165:$K165-$L165:$U165))),2)</f>
        <v>0</v>
      </c>
      <c r="AF165" s="39" t="n">
        <f aca="false">MAX(0,'Start Here'!$C$5-SUM($L165:$U165))</f>
        <v>1200</v>
      </c>
      <c r="AG165" s="39" t="n">
        <f aca="false">SUM(V165:AE165)</f>
        <v>0</v>
      </c>
      <c r="AH165" s="39" t="n">
        <f aca="false">SUM(B165:K165)-AG164</f>
        <v>0</v>
      </c>
    </row>
    <row r="166" customFormat="false" ht="15" hidden="false" customHeight="false" outlineLevel="0" collapsed="false">
      <c r="A166" s="40" t="n">
        <f aca="false">DATE(YEAR('Start Here'!$C$6),MONTH('Start Here'!$C$6)+159,1)</f>
        <v>51136</v>
      </c>
      <c r="B166" s="39" t="n">
        <f aca="false">ROUND(V165*(1+N('My Debts'!$D$6)/12),2)</f>
        <v>0</v>
      </c>
      <c r="C166" s="39" t="n">
        <f aca="false">ROUND(W165*(1+N('My Debts'!$D$7)/12),2)</f>
        <v>0</v>
      </c>
      <c r="D166" s="39" t="n">
        <f aca="false">ROUND(X165*(1+N('My Debts'!$D$8)/12),2)</f>
        <v>0</v>
      </c>
      <c r="E166" s="39" t="n">
        <f aca="false">ROUND(Y165*(1+N('My Debts'!$D$9)/12),2)</f>
        <v>0</v>
      </c>
      <c r="F166" s="39" t="n">
        <f aca="false">ROUND(Z165*(1+N('My Debts'!$D$10)/12),2)</f>
        <v>0</v>
      </c>
      <c r="G166" s="39" t="n">
        <f aca="false">ROUND(AA165*(1+N('My Debts'!$D$11)/12),2)</f>
        <v>0</v>
      </c>
      <c r="H166" s="39" t="n">
        <f aca="false">ROUND(AB165*(1+N('My Debts'!$D$12)/12),2)</f>
        <v>0</v>
      </c>
      <c r="I166" s="39" t="n">
        <f aca="false">ROUND(AC165*(1+N('My Debts'!$D$13)/12),2)</f>
        <v>0</v>
      </c>
      <c r="J166" s="39" t="n">
        <f aca="false">ROUND(AD165*(1+N('My Debts'!$D$14)/12),2)</f>
        <v>0</v>
      </c>
      <c r="K166" s="39" t="n">
        <f aca="false">ROUND(AE165*(1+N('My Debts'!$D$15)/12),2)</f>
        <v>0</v>
      </c>
      <c r="L166" s="39" t="n">
        <f aca="false">MIN(N('My Debts'!$E$6),B166)</f>
        <v>0</v>
      </c>
      <c r="M166" s="39" t="n">
        <f aca="false">MIN(N('My Debts'!$E$7),C166)</f>
        <v>0</v>
      </c>
      <c r="N166" s="39" t="n">
        <f aca="false">MIN(N('My Debts'!$E$8),D166)</f>
        <v>0</v>
      </c>
      <c r="O166" s="39" t="n">
        <f aca="false">MIN(N('My Debts'!$E$9),E166)</f>
        <v>0</v>
      </c>
      <c r="P166" s="39" t="n">
        <f aca="false">MIN(N('My Debts'!$E$10),F166)</f>
        <v>0</v>
      </c>
      <c r="Q166" s="39" t="n">
        <f aca="false">MIN(N('My Debts'!$E$11),G166)</f>
        <v>0</v>
      </c>
      <c r="R166" s="39" t="n">
        <f aca="false">MIN(N('My Debts'!$E$12),H166)</f>
        <v>0</v>
      </c>
      <c r="S166" s="39" t="n">
        <f aca="false">MIN(N('My Debts'!$E$13),I166)</f>
        <v>0</v>
      </c>
      <c r="T166" s="39" t="n">
        <f aca="false">MIN(N('My Debts'!$E$14),J166)</f>
        <v>0</v>
      </c>
      <c r="U166" s="39" t="n">
        <f aca="false">MIN(N('My Debts'!$E$15),K166)</f>
        <v>0</v>
      </c>
      <c r="V166" s="39" t="n">
        <f aca="false">ROUND(B166-L166-MIN(B166-L166,MAX(0,$AF166-SUMPRODUCT(--($B$4:$K$4&lt;B$4),$B166:$K166-$L166:$U166))),2)</f>
        <v>0</v>
      </c>
      <c r="W166" s="39" t="n">
        <f aca="false">ROUND(C166-M166-MIN(C166-M166,MAX(0,$AF166-SUMPRODUCT(--($B$4:$K$4&lt;C$4),$B166:$K166-$L166:$U166))),2)</f>
        <v>0</v>
      </c>
      <c r="X166" s="39" t="n">
        <f aca="false">ROUND(D166-N166-MIN(D166-N166,MAX(0,$AF166-SUMPRODUCT(--($B$4:$K$4&lt;D$4),$B166:$K166-$L166:$U166))),2)</f>
        <v>0</v>
      </c>
      <c r="Y166" s="39" t="n">
        <f aca="false">ROUND(E166-O166-MIN(E166-O166,MAX(0,$AF166-SUMPRODUCT(--($B$4:$K$4&lt;E$4),$B166:$K166-$L166:$U166))),2)</f>
        <v>0</v>
      </c>
      <c r="Z166" s="39" t="n">
        <f aca="false">ROUND(F166-P166-MIN(F166-P166,MAX(0,$AF166-SUMPRODUCT(--($B$4:$K$4&lt;F$4),$B166:$K166-$L166:$U166))),2)</f>
        <v>0</v>
      </c>
      <c r="AA166" s="39" t="n">
        <f aca="false">ROUND(G166-Q166-MIN(G166-Q166,MAX(0,$AF166-SUMPRODUCT(--($B$4:$K$4&lt;G$4),$B166:$K166-$L166:$U166))),2)</f>
        <v>0</v>
      </c>
      <c r="AB166" s="39" t="n">
        <f aca="false">ROUND(H166-R166-MIN(H166-R166,MAX(0,$AF166-SUMPRODUCT(--($B$4:$K$4&lt;H$4),$B166:$K166-$L166:$U166))),2)</f>
        <v>0</v>
      </c>
      <c r="AC166" s="39" t="n">
        <f aca="false">ROUND(I166-S166-MIN(I166-S166,MAX(0,$AF166-SUMPRODUCT(--($B$4:$K$4&lt;I$4),$B166:$K166-$L166:$U166))),2)</f>
        <v>0</v>
      </c>
      <c r="AD166" s="39" t="n">
        <f aca="false">ROUND(J166-T166-MIN(J166-T166,MAX(0,$AF166-SUMPRODUCT(--($B$4:$K$4&lt;J$4),$B166:$K166-$L166:$U166))),2)</f>
        <v>0</v>
      </c>
      <c r="AE166" s="39" t="n">
        <f aca="false">ROUND(K166-U166-MIN(K166-U166,MAX(0,$AF166-SUMPRODUCT(--($B$4:$K$4&lt;K$4),$B166:$K166-$L166:$U166))),2)</f>
        <v>0</v>
      </c>
      <c r="AF166" s="39" t="n">
        <f aca="false">MAX(0,'Start Here'!$C$5-SUM($L166:$U166))</f>
        <v>1200</v>
      </c>
      <c r="AG166" s="39" t="n">
        <f aca="false">SUM(V166:AE166)</f>
        <v>0</v>
      </c>
      <c r="AH166" s="39" t="n">
        <f aca="false">SUM(B166:K166)-AG165</f>
        <v>0</v>
      </c>
    </row>
    <row r="167" customFormat="false" ht="15" hidden="false" customHeight="false" outlineLevel="0" collapsed="false">
      <c r="A167" s="40" t="n">
        <f aca="false">DATE(YEAR('Start Here'!$C$6),MONTH('Start Here'!$C$6)+160,1)</f>
        <v>51167</v>
      </c>
      <c r="B167" s="39" t="n">
        <f aca="false">ROUND(V166*(1+N('My Debts'!$D$6)/12),2)</f>
        <v>0</v>
      </c>
      <c r="C167" s="39" t="n">
        <f aca="false">ROUND(W166*(1+N('My Debts'!$D$7)/12),2)</f>
        <v>0</v>
      </c>
      <c r="D167" s="39" t="n">
        <f aca="false">ROUND(X166*(1+N('My Debts'!$D$8)/12),2)</f>
        <v>0</v>
      </c>
      <c r="E167" s="39" t="n">
        <f aca="false">ROUND(Y166*(1+N('My Debts'!$D$9)/12),2)</f>
        <v>0</v>
      </c>
      <c r="F167" s="39" t="n">
        <f aca="false">ROUND(Z166*(1+N('My Debts'!$D$10)/12),2)</f>
        <v>0</v>
      </c>
      <c r="G167" s="39" t="n">
        <f aca="false">ROUND(AA166*(1+N('My Debts'!$D$11)/12),2)</f>
        <v>0</v>
      </c>
      <c r="H167" s="39" t="n">
        <f aca="false">ROUND(AB166*(1+N('My Debts'!$D$12)/12),2)</f>
        <v>0</v>
      </c>
      <c r="I167" s="39" t="n">
        <f aca="false">ROUND(AC166*(1+N('My Debts'!$D$13)/12),2)</f>
        <v>0</v>
      </c>
      <c r="J167" s="39" t="n">
        <f aca="false">ROUND(AD166*(1+N('My Debts'!$D$14)/12),2)</f>
        <v>0</v>
      </c>
      <c r="K167" s="39" t="n">
        <f aca="false">ROUND(AE166*(1+N('My Debts'!$D$15)/12),2)</f>
        <v>0</v>
      </c>
      <c r="L167" s="39" t="n">
        <f aca="false">MIN(N('My Debts'!$E$6),B167)</f>
        <v>0</v>
      </c>
      <c r="M167" s="39" t="n">
        <f aca="false">MIN(N('My Debts'!$E$7),C167)</f>
        <v>0</v>
      </c>
      <c r="N167" s="39" t="n">
        <f aca="false">MIN(N('My Debts'!$E$8),D167)</f>
        <v>0</v>
      </c>
      <c r="O167" s="39" t="n">
        <f aca="false">MIN(N('My Debts'!$E$9),E167)</f>
        <v>0</v>
      </c>
      <c r="P167" s="39" t="n">
        <f aca="false">MIN(N('My Debts'!$E$10),F167)</f>
        <v>0</v>
      </c>
      <c r="Q167" s="39" t="n">
        <f aca="false">MIN(N('My Debts'!$E$11),G167)</f>
        <v>0</v>
      </c>
      <c r="R167" s="39" t="n">
        <f aca="false">MIN(N('My Debts'!$E$12),H167)</f>
        <v>0</v>
      </c>
      <c r="S167" s="39" t="n">
        <f aca="false">MIN(N('My Debts'!$E$13),I167)</f>
        <v>0</v>
      </c>
      <c r="T167" s="39" t="n">
        <f aca="false">MIN(N('My Debts'!$E$14),J167)</f>
        <v>0</v>
      </c>
      <c r="U167" s="39" t="n">
        <f aca="false">MIN(N('My Debts'!$E$15),K167)</f>
        <v>0</v>
      </c>
      <c r="V167" s="39" t="n">
        <f aca="false">ROUND(B167-L167-MIN(B167-L167,MAX(0,$AF167-SUMPRODUCT(--($B$4:$K$4&lt;B$4),$B167:$K167-$L167:$U167))),2)</f>
        <v>0</v>
      </c>
      <c r="W167" s="39" t="n">
        <f aca="false">ROUND(C167-M167-MIN(C167-M167,MAX(0,$AF167-SUMPRODUCT(--($B$4:$K$4&lt;C$4),$B167:$K167-$L167:$U167))),2)</f>
        <v>0</v>
      </c>
      <c r="X167" s="39" t="n">
        <f aca="false">ROUND(D167-N167-MIN(D167-N167,MAX(0,$AF167-SUMPRODUCT(--($B$4:$K$4&lt;D$4),$B167:$K167-$L167:$U167))),2)</f>
        <v>0</v>
      </c>
      <c r="Y167" s="39" t="n">
        <f aca="false">ROUND(E167-O167-MIN(E167-O167,MAX(0,$AF167-SUMPRODUCT(--($B$4:$K$4&lt;E$4),$B167:$K167-$L167:$U167))),2)</f>
        <v>0</v>
      </c>
      <c r="Z167" s="39" t="n">
        <f aca="false">ROUND(F167-P167-MIN(F167-P167,MAX(0,$AF167-SUMPRODUCT(--($B$4:$K$4&lt;F$4),$B167:$K167-$L167:$U167))),2)</f>
        <v>0</v>
      </c>
      <c r="AA167" s="39" t="n">
        <f aca="false">ROUND(G167-Q167-MIN(G167-Q167,MAX(0,$AF167-SUMPRODUCT(--($B$4:$K$4&lt;G$4),$B167:$K167-$L167:$U167))),2)</f>
        <v>0</v>
      </c>
      <c r="AB167" s="39" t="n">
        <f aca="false">ROUND(H167-R167-MIN(H167-R167,MAX(0,$AF167-SUMPRODUCT(--($B$4:$K$4&lt;H$4),$B167:$K167-$L167:$U167))),2)</f>
        <v>0</v>
      </c>
      <c r="AC167" s="39" t="n">
        <f aca="false">ROUND(I167-S167-MIN(I167-S167,MAX(0,$AF167-SUMPRODUCT(--($B$4:$K$4&lt;I$4),$B167:$K167-$L167:$U167))),2)</f>
        <v>0</v>
      </c>
      <c r="AD167" s="39" t="n">
        <f aca="false">ROUND(J167-T167-MIN(J167-T167,MAX(0,$AF167-SUMPRODUCT(--($B$4:$K$4&lt;J$4),$B167:$K167-$L167:$U167))),2)</f>
        <v>0</v>
      </c>
      <c r="AE167" s="39" t="n">
        <f aca="false">ROUND(K167-U167-MIN(K167-U167,MAX(0,$AF167-SUMPRODUCT(--($B$4:$K$4&lt;K$4),$B167:$K167-$L167:$U167))),2)</f>
        <v>0</v>
      </c>
      <c r="AF167" s="39" t="n">
        <f aca="false">MAX(0,'Start Here'!$C$5-SUM($L167:$U167))</f>
        <v>1200</v>
      </c>
      <c r="AG167" s="39" t="n">
        <f aca="false">SUM(V167:AE167)</f>
        <v>0</v>
      </c>
      <c r="AH167" s="39" t="n">
        <f aca="false">SUM(B167:K167)-AG166</f>
        <v>0</v>
      </c>
    </row>
    <row r="168" customFormat="false" ht="15" hidden="false" customHeight="false" outlineLevel="0" collapsed="false">
      <c r="A168" s="40" t="n">
        <f aca="false">DATE(YEAR('Start Here'!$C$6),MONTH('Start Here'!$C$6)+161,1)</f>
        <v>51196</v>
      </c>
      <c r="B168" s="39" t="n">
        <f aca="false">ROUND(V167*(1+N('My Debts'!$D$6)/12),2)</f>
        <v>0</v>
      </c>
      <c r="C168" s="39" t="n">
        <f aca="false">ROUND(W167*(1+N('My Debts'!$D$7)/12),2)</f>
        <v>0</v>
      </c>
      <c r="D168" s="39" t="n">
        <f aca="false">ROUND(X167*(1+N('My Debts'!$D$8)/12),2)</f>
        <v>0</v>
      </c>
      <c r="E168" s="39" t="n">
        <f aca="false">ROUND(Y167*(1+N('My Debts'!$D$9)/12),2)</f>
        <v>0</v>
      </c>
      <c r="F168" s="39" t="n">
        <f aca="false">ROUND(Z167*(1+N('My Debts'!$D$10)/12),2)</f>
        <v>0</v>
      </c>
      <c r="G168" s="39" t="n">
        <f aca="false">ROUND(AA167*(1+N('My Debts'!$D$11)/12),2)</f>
        <v>0</v>
      </c>
      <c r="H168" s="39" t="n">
        <f aca="false">ROUND(AB167*(1+N('My Debts'!$D$12)/12),2)</f>
        <v>0</v>
      </c>
      <c r="I168" s="39" t="n">
        <f aca="false">ROUND(AC167*(1+N('My Debts'!$D$13)/12),2)</f>
        <v>0</v>
      </c>
      <c r="J168" s="39" t="n">
        <f aca="false">ROUND(AD167*(1+N('My Debts'!$D$14)/12),2)</f>
        <v>0</v>
      </c>
      <c r="K168" s="39" t="n">
        <f aca="false">ROUND(AE167*(1+N('My Debts'!$D$15)/12),2)</f>
        <v>0</v>
      </c>
      <c r="L168" s="39" t="n">
        <f aca="false">MIN(N('My Debts'!$E$6),B168)</f>
        <v>0</v>
      </c>
      <c r="M168" s="39" t="n">
        <f aca="false">MIN(N('My Debts'!$E$7),C168)</f>
        <v>0</v>
      </c>
      <c r="N168" s="39" t="n">
        <f aca="false">MIN(N('My Debts'!$E$8),D168)</f>
        <v>0</v>
      </c>
      <c r="O168" s="39" t="n">
        <f aca="false">MIN(N('My Debts'!$E$9),E168)</f>
        <v>0</v>
      </c>
      <c r="P168" s="39" t="n">
        <f aca="false">MIN(N('My Debts'!$E$10),F168)</f>
        <v>0</v>
      </c>
      <c r="Q168" s="39" t="n">
        <f aca="false">MIN(N('My Debts'!$E$11),G168)</f>
        <v>0</v>
      </c>
      <c r="R168" s="39" t="n">
        <f aca="false">MIN(N('My Debts'!$E$12),H168)</f>
        <v>0</v>
      </c>
      <c r="S168" s="39" t="n">
        <f aca="false">MIN(N('My Debts'!$E$13),I168)</f>
        <v>0</v>
      </c>
      <c r="T168" s="39" t="n">
        <f aca="false">MIN(N('My Debts'!$E$14),J168)</f>
        <v>0</v>
      </c>
      <c r="U168" s="39" t="n">
        <f aca="false">MIN(N('My Debts'!$E$15),K168)</f>
        <v>0</v>
      </c>
      <c r="V168" s="39" t="n">
        <f aca="false">ROUND(B168-L168-MIN(B168-L168,MAX(0,$AF168-SUMPRODUCT(--($B$4:$K$4&lt;B$4),$B168:$K168-$L168:$U168))),2)</f>
        <v>0</v>
      </c>
      <c r="W168" s="39" t="n">
        <f aca="false">ROUND(C168-M168-MIN(C168-M168,MAX(0,$AF168-SUMPRODUCT(--($B$4:$K$4&lt;C$4),$B168:$K168-$L168:$U168))),2)</f>
        <v>0</v>
      </c>
      <c r="X168" s="39" t="n">
        <f aca="false">ROUND(D168-N168-MIN(D168-N168,MAX(0,$AF168-SUMPRODUCT(--($B$4:$K$4&lt;D$4),$B168:$K168-$L168:$U168))),2)</f>
        <v>0</v>
      </c>
      <c r="Y168" s="39" t="n">
        <f aca="false">ROUND(E168-O168-MIN(E168-O168,MAX(0,$AF168-SUMPRODUCT(--($B$4:$K$4&lt;E$4),$B168:$K168-$L168:$U168))),2)</f>
        <v>0</v>
      </c>
      <c r="Z168" s="39" t="n">
        <f aca="false">ROUND(F168-P168-MIN(F168-P168,MAX(0,$AF168-SUMPRODUCT(--($B$4:$K$4&lt;F$4),$B168:$K168-$L168:$U168))),2)</f>
        <v>0</v>
      </c>
      <c r="AA168" s="39" t="n">
        <f aca="false">ROUND(G168-Q168-MIN(G168-Q168,MAX(0,$AF168-SUMPRODUCT(--($B$4:$K$4&lt;G$4),$B168:$K168-$L168:$U168))),2)</f>
        <v>0</v>
      </c>
      <c r="AB168" s="39" t="n">
        <f aca="false">ROUND(H168-R168-MIN(H168-R168,MAX(0,$AF168-SUMPRODUCT(--($B$4:$K$4&lt;H$4),$B168:$K168-$L168:$U168))),2)</f>
        <v>0</v>
      </c>
      <c r="AC168" s="39" t="n">
        <f aca="false">ROUND(I168-S168-MIN(I168-S168,MAX(0,$AF168-SUMPRODUCT(--($B$4:$K$4&lt;I$4),$B168:$K168-$L168:$U168))),2)</f>
        <v>0</v>
      </c>
      <c r="AD168" s="39" t="n">
        <f aca="false">ROUND(J168-T168-MIN(J168-T168,MAX(0,$AF168-SUMPRODUCT(--($B$4:$K$4&lt;J$4),$B168:$K168-$L168:$U168))),2)</f>
        <v>0</v>
      </c>
      <c r="AE168" s="39" t="n">
        <f aca="false">ROUND(K168-U168-MIN(K168-U168,MAX(0,$AF168-SUMPRODUCT(--($B$4:$K$4&lt;K$4),$B168:$K168-$L168:$U168))),2)</f>
        <v>0</v>
      </c>
      <c r="AF168" s="39" t="n">
        <f aca="false">MAX(0,'Start Here'!$C$5-SUM($L168:$U168))</f>
        <v>1200</v>
      </c>
      <c r="AG168" s="39" t="n">
        <f aca="false">SUM(V168:AE168)</f>
        <v>0</v>
      </c>
      <c r="AH168" s="39" t="n">
        <f aca="false">SUM(B168:K168)-AG167</f>
        <v>0</v>
      </c>
    </row>
    <row r="169" customFormat="false" ht="15" hidden="false" customHeight="false" outlineLevel="0" collapsed="false">
      <c r="A169" s="40" t="n">
        <f aca="false">DATE(YEAR('Start Here'!$C$6),MONTH('Start Here'!$C$6)+162,1)</f>
        <v>51227</v>
      </c>
      <c r="B169" s="39" t="n">
        <f aca="false">ROUND(V168*(1+N('My Debts'!$D$6)/12),2)</f>
        <v>0</v>
      </c>
      <c r="C169" s="39" t="n">
        <f aca="false">ROUND(W168*(1+N('My Debts'!$D$7)/12),2)</f>
        <v>0</v>
      </c>
      <c r="D169" s="39" t="n">
        <f aca="false">ROUND(X168*(1+N('My Debts'!$D$8)/12),2)</f>
        <v>0</v>
      </c>
      <c r="E169" s="39" t="n">
        <f aca="false">ROUND(Y168*(1+N('My Debts'!$D$9)/12),2)</f>
        <v>0</v>
      </c>
      <c r="F169" s="39" t="n">
        <f aca="false">ROUND(Z168*(1+N('My Debts'!$D$10)/12),2)</f>
        <v>0</v>
      </c>
      <c r="G169" s="39" t="n">
        <f aca="false">ROUND(AA168*(1+N('My Debts'!$D$11)/12),2)</f>
        <v>0</v>
      </c>
      <c r="H169" s="39" t="n">
        <f aca="false">ROUND(AB168*(1+N('My Debts'!$D$12)/12),2)</f>
        <v>0</v>
      </c>
      <c r="I169" s="39" t="n">
        <f aca="false">ROUND(AC168*(1+N('My Debts'!$D$13)/12),2)</f>
        <v>0</v>
      </c>
      <c r="J169" s="39" t="n">
        <f aca="false">ROUND(AD168*(1+N('My Debts'!$D$14)/12),2)</f>
        <v>0</v>
      </c>
      <c r="K169" s="39" t="n">
        <f aca="false">ROUND(AE168*(1+N('My Debts'!$D$15)/12),2)</f>
        <v>0</v>
      </c>
      <c r="L169" s="39" t="n">
        <f aca="false">MIN(N('My Debts'!$E$6),B169)</f>
        <v>0</v>
      </c>
      <c r="M169" s="39" t="n">
        <f aca="false">MIN(N('My Debts'!$E$7),C169)</f>
        <v>0</v>
      </c>
      <c r="N169" s="39" t="n">
        <f aca="false">MIN(N('My Debts'!$E$8),D169)</f>
        <v>0</v>
      </c>
      <c r="O169" s="39" t="n">
        <f aca="false">MIN(N('My Debts'!$E$9),E169)</f>
        <v>0</v>
      </c>
      <c r="P169" s="39" t="n">
        <f aca="false">MIN(N('My Debts'!$E$10),F169)</f>
        <v>0</v>
      </c>
      <c r="Q169" s="39" t="n">
        <f aca="false">MIN(N('My Debts'!$E$11),G169)</f>
        <v>0</v>
      </c>
      <c r="R169" s="39" t="n">
        <f aca="false">MIN(N('My Debts'!$E$12),H169)</f>
        <v>0</v>
      </c>
      <c r="S169" s="39" t="n">
        <f aca="false">MIN(N('My Debts'!$E$13),I169)</f>
        <v>0</v>
      </c>
      <c r="T169" s="39" t="n">
        <f aca="false">MIN(N('My Debts'!$E$14),J169)</f>
        <v>0</v>
      </c>
      <c r="U169" s="39" t="n">
        <f aca="false">MIN(N('My Debts'!$E$15),K169)</f>
        <v>0</v>
      </c>
      <c r="V169" s="39" t="n">
        <f aca="false">ROUND(B169-L169-MIN(B169-L169,MAX(0,$AF169-SUMPRODUCT(--($B$4:$K$4&lt;B$4),$B169:$K169-$L169:$U169))),2)</f>
        <v>0</v>
      </c>
      <c r="W169" s="39" t="n">
        <f aca="false">ROUND(C169-M169-MIN(C169-M169,MAX(0,$AF169-SUMPRODUCT(--($B$4:$K$4&lt;C$4),$B169:$K169-$L169:$U169))),2)</f>
        <v>0</v>
      </c>
      <c r="X169" s="39" t="n">
        <f aca="false">ROUND(D169-N169-MIN(D169-N169,MAX(0,$AF169-SUMPRODUCT(--($B$4:$K$4&lt;D$4),$B169:$K169-$L169:$U169))),2)</f>
        <v>0</v>
      </c>
      <c r="Y169" s="39" t="n">
        <f aca="false">ROUND(E169-O169-MIN(E169-O169,MAX(0,$AF169-SUMPRODUCT(--($B$4:$K$4&lt;E$4),$B169:$K169-$L169:$U169))),2)</f>
        <v>0</v>
      </c>
      <c r="Z169" s="39" t="n">
        <f aca="false">ROUND(F169-P169-MIN(F169-P169,MAX(0,$AF169-SUMPRODUCT(--($B$4:$K$4&lt;F$4),$B169:$K169-$L169:$U169))),2)</f>
        <v>0</v>
      </c>
      <c r="AA169" s="39" t="n">
        <f aca="false">ROUND(G169-Q169-MIN(G169-Q169,MAX(0,$AF169-SUMPRODUCT(--($B$4:$K$4&lt;G$4),$B169:$K169-$L169:$U169))),2)</f>
        <v>0</v>
      </c>
      <c r="AB169" s="39" t="n">
        <f aca="false">ROUND(H169-R169-MIN(H169-R169,MAX(0,$AF169-SUMPRODUCT(--($B$4:$K$4&lt;H$4),$B169:$K169-$L169:$U169))),2)</f>
        <v>0</v>
      </c>
      <c r="AC169" s="39" t="n">
        <f aca="false">ROUND(I169-S169-MIN(I169-S169,MAX(0,$AF169-SUMPRODUCT(--($B$4:$K$4&lt;I$4),$B169:$K169-$L169:$U169))),2)</f>
        <v>0</v>
      </c>
      <c r="AD169" s="39" t="n">
        <f aca="false">ROUND(J169-T169-MIN(J169-T169,MAX(0,$AF169-SUMPRODUCT(--($B$4:$K$4&lt;J$4),$B169:$K169-$L169:$U169))),2)</f>
        <v>0</v>
      </c>
      <c r="AE169" s="39" t="n">
        <f aca="false">ROUND(K169-U169-MIN(K169-U169,MAX(0,$AF169-SUMPRODUCT(--($B$4:$K$4&lt;K$4),$B169:$K169-$L169:$U169))),2)</f>
        <v>0</v>
      </c>
      <c r="AF169" s="39" t="n">
        <f aca="false">MAX(0,'Start Here'!$C$5-SUM($L169:$U169))</f>
        <v>1200</v>
      </c>
      <c r="AG169" s="39" t="n">
        <f aca="false">SUM(V169:AE169)</f>
        <v>0</v>
      </c>
      <c r="AH169" s="39" t="n">
        <f aca="false">SUM(B169:K169)-AG168</f>
        <v>0</v>
      </c>
    </row>
    <row r="170" customFormat="false" ht="15" hidden="false" customHeight="false" outlineLevel="0" collapsed="false">
      <c r="A170" s="40" t="n">
        <f aca="false">DATE(YEAR('Start Here'!$C$6),MONTH('Start Here'!$C$6)+163,1)</f>
        <v>51257</v>
      </c>
      <c r="B170" s="39" t="n">
        <f aca="false">ROUND(V169*(1+N('My Debts'!$D$6)/12),2)</f>
        <v>0</v>
      </c>
      <c r="C170" s="39" t="n">
        <f aca="false">ROUND(W169*(1+N('My Debts'!$D$7)/12),2)</f>
        <v>0</v>
      </c>
      <c r="D170" s="39" t="n">
        <f aca="false">ROUND(X169*(1+N('My Debts'!$D$8)/12),2)</f>
        <v>0</v>
      </c>
      <c r="E170" s="39" t="n">
        <f aca="false">ROUND(Y169*(1+N('My Debts'!$D$9)/12),2)</f>
        <v>0</v>
      </c>
      <c r="F170" s="39" t="n">
        <f aca="false">ROUND(Z169*(1+N('My Debts'!$D$10)/12),2)</f>
        <v>0</v>
      </c>
      <c r="G170" s="39" t="n">
        <f aca="false">ROUND(AA169*(1+N('My Debts'!$D$11)/12),2)</f>
        <v>0</v>
      </c>
      <c r="H170" s="39" t="n">
        <f aca="false">ROUND(AB169*(1+N('My Debts'!$D$12)/12),2)</f>
        <v>0</v>
      </c>
      <c r="I170" s="39" t="n">
        <f aca="false">ROUND(AC169*(1+N('My Debts'!$D$13)/12),2)</f>
        <v>0</v>
      </c>
      <c r="J170" s="39" t="n">
        <f aca="false">ROUND(AD169*(1+N('My Debts'!$D$14)/12),2)</f>
        <v>0</v>
      </c>
      <c r="K170" s="39" t="n">
        <f aca="false">ROUND(AE169*(1+N('My Debts'!$D$15)/12),2)</f>
        <v>0</v>
      </c>
      <c r="L170" s="39" t="n">
        <f aca="false">MIN(N('My Debts'!$E$6),B170)</f>
        <v>0</v>
      </c>
      <c r="M170" s="39" t="n">
        <f aca="false">MIN(N('My Debts'!$E$7),C170)</f>
        <v>0</v>
      </c>
      <c r="N170" s="39" t="n">
        <f aca="false">MIN(N('My Debts'!$E$8),D170)</f>
        <v>0</v>
      </c>
      <c r="O170" s="39" t="n">
        <f aca="false">MIN(N('My Debts'!$E$9),E170)</f>
        <v>0</v>
      </c>
      <c r="P170" s="39" t="n">
        <f aca="false">MIN(N('My Debts'!$E$10),F170)</f>
        <v>0</v>
      </c>
      <c r="Q170" s="39" t="n">
        <f aca="false">MIN(N('My Debts'!$E$11),G170)</f>
        <v>0</v>
      </c>
      <c r="R170" s="39" t="n">
        <f aca="false">MIN(N('My Debts'!$E$12),H170)</f>
        <v>0</v>
      </c>
      <c r="S170" s="39" t="n">
        <f aca="false">MIN(N('My Debts'!$E$13),I170)</f>
        <v>0</v>
      </c>
      <c r="T170" s="39" t="n">
        <f aca="false">MIN(N('My Debts'!$E$14),J170)</f>
        <v>0</v>
      </c>
      <c r="U170" s="39" t="n">
        <f aca="false">MIN(N('My Debts'!$E$15),K170)</f>
        <v>0</v>
      </c>
      <c r="V170" s="39" t="n">
        <f aca="false">ROUND(B170-L170-MIN(B170-L170,MAX(0,$AF170-SUMPRODUCT(--($B$4:$K$4&lt;B$4),$B170:$K170-$L170:$U170))),2)</f>
        <v>0</v>
      </c>
      <c r="W170" s="39" t="n">
        <f aca="false">ROUND(C170-M170-MIN(C170-M170,MAX(0,$AF170-SUMPRODUCT(--($B$4:$K$4&lt;C$4),$B170:$K170-$L170:$U170))),2)</f>
        <v>0</v>
      </c>
      <c r="X170" s="39" t="n">
        <f aca="false">ROUND(D170-N170-MIN(D170-N170,MAX(0,$AF170-SUMPRODUCT(--($B$4:$K$4&lt;D$4),$B170:$K170-$L170:$U170))),2)</f>
        <v>0</v>
      </c>
      <c r="Y170" s="39" t="n">
        <f aca="false">ROUND(E170-O170-MIN(E170-O170,MAX(0,$AF170-SUMPRODUCT(--($B$4:$K$4&lt;E$4),$B170:$K170-$L170:$U170))),2)</f>
        <v>0</v>
      </c>
      <c r="Z170" s="39" t="n">
        <f aca="false">ROUND(F170-P170-MIN(F170-P170,MAX(0,$AF170-SUMPRODUCT(--($B$4:$K$4&lt;F$4),$B170:$K170-$L170:$U170))),2)</f>
        <v>0</v>
      </c>
      <c r="AA170" s="39" t="n">
        <f aca="false">ROUND(G170-Q170-MIN(G170-Q170,MAX(0,$AF170-SUMPRODUCT(--($B$4:$K$4&lt;G$4),$B170:$K170-$L170:$U170))),2)</f>
        <v>0</v>
      </c>
      <c r="AB170" s="39" t="n">
        <f aca="false">ROUND(H170-R170-MIN(H170-R170,MAX(0,$AF170-SUMPRODUCT(--($B$4:$K$4&lt;H$4),$B170:$K170-$L170:$U170))),2)</f>
        <v>0</v>
      </c>
      <c r="AC170" s="39" t="n">
        <f aca="false">ROUND(I170-S170-MIN(I170-S170,MAX(0,$AF170-SUMPRODUCT(--($B$4:$K$4&lt;I$4),$B170:$K170-$L170:$U170))),2)</f>
        <v>0</v>
      </c>
      <c r="AD170" s="39" t="n">
        <f aca="false">ROUND(J170-T170-MIN(J170-T170,MAX(0,$AF170-SUMPRODUCT(--($B$4:$K$4&lt;J$4),$B170:$K170-$L170:$U170))),2)</f>
        <v>0</v>
      </c>
      <c r="AE170" s="39" t="n">
        <f aca="false">ROUND(K170-U170-MIN(K170-U170,MAX(0,$AF170-SUMPRODUCT(--($B$4:$K$4&lt;K$4),$B170:$K170-$L170:$U170))),2)</f>
        <v>0</v>
      </c>
      <c r="AF170" s="39" t="n">
        <f aca="false">MAX(0,'Start Here'!$C$5-SUM($L170:$U170))</f>
        <v>1200</v>
      </c>
      <c r="AG170" s="39" t="n">
        <f aca="false">SUM(V170:AE170)</f>
        <v>0</v>
      </c>
      <c r="AH170" s="39" t="n">
        <f aca="false">SUM(B170:K170)-AG169</f>
        <v>0</v>
      </c>
    </row>
    <row r="171" customFormat="false" ht="15" hidden="false" customHeight="false" outlineLevel="0" collapsed="false">
      <c r="A171" s="40" t="n">
        <f aca="false">DATE(YEAR('Start Here'!$C$6),MONTH('Start Here'!$C$6)+164,1)</f>
        <v>51288</v>
      </c>
      <c r="B171" s="39" t="n">
        <f aca="false">ROUND(V170*(1+N('My Debts'!$D$6)/12),2)</f>
        <v>0</v>
      </c>
      <c r="C171" s="39" t="n">
        <f aca="false">ROUND(W170*(1+N('My Debts'!$D$7)/12),2)</f>
        <v>0</v>
      </c>
      <c r="D171" s="39" t="n">
        <f aca="false">ROUND(X170*(1+N('My Debts'!$D$8)/12),2)</f>
        <v>0</v>
      </c>
      <c r="E171" s="39" t="n">
        <f aca="false">ROUND(Y170*(1+N('My Debts'!$D$9)/12),2)</f>
        <v>0</v>
      </c>
      <c r="F171" s="39" t="n">
        <f aca="false">ROUND(Z170*(1+N('My Debts'!$D$10)/12),2)</f>
        <v>0</v>
      </c>
      <c r="G171" s="39" t="n">
        <f aca="false">ROUND(AA170*(1+N('My Debts'!$D$11)/12),2)</f>
        <v>0</v>
      </c>
      <c r="H171" s="39" t="n">
        <f aca="false">ROUND(AB170*(1+N('My Debts'!$D$12)/12),2)</f>
        <v>0</v>
      </c>
      <c r="I171" s="39" t="n">
        <f aca="false">ROUND(AC170*(1+N('My Debts'!$D$13)/12),2)</f>
        <v>0</v>
      </c>
      <c r="J171" s="39" t="n">
        <f aca="false">ROUND(AD170*(1+N('My Debts'!$D$14)/12),2)</f>
        <v>0</v>
      </c>
      <c r="K171" s="39" t="n">
        <f aca="false">ROUND(AE170*(1+N('My Debts'!$D$15)/12),2)</f>
        <v>0</v>
      </c>
      <c r="L171" s="39" t="n">
        <f aca="false">MIN(N('My Debts'!$E$6),B171)</f>
        <v>0</v>
      </c>
      <c r="M171" s="39" t="n">
        <f aca="false">MIN(N('My Debts'!$E$7),C171)</f>
        <v>0</v>
      </c>
      <c r="N171" s="39" t="n">
        <f aca="false">MIN(N('My Debts'!$E$8),D171)</f>
        <v>0</v>
      </c>
      <c r="O171" s="39" t="n">
        <f aca="false">MIN(N('My Debts'!$E$9),E171)</f>
        <v>0</v>
      </c>
      <c r="P171" s="39" t="n">
        <f aca="false">MIN(N('My Debts'!$E$10),F171)</f>
        <v>0</v>
      </c>
      <c r="Q171" s="39" t="n">
        <f aca="false">MIN(N('My Debts'!$E$11),G171)</f>
        <v>0</v>
      </c>
      <c r="R171" s="39" t="n">
        <f aca="false">MIN(N('My Debts'!$E$12),H171)</f>
        <v>0</v>
      </c>
      <c r="S171" s="39" t="n">
        <f aca="false">MIN(N('My Debts'!$E$13),I171)</f>
        <v>0</v>
      </c>
      <c r="T171" s="39" t="n">
        <f aca="false">MIN(N('My Debts'!$E$14),J171)</f>
        <v>0</v>
      </c>
      <c r="U171" s="39" t="n">
        <f aca="false">MIN(N('My Debts'!$E$15),K171)</f>
        <v>0</v>
      </c>
      <c r="V171" s="39" t="n">
        <f aca="false">ROUND(B171-L171-MIN(B171-L171,MAX(0,$AF171-SUMPRODUCT(--($B$4:$K$4&lt;B$4),$B171:$K171-$L171:$U171))),2)</f>
        <v>0</v>
      </c>
      <c r="W171" s="39" t="n">
        <f aca="false">ROUND(C171-M171-MIN(C171-M171,MAX(0,$AF171-SUMPRODUCT(--($B$4:$K$4&lt;C$4),$B171:$K171-$L171:$U171))),2)</f>
        <v>0</v>
      </c>
      <c r="X171" s="39" t="n">
        <f aca="false">ROUND(D171-N171-MIN(D171-N171,MAX(0,$AF171-SUMPRODUCT(--($B$4:$K$4&lt;D$4),$B171:$K171-$L171:$U171))),2)</f>
        <v>0</v>
      </c>
      <c r="Y171" s="39" t="n">
        <f aca="false">ROUND(E171-O171-MIN(E171-O171,MAX(0,$AF171-SUMPRODUCT(--($B$4:$K$4&lt;E$4),$B171:$K171-$L171:$U171))),2)</f>
        <v>0</v>
      </c>
      <c r="Z171" s="39" t="n">
        <f aca="false">ROUND(F171-P171-MIN(F171-P171,MAX(0,$AF171-SUMPRODUCT(--($B$4:$K$4&lt;F$4),$B171:$K171-$L171:$U171))),2)</f>
        <v>0</v>
      </c>
      <c r="AA171" s="39" t="n">
        <f aca="false">ROUND(G171-Q171-MIN(G171-Q171,MAX(0,$AF171-SUMPRODUCT(--($B$4:$K$4&lt;G$4),$B171:$K171-$L171:$U171))),2)</f>
        <v>0</v>
      </c>
      <c r="AB171" s="39" t="n">
        <f aca="false">ROUND(H171-R171-MIN(H171-R171,MAX(0,$AF171-SUMPRODUCT(--($B$4:$K$4&lt;H$4),$B171:$K171-$L171:$U171))),2)</f>
        <v>0</v>
      </c>
      <c r="AC171" s="39" t="n">
        <f aca="false">ROUND(I171-S171-MIN(I171-S171,MAX(0,$AF171-SUMPRODUCT(--($B$4:$K$4&lt;I$4),$B171:$K171-$L171:$U171))),2)</f>
        <v>0</v>
      </c>
      <c r="AD171" s="39" t="n">
        <f aca="false">ROUND(J171-T171-MIN(J171-T171,MAX(0,$AF171-SUMPRODUCT(--($B$4:$K$4&lt;J$4),$B171:$K171-$L171:$U171))),2)</f>
        <v>0</v>
      </c>
      <c r="AE171" s="39" t="n">
        <f aca="false">ROUND(K171-U171-MIN(K171-U171,MAX(0,$AF171-SUMPRODUCT(--($B$4:$K$4&lt;K$4),$B171:$K171-$L171:$U171))),2)</f>
        <v>0</v>
      </c>
      <c r="AF171" s="39" t="n">
        <f aca="false">MAX(0,'Start Here'!$C$5-SUM($L171:$U171))</f>
        <v>1200</v>
      </c>
      <c r="AG171" s="39" t="n">
        <f aca="false">SUM(V171:AE171)</f>
        <v>0</v>
      </c>
      <c r="AH171" s="39" t="n">
        <f aca="false">SUM(B171:K171)-AG170</f>
        <v>0</v>
      </c>
    </row>
    <row r="172" customFormat="false" ht="15" hidden="false" customHeight="false" outlineLevel="0" collapsed="false">
      <c r="A172" s="40" t="n">
        <f aca="false">DATE(YEAR('Start Here'!$C$6),MONTH('Start Here'!$C$6)+165,1)</f>
        <v>51318</v>
      </c>
      <c r="B172" s="39" t="n">
        <f aca="false">ROUND(V171*(1+N('My Debts'!$D$6)/12),2)</f>
        <v>0</v>
      </c>
      <c r="C172" s="39" t="n">
        <f aca="false">ROUND(W171*(1+N('My Debts'!$D$7)/12),2)</f>
        <v>0</v>
      </c>
      <c r="D172" s="39" t="n">
        <f aca="false">ROUND(X171*(1+N('My Debts'!$D$8)/12),2)</f>
        <v>0</v>
      </c>
      <c r="E172" s="39" t="n">
        <f aca="false">ROUND(Y171*(1+N('My Debts'!$D$9)/12),2)</f>
        <v>0</v>
      </c>
      <c r="F172" s="39" t="n">
        <f aca="false">ROUND(Z171*(1+N('My Debts'!$D$10)/12),2)</f>
        <v>0</v>
      </c>
      <c r="G172" s="39" t="n">
        <f aca="false">ROUND(AA171*(1+N('My Debts'!$D$11)/12),2)</f>
        <v>0</v>
      </c>
      <c r="H172" s="39" t="n">
        <f aca="false">ROUND(AB171*(1+N('My Debts'!$D$12)/12),2)</f>
        <v>0</v>
      </c>
      <c r="I172" s="39" t="n">
        <f aca="false">ROUND(AC171*(1+N('My Debts'!$D$13)/12),2)</f>
        <v>0</v>
      </c>
      <c r="J172" s="39" t="n">
        <f aca="false">ROUND(AD171*(1+N('My Debts'!$D$14)/12),2)</f>
        <v>0</v>
      </c>
      <c r="K172" s="39" t="n">
        <f aca="false">ROUND(AE171*(1+N('My Debts'!$D$15)/12),2)</f>
        <v>0</v>
      </c>
      <c r="L172" s="39" t="n">
        <f aca="false">MIN(N('My Debts'!$E$6),B172)</f>
        <v>0</v>
      </c>
      <c r="M172" s="39" t="n">
        <f aca="false">MIN(N('My Debts'!$E$7),C172)</f>
        <v>0</v>
      </c>
      <c r="N172" s="39" t="n">
        <f aca="false">MIN(N('My Debts'!$E$8),D172)</f>
        <v>0</v>
      </c>
      <c r="O172" s="39" t="n">
        <f aca="false">MIN(N('My Debts'!$E$9),E172)</f>
        <v>0</v>
      </c>
      <c r="P172" s="39" t="n">
        <f aca="false">MIN(N('My Debts'!$E$10),F172)</f>
        <v>0</v>
      </c>
      <c r="Q172" s="39" t="n">
        <f aca="false">MIN(N('My Debts'!$E$11),G172)</f>
        <v>0</v>
      </c>
      <c r="R172" s="39" t="n">
        <f aca="false">MIN(N('My Debts'!$E$12),H172)</f>
        <v>0</v>
      </c>
      <c r="S172" s="39" t="n">
        <f aca="false">MIN(N('My Debts'!$E$13),I172)</f>
        <v>0</v>
      </c>
      <c r="T172" s="39" t="n">
        <f aca="false">MIN(N('My Debts'!$E$14),J172)</f>
        <v>0</v>
      </c>
      <c r="U172" s="39" t="n">
        <f aca="false">MIN(N('My Debts'!$E$15),K172)</f>
        <v>0</v>
      </c>
      <c r="V172" s="39" t="n">
        <f aca="false">ROUND(B172-L172-MIN(B172-L172,MAX(0,$AF172-SUMPRODUCT(--($B$4:$K$4&lt;B$4),$B172:$K172-$L172:$U172))),2)</f>
        <v>0</v>
      </c>
      <c r="W172" s="39" t="n">
        <f aca="false">ROUND(C172-M172-MIN(C172-M172,MAX(0,$AF172-SUMPRODUCT(--($B$4:$K$4&lt;C$4),$B172:$K172-$L172:$U172))),2)</f>
        <v>0</v>
      </c>
      <c r="X172" s="39" t="n">
        <f aca="false">ROUND(D172-N172-MIN(D172-N172,MAX(0,$AF172-SUMPRODUCT(--($B$4:$K$4&lt;D$4),$B172:$K172-$L172:$U172))),2)</f>
        <v>0</v>
      </c>
      <c r="Y172" s="39" t="n">
        <f aca="false">ROUND(E172-O172-MIN(E172-O172,MAX(0,$AF172-SUMPRODUCT(--($B$4:$K$4&lt;E$4),$B172:$K172-$L172:$U172))),2)</f>
        <v>0</v>
      </c>
      <c r="Z172" s="39" t="n">
        <f aca="false">ROUND(F172-P172-MIN(F172-P172,MAX(0,$AF172-SUMPRODUCT(--($B$4:$K$4&lt;F$4),$B172:$K172-$L172:$U172))),2)</f>
        <v>0</v>
      </c>
      <c r="AA172" s="39" t="n">
        <f aca="false">ROUND(G172-Q172-MIN(G172-Q172,MAX(0,$AF172-SUMPRODUCT(--($B$4:$K$4&lt;G$4),$B172:$K172-$L172:$U172))),2)</f>
        <v>0</v>
      </c>
      <c r="AB172" s="39" t="n">
        <f aca="false">ROUND(H172-R172-MIN(H172-R172,MAX(0,$AF172-SUMPRODUCT(--($B$4:$K$4&lt;H$4),$B172:$K172-$L172:$U172))),2)</f>
        <v>0</v>
      </c>
      <c r="AC172" s="39" t="n">
        <f aca="false">ROUND(I172-S172-MIN(I172-S172,MAX(0,$AF172-SUMPRODUCT(--($B$4:$K$4&lt;I$4),$B172:$K172-$L172:$U172))),2)</f>
        <v>0</v>
      </c>
      <c r="AD172" s="39" t="n">
        <f aca="false">ROUND(J172-T172-MIN(J172-T172,MAX(0,$AF172-SUMPRODUCT(--($B$4:$K$4&lt;J$4),$B172:$K172-$L172:$U172))),2)</f>
        <v>0</v>
      </c>
      <c r="AE172" s="39" t="n">
        <f aca="false">ROUND(K172-U172-MIN(K172-U172,MAX(0,$AF172-SUMPRODUCT(--($B$4:$K$4&lt;K$4),$B172:$K172-$L172:$U172))),2)</f>
        <v>0</v>
      </c>
      <c r="AF172" s="39" t="n">
        <f aca="false">MAX(0,'Start Here'!$C$5-SUM($L172:$U172))</f>
        <v>1200</v>
      </c>
      <c r="AG172" s="39" t="n">
        <f aca="false">SUM(V172:AE172)</f>
        <v>0</v>
      </c>
      <c r="AH172" s="39" t="n">
        <f aca="false">SUM(B172:K172)-AG171</f>
        <v>0</v>
      </c>
    </row>
    <row r="173" customFormat="false" ht="15" hidden="false" customHeight="false" outlineLevel="0" collapsed="false">
      <c r="A173" s="40" t="n">
        <f aca="false">DATE(YEAR('Start Here'!$C$6),MONTH('Start Here'!$C$6)+166,1)</f>
        <v>51349</v>
      </c>
      <c r="B173" s="39" t="n">
        <f aca="false">ROUND(V172*(1+N('My Debts'!$D$6)/12),2)</f>
        <v>0</v>
      </c>
      <c r="C173" s="39" t="n">
        <f aca="false">ROUND(W172*(1+N('My Debts'!$D$7)/12),2)</f>
        <v>0</v>
      </c>
      <c r="D173" s="39" t="n">
        <f aca="false">ROUND(X172*(1+N('My Debts'!$D$8)/12),2)</f>
        <v>0</v>
      </c>
      <c r="E173" s="39" t="n">
        <f aca="false">ROUND(Y172*(1+N('My Debts'!$D$9)/12),2)</f>
        <v>0</v>
      </c>
      <c r="F173" s="39" t="n">
        <f aca="false">ROUND(Z172*(1+N('My Debts'!$D$10)/12),2)</f>
        <v>0</v>
      </c>
      <c r="G173" s="39" t="n">
        <f aca="false">ROUND(AA172*(1+N('My Debts'!$D$11)/12),2)</f>
        <v>0</v>
      </c>
      <c r="H173" s="39" t="n">
        <f aca="false">ROUND(AB172*(1+N('My Debts'!$D$12)/12),2)</f>
        <v>0</v>
      </c>
      <c r="I173" s="39" t="n">
        <f aca="false">ROUND(AC172*(1+N('My Debts'!$D$13)/12),2)</f>
        <v>0</v>
      </c>
      <c r="J173" s="39" t="n">
        <f aca="false">ROUND(AD172*(1+N('My Debts'!$D$14)/12),2)</f>
        <v>0</v>
      </c>
      <c r="K173" s="39" t="n">
        <f aca="false">ROUND(AE172*(1+N('My Debts'!$D$15)/12),2)</f>
        <v>0</v>
      </c>
      <c r="L173" s="39" t="n">
        <f aca="false">MIN(N('My Debts'!$E$6),B173)</f>
        <v>0</v>
      </c>
      <c r="M173" s="39" t="n">
        <f aca="false">MIN(N('My Debts'!$E$7),C173)</f>
        <v>0</v>
      </c>
      <c r="N173" s="39" t="n">
        <f aca="false">MIN(N('My Debts'!$E$8),D173)</f>
        <v>0</v>
      </c>
      <c r="O173" s="39" t="n">
        <f aca="false">MIN(N('My Debts'!$E$9),E173)</f>
        <v>0</v>
      </c>
      <c r="P173" s="39" t="n">
        <f aca="false">MIN(N('My Debts'!$E$10),F173)</f>
        <v>0</v>
      </c>
      <c r="Q173" s="39" t="n">
        <f aca="false">MIN(N('My Debts'!$E$11),G173)</f>
        <v>0</v>
      </c>
      <c r="R173" s="39" t="n">
        <f aca="false">MIN(N('My Debts'!$E$12),H173)</f>
        <v>0</v>
      </c>
      <c r="S173" s="39" t="n">
        <f aca="false">MIN(N('My Debts'!$E$13),I173)</f>
        <v>0</v>
      </c>
      <c r="T173" s="39" t="n">
        <f aca="false">MIN(N('My Debts'!$E$14),J173)</f>
        <v>0</v>
      </c>
      <c r="U173" s="39" t="n">
        <f aca="false">MIN(N('My Debts'!$E$15),K173)</f>
        <v>0</v>
      </c>
      <c r="V173" s="39" t="n">
        <f aca="false">ROUND(B173-L173-MIN(B173-L173,MAX(0,$AF173-SUMPRODUCT(--($B$4:$K$4&lt;B$4),$B173:$K173-$L173:$U173))),2)</f>
        <v>0</v>
      </c>
      <c r="W173" s="39" t="n">
        <f aca="false">ROUND(C173-M173-MIN(C173-M173,MAX(0,$AF173-SUMPRODUCT(--($B$4:$K$4&lt;C$4),$B173:$K173-$L173:$U173))),2)</f>
        <v>0</v>
      </c>
      <c r="X173" s="39" t="n">
        <f aca="false">ROUND(D173-N173-MIN(D173-N173,MAX(0,$AF173-SUMPRODUCT(--($B$4:$K$4&lt;D$4),$B173:$K173-$L173:$U173))),2)</f>
        <v>0</v>
      </c>
      <c r="Y173" s="39" t="n">
        <f aca="false">ROUND(E173-O173-MIN(E173-O173,MAX(0,$AF173-SUMPRODUCT(--($B$4:$K$4&lt;E$4),$B173:$K173-$L173:$U173))),2)</f>
        <v>0</v>
      </c>
      <c r="Z173" s="39" t="n">
        <f aca="false">ROUND(F173-P173-MIN(F173-P173,MAX(0,$AF173-SUMPRODUCT(--($B$4:$K$4&lt;F$4),$B173:$K173-$L173:$U173))),2)</f>
        <v>0</v>
      </c>
      <c r="AA173" s="39" t="n">
        <f aca="false">ROUND(G173-Q173-MIN(G173-Q173,MAX(0,$AF173-SUMPRODUCT(--($B$4:$K$4&lt;G$4),$B173:$K173-$L173:$U173))),2)</f>
        <v>0</v>
      </c>
      <c r="AB173" s="39" t="n">
        <f aca="false">ROUND(H173-R173-MIN(H173-R173,MAX(0,$AF173-SUMPRODUCT(--($B$4:$K$4&lt;H$4),$B173:$K173-$L173:$U173))),2)</f>
        <v>0</v>
      </c>
      <c r="AC173" s="39" t="n">
        <f aca="false">ROUND(I173-S173-MIN(I173-S173,MAX(0,$AF173-SUMPRODUCT(--($B$4:$K$4&lt;I$4),$B173:$K173-$L173:$U173))),2)</f>
        <v>0</v>
      </c>
      <c r="AD173" s="39" t="n">
        <f aca="false">ROUND(J173-T173-MIN(J173-T173,MAX(0,$AF173-SUMPRODUCT(--($B$4:$K$4&lt;J$4),$B173:$K173-$L173:$U173))),2)</f>
        <v>0</v>
      </c>
      <c r="AE173" s="39" t="n">
        <f aca="false">ROUND(K173-U173-MIN(K173-U173,MAX(0,$AF173-SUMPRODUCT(--($B$4:$K$4&lt;K$4),$B173:$K173-$L173:$U173))),2)</f>
        <v>0</v>
      </c>
      <c r="AF173" s="39" t="n">
        <f aca="false">MAX(0,'Start Here'!$C$5-SUM($L173:$U173))</f>
        <v>1200</v>
      </c>
      <c r="AG173" s="39" t="n">
        <f aca="false">SUM(V173:AE173)</f>
        <v>0</v>
      </c>
      <c r="AH173" s="39" t="n">
        <f aca="false">SUM(B173:K173)-AG172</f>
        <v>0</v>
      </c>
    </row>
    <row r="174" customFormat="false" ht="15" hidden="false" customHeight="false" outlineLevel="0" collapsed="false">
      <c r="A174" s="40" t="n">
        <f aca="false">DATE(YEAR('Start Here'!$C$6),MONTH('Start Here'!$C$6)+167,1)</f>
        <v>51380</v>
      </c>
      <c r="B174" s="39" t="n">
        <f aca="false">ROUND(V173*(1+N('My Debts'!$D$6)/12),2)</f>
        <v>0</v>
      </c>
      <c r="C174" s="39" t="n">
        <f aca="false">ROUND(W173*(1+N('My Debts'!$D$7)/12),2)</f>
        <v>0</v>
      </c>
      <c r="D174" s="39" t="n">
        <f aca="false">ROUND(X173*(1+N('My Debts'!$D$8)/12),2)</f>
        <v>0</v>
      </c>
      <c r="E174" s="39" t="n">
        <f aca="false">ROUND(Y173*(1+N('My Debts'!$D$9)/12),2)</f>
        <v>0</v>
      </c>
      <c r="F174" s="39" t="n">
        <f aca="false">ROUND(Z173*(1+N('My Debts'!$D$10)/12),2)</f>
        <v>0</v>
      </c>
      <c r="G174" s="39" t="n">
        <f aca="false">ROUND(AA173*(1+N('My Debts'!$D$11)/12),2)</f>
        <v>0</v>
      </c>
      <c r="H174" s="39" t="n">
        <f aca="false">ROUND(AB173*(1+N('My Debts'!$D$12)/12),2)</f>
        <v>0</v>
      </c>
      <c r="I174" s="39" t="n">
        <f aca="false">ROUND(AC173*(1+N('My Debts'!$D$13)/12),2)</f>
        <v>0</v>
      </c>
      <c r="J174" s="39" t="n">
        <f aca="false">ROUND(AD173*(1+N('My Debts'!$D$14)/12),2)</f>
        <v>0</v>
      </c>
      <c r="K174" s="39" t="n">
        <f aca="false">ROUND(AE173*(1+N('My Debts'!$D$15)/12),2)</f>
        <v>0</v>
      </c>
      <c r="L174" s="39" t="n">
        <f aca="false">MIN(N('My Debts'!$E$6),B174)</f>
        <v>0</v>
      </c>
      <c r="M174" s="39" t="n">
        <f aca="false">MIN(N('My Debts'!$E$7),C174)</f>
        <v>0</v>
      </c>
      <c r="N174" s="39" t="n">
        <f aca="false">MIN(N('My Debts'!$E$8),D174)</f>
        <v>0</v>
      </c>
      <c r="O174" s="39" t="n">
        <f aca="false">MIN(N('My Debts'!$E$9),E174)</f>
        <v>0</v>
      </c>
      <c r="P174" s="39" t="n">
        <f aca="false">MIN(N('My Debts'!$E$10),F174)</f>
        <v>0</v>
      </c>
      <c r="Q174" s="39" t="n">
        <f aca="false">MIN(N('My Debts'!$E$11),G174)</f>
        <v>0</v>
      </c>
      <c r="R174" s="39" t="n">
        <f aca="false">MIN(N('My Debts'!$E$12),H174)</f>
        <v>0</v>
      </c>
      <c r="S174" s="39" t="n">
        <f aca="false">MIN(N('My Debts'!$E$13),I174)</f>
        <v>0</v>
      </c>
      <c r="T174" s="39" t="n">
        <f aca="false">MIN(N('My Debts'!$E$14),J174)</f>
        <v>0</v>
      </c>
      <c r="U174" s="39" t="n">
        <f aca="false">MIN(N('My Debts'!$E$15),K174)</f>
        <v>0</v>
      </c>
      <c r="V174" s="39" t="n">
        <f aca="false">ROUND(B174-L174-MIN(B174-L174,MAX(0,$AF174-SUMPRODUCT(--($B$4:$K$4&lt;B$4),$B174:$K174-$L174:$U174))),2)</f>
        <v>0</v>
      </c>
      <c r="W174" s="39" t="n">
        <f aca="false">ROUND(C174-M174-MIN(C174-M174,MAX(0,$AF174-SUMPRODUCT(--($B$4:$K$4&lt;C$4),$B174:$K174-$L174:$U174))),2)</f>
        <v>0</v>
      </c>
      <c r="X174" s="39" t="n">
        <f aca="false">ROUND(D174-N174-MIN(D174-N174,MAX(0,$AF174-SUMPRODUCT(--($B$4:$K$4&lt;D$4),$B174:$K174-$L174:$U174))),2)</f>
        <v>0</v>
      </c>
      <c r="Y174" s="39" t="n">
        <f aca="false">ROUND(E174-O174-MIN(E174-O174,MAX(0,$AF174-SUMPRODUCT(--($B$4:$K$4&lt;E$4),$B174:$K174-$L174:$U174))),2)</f>
        <v>0</v>
      </c>
      <c r="Z174" s="39" t="n">
        <f aca="false">ROUND(F174-P174-MIN(F174-P174,MAX(0,$AF174-SUMPRODUCT(--($B$4:$K$4&lt;F$4),$B174:$K174-$L174:$U174))),2)</f>
        <v>0</v>
      </c>
      <c r="AA174" s="39" t="n">
        <f aca="false">ROUND(G174-Q174-MIN(G174-Q174,MAX(0,$AF174-SUMPRODUCT(--($B$4:$K$4&lt;G$4),$B174:$K174-$L174:$U174))),2)</f>
        <v>0</v>
      </c>
      <c r="AB174" s="39" t="n">
        <f aca="false">ROUND(H174-R174-MIN(H174-R174,MAX(0,$AF174-SUMPRODUCT(--($B$4:$K$4&lt;H$4),$B174:$K174-$L174:$U174))),2)</f>
        <v>0</v>
      </c>
      <c r="AC174" s="39" t="n">
        <f aca="false">ROUND(I174-S174-MIN(I174-S174,MAX(0,$AF174-SUMPRODUCT(--($B$4:$K$4&lt;I$4),$B174:$K174-$L174:$U174))),2)</f>
        <v>0</v>
      </c>
      <c r="AD174" s="39" t="n">
        <f aca="false">ROUND(J174-T174-MIN(J174-T174,MAX(0,$AF174-SUMPRODUCT(--($B$4:$K$4&lt;J$4),$B174:$K174-$L174:$U174))),2)</f>
        <v>0</v>
      </c>
      <c r="AE174" s="39" t="n">
        <f aca="false">ROUND(K174-U174-MIN(K174-U174,MAX(0,$AF174-SUMPRODUCT(--($B$4:$K$4&lt;K$4),$B174:$K174-$L174:$U174))),2)</f>
        <v>0</v>
      </c>
      <c r="AF174" s="39" t="n">
        <f aca="false">MAX(0,'Start Here'!$C$5-SUM($L174:$U174))</f>
        <v>1200</v>
      </c>
      <c r="AG174" s="39" t="n">
        <f aca="false">SUM(V174:AE174)</f>
        <v>0</v>
      </c>
      <c r="AH174" s="39" t="n">
        <f aca="false">SUM(B174:K174)-AG173</f>
        <v>0</v>
      </c>
    </row>
    <row r="175" customFormat="false" ht="15" hidden="false" customHeight="false" outlineLevel="0" collapsed="false">
      <c r="A175" s="40" t="n">
        <f aca="false">DATE(YEAR('Start Here'!$C$6),MONTH('Start Here'!$C$6)+168,1)</f>
        <v>51410</v>
      </c>
      <c r="B175" s="39" t="n">
        <f aca="false">ROUND(V174*(1+N('My Debts'!$D$6)/12),2)</f>
        <v>0</v>
      </c>
      <c r="C175" s="39" t="n">
        <f aca="false">ROUND(W174*(1+N('My Debts'!$D$7)/12),2)</f>
        <v>0</v>
      </c>
      <c r="D175" s="39" t="n">
        <f aca="false">ROUND(X174*(1+N('My Debts'!$D$8)/12),2)</f>
        <v>0</v>
      </c>
      <c r="E175" s="39" t="n">
        <f aca="false">ROUND(Y174*(1+N('My Debts'!$D$9)/12),2)</f>
        <v>0</v>
      </c>
      <c r="F175" s="39" t="n">
        <f aca="false">ROUND(Z174*(1+N('My Debts'!$D$10)/12),2)</f>
        <v>0</v>
      </c>
      <c r="G175" s="39" t="n">
        <f aca="false">ROUND(AA174*(1+N('My Debts'!$D$11)/12),2)</f>
        <v>0</v>
      </c>
      <c r="H175" s="39" t="n">
        <f aca="false">ROUND(AB174*(1+N('My Debts'!$D$12)/12),2)</f>
        <v>0</v>
      </c>
      <c r="I175" s="39" t="n">
        <f aca="false">ROUND(AC174*(1+N('My Debts'!$D$13)/12),2)</f>
        <v>0</v>
      </c>
      <c r="J175" s="39" t="n">
        <f aca="false">ROUND(AD174*(1+N('My Debts'!$D$14)/12),2)</f>
        <v>0</v>
      </c>
      <c r="K175" s="39" t="n">
        <f aca="false">ROUND(AE174*(1+N('My Debts'!$D$15)/12),2)</f>
        <v>0</v>
      </c>
      <c r="L175" s="39" t="n">
        <f aca="false">MIN(N('My Debts'!$E$6),B175)</f>
        <v>0</v>
      </c>
      <c r="M175" s="39" t="n">
        <f aca="false">MIN(N('My Debts'!$E$7),C175)</f>
        <v>0</v>
      </c>
      <c r="N175" s="39" t="n">
        <f aca="false">MIN(N('My Debts'!$E$8),D175)</f>
        <v>0</v>
      </c>
      <c r="O175" s="39" t="n">
        <f aca="false">MIN(N('My Debts'!$E$9),E175)</f>
        <v>0</v>
      </c>
      <c r="P175" s="39" t="n">
        <f aca="false">MIN(N('My Debts'!$E$10),F175)</f>
        <v>0</v>
      </c>
      <c r="Q175" s="39" t="n">
        <f aca="false">MIN(N('My Debts'!$E$11),G175)</f>
        <v>0</v>
      </c>
      <c r="R175" s="39" t="n">
        <f aca="false">MIN(N('My Debts'!$E$12),H175)</f>
        <v>0</v>
      </c>
      <c r="S175" s="39" t="n">
        <f aca="false">MIN(N('My Debts'!$E$13),I175)</f>
        <v>0</v>
      </c>
      <c r="T175" s="39" t="n">
        <f aca="false">MIN(N('My Debts'!$E$14),J175)</f>
        <v>0</v>
      </c>
      <c r="U175" s="39" t="n">
        <f aca="false">MIN(N('My Debts'!$E$15),K175)</f>
        <v>0</v>
      </c>
      <c r="V175" s="39" t="n">
        <f aca="false">ROUND(B175-L175-MIN(B175-L175,MAX(0,$AF175-SUMPRODUCT(--($B$4:$K$4&lt;B$4),$B175:$K175-$L175:$U175))),2)</f>
        <v>0</v>
      </c>
      <c r="W175" s="39" t="n">
        <f aca="false">ROUND(C175-M175-MIN(C175-M175,MAX(0,$AF175-SUMPRODUCT(--($B$4:$K$4&lt;C$4),$B175:$K175-$L175:$U175))),2)</f>
        <v>0</v>
      </c>
      <c r="X175" s="39" t="n">
        <f aca="false">ROUND(D175-N175-MIN(D175-N175,MAX(0,$AF175-SUMPRODUCT(--($B$4:$K$4&lt;D$4),$B175:$K175-$L175:$U175))),2)</f>
        <v>0</v>
      </c>
      <c r="Y175" s="39" t="n">
        <f aca="false">ROUND(E175-O175-MIN(E175-O175,MAX(0,$AF175-SUMPRODUCT(--($B$4:$K$4&lt;E$4),$B175:$K175-$L175:$U175))),2)</f>
        <v>0</v>
      </c>
      <c r="Z175" s="39" t="n">
        <f aca="false">ROUND(F175-P175-MIN(F175-P175,MAX(0,$AF175-SUMPRODUCT(--($B$4:$K$4&lt;F$4),$B175:$K175-$L175:$U175))),2)</f>
        <v>0</v>
      </c>
      <c r="AA175" s="39" t="n">
        <f aca="false">ROUND(G175-Q175-MIN(G175-Q175,MAX(0,$AF175-SUMPRODUCT(--($B$4:$K$4&lt;G$4),$B175:$K175-$L175:$U175))),2)</f>
        <v>0</v>
      </c>
      <c r="AB175" s="39" t="n">
        <f aca="false">ROUND(H175-R175-MIN(H175-R175,MAX(0,$AF175-SUMPRODUCT(--($B$4:$K$4&lt;H$4),$B175:$K175-$L175:$U175))),2)</f>
        <v>0</v>
      </c>
      <c r="AC175" s="39" t="n">
        <f aca="false">ROUND(I175-S175-MIN(I175-S175,MAX(0,$AF175-SUMPRODUCT(--($B$4:$K$4&lt;I$4),$B175:$K175-$L175:$U175))),2)</f>
        <v>0</v>
      </c>
      <c r="AD175" s="39" t="n">
        <f aca="false">ROUND(J175-T175-MIN(J175-T175,MAX(0,$AF175-SUMPRODUCT(--($B$4:$K$4&lt;J$4),$B175:$K175-$L175:$U175))),2)</f>
        <v>0</v>
      </c>
      <c r="AE175" s="39" t="n">
        <f aca="false">ROUND(K175-U175-MIN(K175-U175,MAX(0,$AF175-SUMPRODUCT(--($B$4:$K$4&lt;K$4),$B175:$K175-$L175:$U175))),2)</f>
        <v>0</v>
      </c>
      <c r="AF175" s="39" t="n">
        <f aca="false">MAX(0,'Start Here'!$C$5-SUM($L175:$U175))</f>
        <v>1200</v>
      </c>
      <c r="AG175" s="39" t="n">
        <f aca="false">SUM(V175:AE175)</f>
        <v>0</v>
      </c>
      <c r="AH175" s="39" t="n">
        <f aca="false">SUM(B175:K175)-AG174</f>
        <v>0</v>
      </c>
    </row>
    <row r="176" customFormat="false" ht="15" hidden="false" customHeight="false" outlineLevel="0" collapsed="false">
      <c r="A176" s="40" t="n">
        <f aca="false">DATE(YEAR('Start Here'!$C$6),MONTH('Start Here'!$C$6)+169,1)</f>
        <v>51441</v>
      </c>
      <c r="B176" s="39" t="n">
        <f aca="false">ROUND(V175*(1+N('My Debts'!$D$6)/12),2)</f>
        <v>0</v>
      </c>
      <c r="C176" s="39" t="n">
        <f aca="false">ROUND(W175*(1+N('My Debts'!$D$7)/12),2)</f>
        <v>0</v>
      </c>
      <c r="D176" s="39" t="n">
        <f aca="false">ROUND(X175*(1+N('My Debts'!$D$8)/12),2)</f>
        <v>0</v>
      </c>
      <c r="E176" s="39" t="n">
        <f aca="false">ROUND(Y175*(1+N('My Debts'!$D$9)/12),2)</f>
        <v>0</v>
      </c>
      <c r="F176" s="39" t="n">
        <f aca="false">ROUND(Z175*(1+N('My Debts'!$D$10)/12),2)</f>
        <v>0</v>
      </c>
      <c r="G176" s="39" t="n">
        <f aca="false">ROUND(AA175*(1+N('My Debts'!$D$11)/12),2)</f>
        <v>0</v>
      </c>
      <c r="H176" s="39" t="n">
        <f aca="false">ROUND(AB175*(1+N('My Debts'!$D$12)/12),2)</f>
        <v>0</v>
      </c>
      <c r="I176" s="39" t="n">
        <f aca="false">ROUND(AC175*(1+N('My Debts'!$D$13)/12),2)</f>
        <v>0</v>
      </c>
      <c r="J176" s="39" t="n">
        <f aca="false">ROUND(AD175*(1+N('My Debts'!$D$14)/12),2)</f>
        <v>0</v>
      </c>
      <c r="K176" s="39" t="n">
        <f aca="false">ROUND(AE175*(1+N('My Debts'!$D$15)/12),2)</f>
        <v>0</v>
      </c>
      <c r="L176" s="39" t="n">
        <f aca="false">MIN(N('My Debts'!$E$6),B176)</f>
        <v>0</v>
      </c>
      <c r="M176" s="39" t="n">
        <f aca="false">MIN(N('My Debts'!$E$7),C176)</f>
        <v>0</v>
      </c>
      <c r="N176" s="39" t="n">
        <f aca="false">MIN(N('My Debts'!$E$8),D176)</f>
        <v>0</v>
      </c>
      <c r="O176" s="39" t="n">
        <f aca="false">MIN(N('My Debts'!$E$9),E176)</f>
        <v>0</v>
      </c>
      <c r="P176" s="39" t="n">
        <f aca="false">MIN(N('My Debts'!$E$10),F176)</f>
        <v>0</v>
      </c>
      <c r="Q176" s="39" t="n">
        <f aca="false">MIN(N('My Debts'!$E$11),G176)</f>
        <v>0</v>
      </c>
      <c r="R176" s="39" t="n">
        <f aca="false">MIN(N('My Debts'!$E$12),H176)</f>
        <v>0</v>
      </c>
      <c r="S176" s="39" t="n">
        <f aca="false">MIN(N('My Debts'!$E$13),I176)</f>
        <v>0</v>
      </c>
      <c r="T176" s="39" t="n">
        <f aca="false">MIN(N('My Debts'!$E$14),J176)</f>
        <v>0</v>
      </c>
      <c r="U176" s="39" t="n">
        <f aca="false">MIN(N('My Debts'!$E$15),K176)</f>
        <v>0</v>
      </c>
      <c r="V176" s="39" t="n">
        <f aca="false">ROUND(B176-L176-MIN(B176-L176,MAX(0,$AF176-SUMPRODUCT(--($B$4:$K$4&lt;B$4),$B176:$K176-$L176:$U176))),2)</f>
        <v>0</v>
      </c>
      <c r="W176" s="39" t="n">
        <f aca="false">ROUND(C176-M176-MIN(C176-M176,MAX(0,$AF176-SUMPRODUCT(--($B$4:$K$4&lt;C$4),$B176:$K176-$L176:$U176))),2)</f>
        <v>0</v>
      </c>
      <c r="X176" s="39" t="n">
        <f aca="false">ROUND(D176-N176-MIN(D176-N176,MAX(0,$AF176-SUMPRODUCT(--($B$4:$K$4&lt;D$4),$B176:$K176-$L176:$U176))),2)</f>
        <v>0</v>
      </c>
      <c r="Y176" s="39" t="n">
        <f aca="false">ROUND(E176-O176-MIN(E176-O176,MAX(0,$AF176-SUMPRODUCT(--($B$4:$K$4&lt;E$4),$B176:$K176-$L176:$U176))),2)</f>
        <v>0</v>
      </c>
      <c r="Z176" s="39" t="n">
        <f aca="false">ROUND(F176-P176-MIN(F176-P176,MAX(0,$AF176-SUMPRODUCT(--($B$4:$K$4&lt;F$4),$B176:$K176-$L176:$U176))),2)</f>
        <v>0</v>
      </c>
      <c r="AA176" s="39" t="n">
        <f aca="false">ROUND(G176-Q176-MIN(G176-Q176,MAX(0,$AF176-SUMPRODUCT(--($B$4:$K$4&lt;G$4),$B176:$K176-$L176:$U176))),2)</f>
        <v>0</v>
      </c>
      <c r="AB176" s="39" t="n">
        <f aca="false">ROUND(H176-R176-MIN(H176-R176,MAX(0,$AF176-SUMPRODUCT(--($B$4:$K$4&lt;H$4),$B176:$K176-$L176:$U176))),2)</f>
        <v>0</v>
      </c>
      <c r="AC176" s="39" t="n">
        <f aca="false">ROUND(I176-S176-MIN(I176-S176,MAX(0,$AF176-SUMPRODUCT(--($B$4:$K$4&lt;I$4),$B176:$K176-$L176:$U176))),2)</f>
        <v>0</v>
      </c>
      <c r="AD176" s="39" t="n">
        <f aca="false">ROUND(J176-T176-MIN(J176-T176,MAX(0,$AF176-SUMPRODUCT(--($B$4:$K$4&lt;J$4),$B176:$K176-$L176:$U176))),2)</f>
        <v>0</v>
      </c>
      <c r="AE176" s="39" t="n">
        <f aca="false">ROUND(K176-U176-MIN(K176-U176,MAX(0,$AF176-SUMPRODUCT(--($B$4:$K$4&lt;K$4),$B176:$K176-$L176:$U176))),2)</f>
        <v>0</v>
      </c>
      <c r="AF176" s="39" t="n">
        <f aca="false">MAX(0,'Start Here'!$C$5-SUM($L176:$U176))</f>
        <v>1200</v>
      </c>
      <c r="AG176" s="39" t="n">
        <f aca="false">SUM(V176:AE176)</f>
        <v>0</v>
      </c>
      <c r="AH176" s="39" t="n">
        <f aca="false">SUM(B176:K176)-AG175</f>
        <v>0</v>
      </c>
    </row>
    <row r="177" customFormat="false" ht="15" hidden="false" customHeight="false" outlineLevel="0" collapsed="false">
      <c r="A177" s="40" t="n">
        <f aca="false">DATE(YEAR('Start Here'!$C$6),MONTH('Start Here'!$C$6)+170,1)</f>
        <v>51471</v>
      </c>
      <c r="B177" s="39" t="n">
        <f aca="false">ROUND(V176*(1+N('My Debts'!$D$6)/12),2)</f>
        <v>0</v>
      </c>
      <c r="C177" s="39" t="n">
        <f aca="false">ROUND(W176*(1+N('My Debts'!$D$7)/12),2)</f>
        <v>0</v>
      </c>
      <c r="D177" s="39" t="n">
        <f aca="false">ROUND(X176*(1+N('My Debts'!$D$8)/12),2)</f>
        <v>0</v>
      </c>
      <c r="E177" s="39" t="n">
        <f aca="false">ROUND(Y176*(1+N('My Debts'!$D$9)/12),2)</f>
        <v>0</v>
      </c>
      <c r="F177" s="39" t="n">
        <f aca="false">ROUND(Z176*(1+N('My Debts'!$D$10)/12),2)</f>
        <v>0</v>
      </c>
      <c r="G177" s="39" t="n">
        <f aca="false">ROUND(AA176*(1+N('My Debts'!$D$11)/12),2)</f>
        <v>0</v>
      </c>
      <c r="H177" s="39" t="n">
        <f aca="false">ROUND(AB176*(1+N('My Debts'!$D$12)/12),2)</f>
        <v>0</v>
      </c>
      <c r="I177" s="39" t="n">
        <f aca="false">ROUND(AC176*(1+N('My Debts'!$D$13)/12),2)</f>
        <v>0</v>
      </c>
      <c r="J177" s="39" t="n">
        <f aca="false">ROUND(AD176*(1+N('My Debts'!$D$14)/12),2)</f>
        <v>0</v>
      </c>
      <c r="K177" s="39" t="n">
        <f aca="false">ROUND(AE176*(1+N('My Debts'!$D$15)/12),2)</f>
        <v>0</v>
      </c>
      <c r="L177" s="39" t="n">
        <f aca="false">MIN(N('My Debts'!$E$6),B177)</f>
        <v>0</v>
      </c>
      <c r="M177" s="39" t="n">
        <f aca="false">MIN(N('My Debts'!$E$7),C177)</f>
        <v>0</v>
      </c>
      <c r="N177" s="39" t="n">
        <f aca="false">MIN(N('My Debts'!$E$8),D177)</f>
        <v>0</v>
      </c>
      <c r="O177" s="39" t="n">
        <f aca="false">MIN(N('My Debts'!$E$9),E177)</f>
        <v>0</v>
      </c>
      <c r="P177" s="39" t="n">
        <f aca="false">MIN(N('My Debts'!$E$10),F177)</f>
        <v>0</v>
      </c>
      <c r="Q177" s="39" t="n">
        <f aca="false">MIN(N('My Debts'!$E$11),G177)</f>
        <v>0</v>
      </c>
      <c r="R177" s="39" t="n">
        <f aca="false">MIN(N('My Debts'!$E$12),H177)</f>
        <v>0</v>
      </c>
      <c r="S177" s="39" t="n">
        <f aca="false">MIN(N('My Debts'!$E$13),I177)</f>
        <v>0</v>
      </c>
      <c r="T177" s="39" t="n">
        <f aca="false">MIN(N('My Debts'!$E$14),J177)</f>
        <v>0</v>
      </c>
      <c r="U177" s="39" t="n">
        <f aca="false">MIN(N('My Debts'!$E$15),K177)</f>
        <v>0</v>
      </c>
      <c r="V177" s="39" t="n">
        <f aca="false">ROUND(B177-L177-MIN(B177-L177,MAX(0,$AF177-SUMPRODUCT(--($B$4:$K$4&lt;B$4),$B177:$K177-$L177:$U177))),2)</f>
        <v>0</v>
      </c>
      <c r="W177" s="39" t="n">
        <f aca="false">ROUND(C177-M177-MIN(C177-M177,MAX(0,$AF177-SUMPRODUCT(--($B$4:$K$4&lt;C$4),$B177:$K177-$L177:$U177))),2)</f>
        <v>0</v>
      </c>
      <c r="X177" s="39" t="n">
        <f aca="false">ROUND(D177-N177-MIN(D177-N177,MAX(0,$AF177-SUMPRODUCT(--($B$4:$K$4&lt;D$4),$B177:$K177-$L177:$U177))),2)</f>
        <v>0</v>
      </c>
      <c r="Y177" s="39" t="n">
        <f aca="false">ROUND(E177-O177-MIN(E177-O177,MAX(0,$AF177-SUMPRODUCT(--($B$4:$K$4&lt;E$4),$B177:$K177-$L177:$U177))),2)</f>
        <v>0</v>
      </c>
      <c r="Z177" s="39" t="n">
        <f aca="false">ROUND(F177-P177-MIN(F177-P177,MAX(0,$AF177-SUMPRODUCT(--($B$4:$K$4&lt;F$4),$B177:$K177-$L177:$U177))),2)</f>
        <v>0</v>
      </c>
      <c r="AA177" s="39" t="n">
        <f aca="false">ROUND(G177-Q177-MIN(G177-Q177,MAX(0,$AF177-SUMPRODUCT(--($B$4:$K$4&lt;G$4),$B177:$K177-$L177:$U177))),2)</f>
        <v>0</v>
      </c>
      <c r="AB177" s="39" t="n">
        <f aca="false">ROUND(H177-R177-MIN(H177-R177,MAX(0,$AF177-SUMPRODUCT(--($B$4:$K$4&lt;H$4),$B177:$K177-$L177:$U177))),2)</f>
        <v>0</v>
      </c>
      <c r="AC177" s="39" t="n">
        <f aca="false">ROUND(I177-S177-MIN(I177-S177,MAX(0,$AF177-SUMPRODUCT(--($B$4:$K$4&lt;I$4),$B177:$K177-$L177:$U177))),2)</f>
        <v>0</v>
      </c>
      <c r="AD177" s="39" t="n">
        <f aca="false">ROUND(J177-T177-MIN(J177-T177,MAX(0,$AF177-SUMPRODUCT(--($B$4:$K$4&lt;J$4),$B177:$K177-$L177:$U177))),2)</f>
        <v>0</v>
      </c>
      <c r="AE177" s="39" t="n">
        <f aca="false">ROUND(K177-U177-MIN(K177-U177,MAX(0,$AF177-SUMPRODUCT(--($B$4:$K$4&lt;K$4),$B177:$K177-$L177:$U177))),2)</f>
        <v>0</v>
      </c>
      <c r="AF177" s="39" t="n">
        <f aca="false">MAX(0,'Start Here'!$C$5-SUM($L177:$U177))</f>
        <v>1200</v>
      </c>
      <c r="AG177" s="39" t="n">
        <f aca="false">SUM(V177:AE177)</f>
        <v>0</v>
      </c>
      <c r="AH177" s="39" t="n">
        <f aca="false">SUM(B177:K177)-AG176</f>
        <v>0</v>
      </c>
    </row>
    <row r="178" customFormat="false" ht="15" hidden="false" customHeight="false" outlineLevel="0" collapsed="false">
      <c r="A178" s="40" t="n">
        <f aca="false">DATE(YEAR('Start Here'!$C$6),MONTH('Start Here'!$C$6)+171,1)</f>
        <v>51502</v>
      </c>
      <c r="B178" s="39" t="n">
        <f aca="false">ROUND(V177*(1+N('My Debts'!$D$6)/12),2)</f>
        <v>0</v>
      </c>
      <c r="C178" s="39" t="n">
        <f aca="false">ROUND(W177*(1+N('My Debts'!$D$7)/12),2)</f>
        <v>0</v>
      </c>
      <c r="D178" s="39" t="n">
        <f aca="false">ROUND(X177*(1+N('My Debts'!$D$8)/12),2)</f>
        <v>0</v>
      </c>
      <c r="E178" s="39" t="n">
        <f aca="false">ROUND(Y177*(1+N('My Debts'!$D$9)/12),2)</f>
        <v>0</v>
      </c>
      <c r="F178" s="39" t="n">
        <f aca="false">ROUND(Z177*(1+N('My Debts'!$D$10)/12),2)</f>
        <v>0</v>
      </c>
      <c r="G178" s="39" t="n">
        <f aca="false">ROUND(AA177*(1+N('My Debts'!$D$11)/12),2)</f>
        <v>0</v>
      </c>
      <c r="H178" s="39" t="n">
        <f aca="false">ROUND(AB177*(1+N('My Debts'!$D$12)/12),2)</f>
        <v>0</v>
      </c>
      <c r="I178" s="39" t="n">
        <f aca="false">ROUND(AC177*(1+N('My Debts'!$D$13)/12),2)</f>
        <v>0</v>
      </c>
      <c r="J178" s="39" t="n">
        <f aca="false">ROUND(AD177*(1+N('My Debts'!$D$14)/12),2)</f>
        <v>0</v>
      </c>
      <c r="K178" s="39" t="n">
        <f aca="false">ROUND(AE177*(1+N('My Debts'!$D$15)/12),2)</f>
        <v>0</v>
      </c>
      <c r="L178" s="39" t="n">
        <f aca="false">MIN(N('My Debts'!$E$6),B178)</f>
        <v>0</v>
      </c>
      <c r="M178" s="39" t="n">
        <f aca="false">MIN(N('My Debts'!$E$7),C178)</f>
        <v>0</v>
      </c>
      <c r="N178" s="39" t="n">
        <f aca="false">MIN(N('My Debts'!$E$8),D178)</f>
        <v>0</v>
      </c>
      <c r="O178" s="39" t="n">
        <f aca="false">MIN(N('My Debts'!$E$9),E178)</f>
        <v>0</v>
      </c>
      <c r="P178" s="39" t="n">
        <f aca="false">MIN(N('My Debts'!$E$10),F178)</f>
        <v>0</v>
      </c>
      <c r="Q178" s="39" t="n">
        <f aca="false">MIN(N('My Debts'!$E$11),G178)</f>
        <v>0</v>
      </c>
      <c r="R178" s="39" t="n">
        <f aca="false">MIN(N('My Debts'!$E$12),H178)</f>
        <v>0</v>
      </c>
      <c r="S178" s="39" t="n">
        <f aca="false">MIN(N('My Debts'!$E$13),I178)</f>
        <v>0</v>
      </c>
      <c r="T178" s="39" t="n">
        <f aca="false">MIN(N('My Debts'!$E$14),J178)</f>
        <v>0</v>
      </c>
      <c r="U178" s="39" t="n">
        <f aca="false">MIN(N('My Debts'!$E$15),K178)</f>
        <v>0</v>
      </c>
      <c r="V178" s="39" t="n">
        <f aca="false">ROUND(B178-L178-MIN(B178-L178,MAX(0,$AF178-SUMPRODUCT(--($B$4:$K$4&lt;B$4),$B178:$K178-$L178:$U178))),2)</f>
        <v>0</v>
      </c>
      <c r="W178" s="39" t="n">
        <f aca="false">ROUND(C178-M178-MIN(C178-M178,MAX(0,$AF178-SUMPRODUCT(--($B$4:$K$4&lt;C$4),$B178:$K178-$L178:$U178))),2)</f>
        <v>0</v>
      </c>
      <c r="X178" s="39" t="n">
        <f aca="false">ROUND(D178-N178-MIN(D178-N178,MAX(0,$AF178-SUMPRODUCT(--($B$4:$K$4&lt;D$4),$B178:$K178-$L178:$U178))),2)</f>
        <v>0</v>
      </c>
      <c r="Y178" s="39" t="n">
        <f aca="false">ROUND(E178-O178-MIN(E178-O178,MAX(0,$AF178-SUMPRODUCT(--($B$4:$K$4&lt;E$4),$B178:$K178-$L178:$U178))),2)</f>
        <v>0</v>
      </c>
      <c r="Z178" s="39" t="n">
        <f aca="false">ROUND(F178-P178-MIN(F178-P178,MAX(0,$AF178-SUMPRODUCT(--($B$4:$K$4&lt;F$4),$B178:$K178-$L178:$U178))),2)</f>
        <v>0</v>
      </c>
      <c r="AA178" s="39" t="n">
        <f aca="false">ROUND(G178-Q178-MIN(G178-Q178,MAX(0,$AF178-SUMPRODUCT(--($B$4:$K$4&lt;G$4),$B178:$K178-$L178:$U178))),2)</f>
        <v>0</v>
      </c>
      <c r="AB178" s="39" t="n">
        <f aca="false">ROUND(H178-R178-MIN(H178-R178,MAX(0,$AF178-SUMPRODUCT(--($B$4:$K$4&lt;H$4),$B178:$K178-$L178:$U178))),2)</f>
        <v>0</v>
      </c>
      <c r="AC178" s="39" t="n">
        <f aca="false">ROUND(I178-S178-MIN(I178-S178,MAX(0,$AF178-SUMPRODUCT(--($B$4:$K$4&lt;I$4),$B178:$K178-$L178:$U178))),2)</f>
        <v>0</v>
      </c>
      <c r="AD178" s="39" t="n">
        <f aca="false">ROUND(J178-T178-MIN(J178-T178,MAX(0,$AF178-SUMPRODUCT(--($B$4:$K$4&lt;J$4),$B178:$K178-$L178:$U178))),2)</f>
        <v>0</v>
      </c>
      <c r="AE178" s="39" t="n">
        <f aca="false">ROUND(K178-U178-MIN(K178-U178,MAX(0,$AF178-SUMPRODUCT(--($B$4:$K$4&lt;K$4),$B178:$K178-$L178:$U178))),2)</f>
        <v>0</v>
      </c>
      <c r="AF178" s="39" t="n">
        <f aca="false">MAX(0,'Start Here'!$C$5-SUM($L178:$U178))</f>
        <v>1200</v>
      </c>
      <c r="AG178" s="39" t="n">
        <f aca="false">SUM(V178:AE178)</f>
        <v>0</v>
      </c>
      <c r="AH178" s="39" t="n">
        <f aca="false">SUM(B178:K178)-AG177</f>
        <v>0</v>
      </c>
    </row>
    <row r="179" customFormat="false" ht="15" hidden="false" customHeight="false" outlineLevel="0" collapsed="false">
      <c r="A179" s="40" t="n">
        <f aca="false">DATE(YEAR('Start Here'!$C$6),MONTH('Start Here'!$C$6)+172,1)</f>
        <v>51533</v>
      </c>
      <c r="B179" s="39" t="n">
        <f aca="false">ROUND(V178*(1+N('My Debts'!$D$6)/12),2)</f>
        <v>0</v>
      </c>
      <c r="C179" s="39" t="n">
        <f aca="false">ROUND(W178*(1+N('My Debts'!$D$7)/12),2)</f>
        <v>0</v>
      </c>
      <c r="D179" s="39" t="n">
        <f aca="false">ROUND(X178*(1+N('My Debts'!$D$8)/12),2)</f>
        <v>0</v>
      </c>
      <c r="E179" s="39" t="n">
        <f aca="false">ROUND(Y178*(1+N('My Debts'!$D$9)/12),2)</f>
        <v>0</v>
      </c>
      <c r="F179" s="39" t="n">
        <f aca="false">ROUND(Z178*(1+N('My Debts'!$D$10)/12),2)</f>
        <v>0</v>
      </c>
      <c r="G179" s="39" t="n">
        <f aca="false">ROUND(AA178*(1+N('My Debts'!$D$11)/12),2)</f>
        <v>0</v>
      </c>
      <c r="H179" s="39" t="n">
        <f aca="false">ROUND(AB178*(1+N('My Debts'!$D$12)/12),2)</f>
        <v>0</v>
      </c>
      <c r="I179" s="39" t="n">
        <f aca="false">ROUND(AC178*(1+N('My Debts'!$D$13)/12),2)</f>
        <v>0</v>
      </c>
      <c r="J179" s="39" t="n">
        <f aca="false">ROUND(AD178*(1+N('My Debts'!$D$14)/12),2)</f>
        <v>0</v>
      </c>
      <c r="K179" s="39" t="n">
        <f aca="false">ROUND(AE178*(1+N('My Debts'!$D$15)/12),2)</f>
        <v>0</v>
      </c>
      <c r="L179" s="39" t="n">
        <f aca="false">MIN(N('My Debts'!$E$6),B179)</f>
        <v>0</v>
      </c>
      <c r="M179" s="39" t="n">
        <f aca="false">MIN(N('My Debts'!$E$7),C179)</f>
        <v>0</v>
      </c>
      <c r="N179" s="39" t="n">
        <f aca="false">MIN(N('My Debts'!$E$8),D179)</f>
        <v>0</v>
      </c>
      <c r="O179" s="39" t="n">
        <f aca="false">MIN(N('My Debts'!$E$9),E179)</f>
        <v>0</v>
      </c>
      <c r="P179" s="39" t="n">
        <f aca="false">MIN(N('My Debts'!$E$10),F179)</f>
        <v>0</v>
      </c>
      <c r="Q179" s="39" t="n">
        <f aca="false">MIN(N('My Debts'!$E$11),G179)</f>
        <v>0</v>
      </c>
      <c r="R179" s="39" t="n">
        <f aca="false">MIN(N('My Debts'!$E$12),H179)</f>
        <v>0</v>
      </c>
      <c r="S179" s="39" t="n">
        <f aca="false">MIN(N('My Debts'!$E$13),I179)</f>
        <v>0</v>
      </c>
      <c r="T179" s="39" t="n">
        <f aca="false">MIN(N('My Debts'!$E$14),J179)</f>
        <v>0</v>
      </c>
      <c r="U179" s="39" t="n">
        <f aca="false">MIN(N('My Debts'!$E$15),K179)</f>
        <v>0</v>
      </c>
      <c r="V179" s="39" t="n">
        <f aca="false">ROUND(B179-L179-MIN(B179-L179,MAX(0,$AF179-SUMPRODUCT(--($B$4:$K$4&lt;B$4),$B179:$K179-$L179:$U179))),2)</f>
        <v>0</v>
      </c>
      <c r="W179" s="39" t="n">
        <f aca="false">ROUND(C179-M179-MIN(C179-M179,MAX(0,$AF179-SUMPRODUCT(--($B$4:$K$4&lt;C$4),$B179:$K179-$L179:$U179))),2)</f>
        <v>0</v>
      </c>
      <c r="X179" s="39" t="n">
        <f aca="false">ROUND(D179-N179-MIN(D179-N179,MAX(0,$AF179-SUMPRODUCT(--($B$4:$K$4&lt;D$4),$B179:$K179-$L179:$U179))),2)</f>
        <v>0</v>
      </c>
      <c r="Y179" s="39" t="n">
        <f aca="false">ROUND(E179-O179-MIN(E179-O179,MAX(0,$AF179-SUMPRODUCT(--($B$4:$K$4&lt;E$4),$B179:$K179-$L179:$U179))),2)</f>
        <v>0</v>
      </c>
      <c r="Z179" s="39" t="n">
        <f aca="false">ROUND(F179-P179-MIN(F179-P179,MAX(0,$AF179-SUMPRODUCT(--($B$4:$K$4&lt;F$4),$B179:$K179-$L179:$U179))),2)</f>
        <v>0</v>
      </c>
      <c r="AA179" s="39" t="n">
        <f aca="false">ROUND(G179-Q179-MIN(G179-Q179,MAX(0,$AF179-SUMPRODUCT(--($B$4:$K$4&lt;G$4),$B179:$K179-$L179:$U179))),2)</f>
        <v>0</v>
      </c>
      <c r="AB179" s="39" t="n">
        <f aca="false">ROUND(H179-R179-MIN(H179-R179,MAX(0,$AF179-SUMPRODUCT(--($B$4:$K$4&lt;H$4),$B179:$K179-$L179:$U179))),2)</f>
        <v>0</v>
      </c>
      <c r="AC179" s="39" t="n">
        <f aca="false">ROUND(I179-S179-MIN(I179-S179,MAX(0,$AF179-SUMPRODUCT(--($B$4:$K$4&lt;I$4),$B179:$K179-$L179:$U179))),2)</f>
        <v>0</v>
      </c>
      <c r="AD179" s="39" t="n">
        <f aca="false">ROUND(J179-T179-MIN(J179-T179,MAX(0,$AF179-SUMPRODUCT(--($B$4:$K$4&lt;J$4),$B179:$K179-$L179:$U179))),2)</f>
        <v>0</v>
      </c>
      <c r="AE179" s="39" t="n">
        <f aca="false">ROUND(K179-U179-MIN(K179-U179,MAX(0,$AF179-SUMPRODUCT(--($B$4:$K$4&lt;K$4),$B179:$K179-$L179:$U179))),2)</f>
        <v>0</v>
      </c>
      <c r="AF179" s="39" t="n">
        <f aca="false">MAX(0,'Start Here'!$C$5-SUM($L179:$U179))</f>
        <v>1200</v>
      </c>
      <c r="AG179" s="39" t="n">
        <f aca="false">SUM(V179:AE179)</f>
        <v>0</v>
      </c>
      <c r="AH179" s="39" t="n">
        <f aca="false">SUM(B179:K179)-AG178</f>
        <v>0</v>
      </c>
    </row>
    <row r="180" customFormat="false" ht="15" hidden="false" customHeight="false" outlineLevel="0" collapsed="false">
      <c r="A180" s="40" t="n">
        <f aca="false">DATE(YEAR('Start Here'!$C$6),MONTH('Start Here'!$C$6)+173,1)</f>
        <v>51561</v>
      </c>
      <c r="B180" s="39" t="n">
        <f aca="false">ROUND(V179*(1+N('My Debts'!$D$6)/12),2)</f>
        <v>0</v>
      </c>
      <c r="C180" s="39" t="n">
        <f aca="false">ROUND(W179*(1+N('My Debts'!$D$7)/12),2)</f>
        <v>0</v>
      </c>
      <c r="D180" s="39" t="n">
        <f aca="false">ROUND(X179*(1+N('My Debts'!$D$8)/12),2)</f>
        <v>0</v>
      </c>
      <c r="E180" s="39" t="n">
        <f aca="false">ROUND(Y179*(1+N('My Debts'!$D$9)/12),2)</f>
        <v>0</v>
      </c>
      <c r="F180" s="39" t="n">
        <f aca="false">ROUND(Z179*(1+N('My Debts'!$D$10)/12),2)</f>
        <v>0</v>
      </c>
      <c r="G180" s="39" t="n">
        <f aca="false">ROUND(AA179*(1+N('My Debts'!$D$11)/12),2)</f>
        <v>0</v>
      </c>
      <c r="H180" s="39" t="n">
        <f aca="false">ROUND(AB179*(1+N('My Debts'!$D$12)/12),2)</f>
        <v>0</v>
      </c>
      <c r="I180" s="39" t="n">
        <f aca="false">ROUND(AC179*(1+N('My Debts'!$D$13)/12),2)</f>
        <v>0</v>
      </c>
      <c r="J180" s="39" t="n">
        <f aca="false">ROUND(AD179*(1+N('My Debts'!$D$14)/12),2)</f>
        <v>0</v>
      </c>
      <c r="K180" s="39" t="n">
        <f aca="false">ROUND(AE179*(1+N('My Debts'!$D$15)/12),2)</f>
        <v>0</v>
      </c>
      <c r="L180" s="39" t="n">
        <f aca="false">MIN(N('My Debts'!$E$6),B180)</f>
        <v>0</v>
      </c>
      <c r="M180" s="39" t="n">
        <f aca="false">MIN(N('My Debts'!$E$7),C180)</f>
        <v>0</v>
      </c>
      <c r="N180" s="39" t="n">
        <f aca="false">MIN(N('My Debts'!$E$8),D180)</f>
        <v>0</v>
      </c>
      <c r="O180" s="39" t="n">
        <f aca="false">MIN(N('My Debts'!$E$9),E180)</f>
        <v>0</v>
      </c>
      <c r="P180" s="39" t="n">
        <f aca="false">MIN(N('My Debts'!$E$10),F180)</f>
        <v>0</v>
      </c>
      <c r="Q180" s="39" t="n">
        <f aca="false">MIN(N('My Debts'!$E$11),G180)</f>
        <v>0</v>
      </c>
      <c r="R180" s="39" t="n">
        <f aca="false">MIN(N('My Debts'!$E$12),H180)</f>
        <v>0</v>
      </c>
      <c r="S180" s="39" t="n">
        <f aca="false">MIN(N('My Debts'!$E$13),I180)</f>
        <v>0</v>
      </c>
      <c r="T180" s="39" t="n">
        <f aca="false">MIN(N('My Debts'!$E$14),J180)</f>
        <v>0</v>
      </c>
      <c r="U180" s="39" t="n">
        <f aca="false">MIN(N('My Debts'!$E$15),K180)</f>
        <v>0</v>
      </c>
      <c r="V180" s="39" t="n">
        <f aca="false">ROUND(B180-L180-MIN(B180-L180,MAX(0,$AF180-SUMPRODUCT(--($B$4:$K$4&lt;B$4),$B180:$K180-$L180:$U180))),2)</f>
        <v>0</v>
      </c>
      <c r="W180" s="39" t="n">
        <f aca="false">ROUND(C180-M180-MIN(C180-M180,MAX(0,$AF180-SUMPRODUCT(--($B$4:$K$4&lt;C$4),$B180:$K180-$L180:$U180))),2)</f>
        <v>0</v>
      </c>
      <c r="X180" s="39" t="n">
        <f aca="false">ROUND(D180-N180-MIN(D180-N180,MAX(0,$AF180-SUMPRODUCT(--($B$4:$K$4&lt;D$4),$B180:$K180-$L180:$U180))),2)</f>
        <v>0</v>
      </c>
      <c r="Y180" s="39" t="n">
        <f aca="false">ROUND(E180-O180-MIN(E180-O180,MAX(0,$AF180-SUMPRODUCT(--($B$4:$K$4&lt;E$4),$B180:$K180-$L180:$U180))),2)</f>
        <v>0</v>
      </c>
      <c r="Z180" s="39" t="n">
        <f aca="false">ROUND(F180-P180-MIN(F180-P180,MAX(0,$AF180-SUMPRODUCT(--($B$4:$K$4&lt;F$4),$B180:$K180-$L180:$U180))),2)</f>
        <v>0</v>
      </c>
      <c r="AA180" s="39" t="n">
        <f aca="false">ROUND(G180-Q180-MIN(G180-Q180,MAX(0,$AF180-SUMPRODUCT(--($B$4:$K$4&lt;G$4),$B180:$K180-$L180:$U180))),2)</f>
        <v>0</v>
      </c>
      <c r="AB180" s="39" t="n">
        <f aca="false">ROUND(H180-R180-MIN(H180-R180,MAX(0,$AF180-SUMPRODUCT(--($B$4:$K$4&lt;H$4),$B180:$K180-$L180:$U180))),2)</f>
        <v>0</v>
      </c>
      <c r="AC180" s="39" t="n">
        <f aca="false">ROUND(I180-S180-MIN(I180-S180,MAX(0,$AF180-SUMPRODUCT(--($B$4:$K$4&lt;I$4),$B180:$K180-$L180:$U180))),2)</f>
        <v>0</v>
      </c>
      <c r="AD180" s="39" t="n">
        <f aca="false">ROUND(J180-T180-MIN(J180-T180,MAX(0,$AF180-SUMPRODUCT(--($B$4:$K$4&lt;J$4),$B180:$K180-$L180:$U180))),2)</f>
        <v>0</v>
      </c>
      <c r="AE180" s="39" t="n">
        <f aca="false">ROUND(K180-U180-MIN(K180-U180,MAX(0,$AF180-SUMPRODUCT(--($B$4:$K$4&lt;K$4),$B180:$K180-$L180:$U180))),2)</f>
        <v>0</v>
      </c>
      <c r="AF180" s="39" t="n">
        <f aca="false">MAX(0,'Start Here'!$C$5-SUM($L180:$U180))</f>
        <v>1200</v>
      </c>
      <c r="AG180" s="39" t="n">
        <f aca="false">SUM(V180:AE180)</f>
        <v>0</v>
      </c>
      <c r="AH180" s="39" t="n">
        <f aca="false">SUM(B180:K180)-AG179</f>
        <v>0</v>
      </c>
    </row>
    <row r="181" customFormat="false" ht="15" hidden="false" customHeight="false" outlineLevel="0" collapsed="false">
      <c r="A181" s="40" t="n">
        <f aca="false">DATE(YEAR('Start Here'!$C$6),MONTH('Start Here'!$C$6)+174,1)</f>
        <v>51592</v>
      </c>
      <c r="B181" s="39" t="n">
        <f aca="false">ROUND(V180*(1+N('My Debts'!$D$6)/12),2)</f>
        <v>0</v>
      </c>
      <c r="C181" s="39" t="n">
        <f aca="false">ROUND(W180*(1+N('My Debts'!$D$7)/12),2)</f>
        <v>0</v>
      </c>
      <c r="D181" s="39" t="n">
        <f aca="false">ROUND(X180*(1+N('My Debts'!$D$8)/12),2)</f>
        <v>0</v>
      </c>
      <c r="E181" s="39" t="n">
        <f aca="false">ROUND(Y180*(1+N('My Debts'!$D$9)/12),2)</f>
        <v>0</v>
      </c>
      <c r="F181" s="39" t="n">
        <f aca="false">ROUND(Z180*(1+N('My Debts'!$D$10)/12),2)</f>
        <v>0</v>
      </c>
      <c r="G181" s="39" t="n">
        <f aca="false">ROUND(AA180*(1+N('My Debts'!$D$11)/12),2)</f>
        <v>0</v>
      </c>
      <c r="H181" s="39" t="n">
        <f aca="false">ROUND(AB180*(1+N('My Debts'!$D$12)/12),2)</f>
        <v>0</v>
      </c>
      <c r="I181" s="39" t="n">
        <f aca="false">ROUND(AC180*(1+N('My Debts'!$D$13)/12),2)</f>
        <v>0</v>
      </c>
      <c r="J181" s="39" t="n">
        <f aca="false">ROUND(AD180*(1+N('My Debts'!$D$14)/12),2)</f>
        <v>0</v>
      </c>
      <c r="K181" s="39" t="n">
        <f aca="false">ROUND(AE180*(1+N('My Debts'!$D$15)/12),2)</f>
        <v>0</v>
      </c>
      <c r="L181" s="39" t="n">
        <f aca="false">MIN(N('My Debts'!$E$6),B181)</f>
        <v>0</v>
      </c>
      <c r="M181" s="39" t="n">
        <f aca="false">MIN(N('My Debts'!$E$7),C181)</f>
        <v>0</v>
      </c>
      <c r="N181" s="39" t="n">
        <f aca="false">MIN(N('My Debts'!$E$8),D181)</f>
        <v>0</v>
      </c>
      <c r="O181" s="39" t="n">
        <f aca="false">MIN(N('My Debts'!$E$9),E181)</f>
        <v>0</v>
      </c>
      <c r="P181" s="39" t="n">
        <f aca="false">MIN(N('My Debts'!$E$10),F181)</f>
        <v>0</v>
      </c>
      <c r="Q181" s="39" t="n">
        <f aca="false">MIN(N('My Debts'!$E$11),G181)</f>
        <v>0</v>
      </c>
      <c r="R181" s="39" t="n">
        <f aca="false">MIN(N('My Debts'!$E$12),H181)</f>
        <v>0</v>
      </c>
      <c r="S181" s="39" t="n">
        <f aca="false">MIN(N('My Debts'!$E$13),I181)</f>
        <v>0</v>
      </c>
      <c r="T181" s="39" t="n">
        <f aca="false">MIN(N('My Debts'!$E$14),J181)</f>
        <v>0</v>
      </c>
      <c r="U181" s="39" t="n">
        <f aca="false">MIN(N('My Debts'!$E$15),K181)</f>
        <v>0</v>
      </c>
      <c r="V181" s="39" t="n">
        <f aca="false">ROUND(B181-L181-MIN(B181-L181,MAX(0,$AF181-SUMPRODUCT(--($B$4:$K$4&lt;B$4),$B181:$K181-$L181:$U181))),2)</f>
        <v>0</v>
      </c>
      <c r="W181" s="39" t="n">
        <f aca="false">ROUND(C181-M181-MIN(C181-M181,MAX(0,$AF181-SUMPRODUCT(--($B$4:$K$4&lt;C$4),$B181:$K181-$L181:$U181))),2)</f>
        <v>0</v>
      </c>
      <c r="X181" s="39" t="n">
        <f aca="false">ROUND(D181-N181-MIN(D181-N181,MAX(0,$AF181-SUMPRODUCT(--($B$4:$K$4&lt;D$4),$B181:$K181-$L181:$U181))),2)</f>
        <v>0</v>
      </c>
      <c r="Y181" s="39" t="n">
        <f aca="false">ROUND(E181-O181-MIN(E181-O181,MAX(0,$AF181-SUMPRODUCT(--($B$4:$K$4&lt;E$4),$B181:$K181-$L181:$U181))),2)</f>
        <v>0</v>
      </c>
      <c r="Z181" s="39" t="n">
        <f aca="false">ROUND(F181-P181-MIN(F181-P181,MAX(0,$AF181-SUMPRODUCT(--($B$4:$K$4&lt;F$4),$B181:$K181-$L181:$U181))),2)</f>
        <v>0</v>
      </c>
      <c r="AA181" s="39" t="n">
        <f aca="false">ROUND(G181-Q181-MIN(G181-Q181,MAX(0,$AF181-SUMPRODUCT(--($B$4:$K$4&lt;G$4),$B181:$K181-$L181:$U181))),2)</f>
        <v>0</v>
      </c>
      <c r="AB181" s="39" t="n">
        <f aca="false">ROUND(H181-R181-MIN(H181-R181,MAX(0,$AF181-SUMPRODUCT(--($B$4:$K$4&lt;H$4),$B181:$K181-$L181:$U181))),2)</f>
        <v>0</v>
      </c>
      <c r="AC181" s="39" t="n">
        <f aca="false">ROUND(I181-S181-MIN(I181-S181,MAX(0,$AF181-SUMPRODUCT(--($B$4:$K$4&lt;I$4),$B181:$K181-$L181:$U181))),2)</f>
        <v>0</v>
      </c>
      <c r="AD181" s="39" t="n">
        <f aca="false">ROUND(J181-T181-MIN(J181-T181,MAX(0,$AF181-SUMPRODUCT(--($B$4:$K$4&lt;J$4),$B181:$K181-$L181:$U181))),2)</f>
        <v>0</v>
      </c>
      <c r="AE181" s="39" t="n">
        <f aca="false">ROUND(K181-U181-MIN(K181-U181,MAX(0,$AF181-SUMPRODUCT(--($B$4:$K$4&lt;K$4),$B181:$K181-$L181:$U181))),2)</f>
        <v>0</v>
      </c>
      <c r="AF181" s="39" t="n">
        <f aca="false">MAX(0,'Start Here'!$C$5-SUM($L181:$U181))</f>
        <v>1200</v>
      </c>
      <c r="AG181" s="39" t="n">
        <f aca="false">SUM(V181:AE181)</f>
        <v>0</v>
      </c>
      <c r="AH181" s="39" t="n">
        <f aca="false">SUM(B181:K181)-AG180</f>
        <v>0</v>
      </c>
    </row>
    <row r="182" customFormat="false" ht="15" hidden="false" customHeight="false" outlineLevel="0" collapsed="false">
      <c r="A182" s="40" t="n">
        <f aca="false">DATE(YEAR('Start Here'!$C$6),MONTH('Start Here'!$C$6)+175,1)</f>
        <v>51622</v>
      </c>
      <c r="B182" s="39" t="n">
        <f aca="false">ROUND(V181*(1+N('My Debts'!$D$6)/12),2)</f>
        <v>0</v>
      </c>
      <c r="C182" s="39" t="n">
        <f aca="false">ROUND(W181*(1+N('My Debts'!$D$7)/12),2)</f>
        <v>0</v>
      </c>
      <c r="D182" s="39" t="n">
        <f aca="false">ROUND(X181*(1+N('My Debts'!$D$8)/12),2)</f>
        <v>0</v>
      </c>
      <c r="E182" s="39" t="n">
        <f aca="false">ROUND(Y181*(1+N('My Debts'!$D$9)/12),2)</f>
        <v>0</v>
      </c>
      <c r="F182" s="39" t="n">
        <f aca="false">ROUND(Z181*(1+N('My Debts'!$D$10)/12),2)</f>
        <v>0</v>
      </c>
      <c r="G182" s="39" t="n">
        <f aca="false">ROUND(AA181*(1+N('My Debts'!$D$11)/12),2)</f>
        <v>0</v>
      </c>
      <c r="H182" s="39" t="n">
        <f aca="false">ROUND(AB181*(1+N('My Debts'!$D$12)/12),2)</f>
        <v>0</v>
      </c>
      <c r="I182" s="39" t="n">
        <f aca="false">ROUND(AC181*(1+N('My Debts'!$D$13)/12),2)</f>
        <v>0</v>
      </c>
      <c r="J182" s="39" t="n">
        <f aca="false">ROUND(AD181*(1+N('My Debts'!$D$14)/12),2)</f>
        <v>0</v>
      </c>
      <c r="K182" s="39" t="n">
        <f aca="false">ROUND(AE181*(1+N('My Debts'!$D$15)/12),2)</f>
        <v>0</v>
      </c>
      <c r="L182" s="39" t="n">
        <f aca="false">MIN(N('My Debts'!$E$6),B182)</f>
        <v>0</v>
      </c>
      <c r="M182" s="39" t="n">
        <f aca="false">MIN(N('My Debts'!$E$7),C182)</f>
        <v>0</v>
      </c>
      <c r="N182" s="39" t="n">
        <f aca="false">MIN(N('My Debts'!$E$8),D182)</f>
        <v>0</v>
      </c>
      <c r="O182" s="39" t="n">
        <f aca="false">MIN(N('My Debts'!$E$9),E182)</f>
        <v>0</v>
      </c>
      <c r="P182" s="39" t="n">
        <f aca="false">MIN(N('My Debts'!$E$10),F182)</f>
        <v>0</v>
      </c>
      <c r="Q182" s="39" t="n">
        <f aca="false">MIN(N('My Debts'!$E$11),G182)</f>
        <v>0</v>
      </c>
      <c r="R182" s="39" t="n">
        <f aca="false">MIN(N('My Debts'!$E$12),H182)</f>
        <v>0</v>
      </c>
      <c r="S182" s="39" t="n">
        <f aca="false">MIN(N('My Debts'!$E$13),I182)</f>
        <v>0</v>
      </c>
      <c r="T182" s="39" t="n">
        <f aca="false">MIN(N('My Debts'!$E$14),J182)</f>
        <v>0</v>
      </c>
      <c r="U182" s="39" t="n">
        <f aca="false">MIN(N('My Debts'!$E$15),K182)</f>
        <v>0</v>
      </c>
      <c r="V182" s="39" t="n">
        <f aca="false">ROUND(B182-L182-MIN(B182-L182,MAX(0,$AF182-SUMPRODUCT(--($B$4:$K$4&lt;B$4),$B182:$K182-$L182:$U182))),2)</f>
        <v>0</v>
      </c>
      <c r="W182" s="39" t="n">
        <f aca="false">ROUND(C182-M182-MIN(C182-M182,MAX(0,$AF182-SUMPRODUCT(--($B$4:$K$4&lt;C$4),$B182:$K182-$L182:$U182))),2)</f>
        <v>0</v>
      </c>
      <c r="X182" s="39" t="n">
        <f aca="false">ROUND(D182-N182-MIN(D182-N182,MAX(0,$AF182-SUMPRODUCT(--($B$4:$K$4&lt;D$4),$B182:$K182-$L182:$U182))),2)</f>
        <v>0</v>
      </c>
      <c r="Y182" s="39" t="n">
        <f aca="false">ROUND(E182-O182-MIN(E182-O182,MAX(0,$AF182-SUMPRODUCT(--($B$4:$K$4&lt;E$4),$B182:$K182-$L182:$U182))),2)</f>
        <v>0</v>
      </c>
      <c r="Z182" s="39" t="n">
        <f aca="false">ROUND(F182-P182-MIN(F182-P182,MAX(0,$AF182-SUMPRODUCT(--($B$4:$K$4&lt;F$4),$B182:$K182-$L182:$U182))),2)</f>
        <v>0</v>
      </c>
      <c r="AA182" s="39" t="n">
        <f aca="false">ROUND(G182-Q182-MIN(G182-Q182,MAX(0,$AF182-SUMPRODUCT(--($B$4:$K$4&lt;G$4),$B182:$K182-$L182:$U182))),2)</f>
        <v>0</v>
      </c>
      <c r="AB182" s="39" t="n">
        <f aca="false">ROUND(H182-R182-MIN(H182-R182,MAX(0,$AF182-SUMPRODUCT(--($B$4:$K$4&lt;H$4),$B182:$K182-$L182:$U182))),2)</f>
        <v>0</v>
      </c>
      <c r="AC182" s="39" t="n">
        <f aca="false">ROUND(I182-S182-MIN(I182-S182,MAX(0,$AF182-SUMPRODUCT(--($B$4:$K$4&lt;I$4),$B182:$K182-$L182:$U182))),2)</f>
        <v>0</v>
      </c>
      <c r="AD182" s="39" t="n">
        <f aca="false">ROUND(J182-T182-MIN(J182-T182,MAX(0,$AF182-SUMPRODUCT(--($B$4:$K$4&lt;J$4),$B182:$K182-$L182:$U182))),2)</f>
        <v>0</v>
      </c>
      <c r="AE182" s="39" t="n">
        <f aca="false">ROUND(K182-U182-MIN(K182-U182,MAX(0,$AF182-SUMPRODUCT(--($B$4:$K$4&lt;K$4),$B182:$K182-$L182:$U182))),2)</f>
        <v>0</v>
      </c>
      <c r="AF182" s="39" t="n">
        <f aca="false">MAX(0,'Start Here'!$C$5-SUM($L182:$U182))</f>
        <v>1200</v>
      </c>
      <c r="AG182" s="39" t="n">
        <f aca="false">SUM(V182:AE182)</f>
        <v>0</v>
      </c>
      <c r="AH182" s="39" t="n">
        <f aca="false">SUM(B182:K182)-AG181</f>
        <v>0</v>
      </c>
    </row>
    <row r="183" customFormat="false" ht="15" hidden="false" customHeight="false" outlineLevel="0" collapsed="false">
      <c r="A183" s="40" t="n">
        <f aca="false">DATE(YEAR('Start Here'!$C$6),MONTH('Start Here'!$C$6)+176,1)</f>
        <v>51653</v>
      </c>
      <c r="B183" s="39" t="n">
        <f aca="false">ROUND(V182*(1+N('My Debts'!$D$6)/12),2)</f>
        <v>0</v>
      </c>
      <c r="C183" s="39" t="n">
        <f aca="false">ROUND(W182*(1+N('My Debts'!$D$7)/12),2)</f>
        <v>0</v>
      </c>
      <c r="D183" s="39" t="n">
        <f aca="false">ROUND(X182*(1+N('My Debts'!$D$8)/12),2)</f>
        <v>0</v>
      </c>
      <c r="E183" s="39" t="n">
        <f aca="false">ROUND(Y182*(1+N('My Debts'!$D$9)/12),2)</f>
        <v>0</v>
      </c>
      <c r="F183" s="39" t="n">
        <f aca="false">ROUND(Z182*(1+N('My Debts'!$D$10)/12),2)</f>
        <v>0</v>
      </c>
      <c r="G183" s="39" t="n">
        <f aca="false">ROUND(AA182*(1+N('My Debts'!$D$11)/12),2)</f>
        <v>0</v>
      </c>
      <c r="H183" s="39" t="n">
        <f aca="false">ROUND(AB182*(1+N('My Debts'!$D$12)/12),2)</f>
        <v>0</v>
      </c>
      <c r="I183" s="39" t="n">
        <f aca="false">ROUND(AC182*(1+N('My Debts'!$D$13)/12),2)</f>
        <v>0</v>
      </c>
      <c r="J183" s="39" t="n">
        <f aca="false">ROUND(AD182*(1+N('My Debts'!$D$14)/12),2)</f>
        <v>0</v>
      </c>
      <c r="K183" s="39" t="n">
        <f aca="false">ROUND(AE182*(1+N('My Debts'!$D$15)/12),2)</f>
        <v>0</v>
      </c>
      <c r="L183" s="39" t="n">
        <f aca="false">MIN(N('My Debts'!$E$6),B183)</f>
        <v>0</v>
      </c>
      <c r="M183" s="39" t="n">
        <f aca="false">MIN(N('My Debts'!$E$7),C183)</f>
        <v>0</v>
      </c>
      <c r="N183" s="39" t="n">
        <f aca="false">MIN(N('My Debts'!$E$8),D183)</f>
        <v>0</v>
      </c>
      <c r="O183" s="39" t="n">
        <f aca="false">MIN(N('My Debts'!$E$9),E183)</f>
        <v>0</v>
      </c>
      <c r="P183" s="39" t="n">
        <f aca="false">MIN(N('My Debts'!$E$10),F183)</f>
        <v>0</v>
      </c>
      <c r="Q183" s="39" t="n">
        <f aca="false">MIN(N('My Debts'!$E$11),G183)</f>
        <v>0</v>
      </c>
      <c r="R183" s="39" t="n">
        <f aca="false">MIN(N('My Debts'!$E$12),H183)</f>
        <v>0</v>
      </c>
      <c r="S183" s="39" t="n">
        <f aca="false">MIN(N('My Debts'!$E$13),I183)</f>
        <v>0</v>
      </c>
      <c r="T183" s="39" t="n">
        <f aca="false">MIN(N('My Debts'!$E$14),J183)</f>
        <v>0</v>
      </c>
      <c r="U183" s="39" t="n">
        <f aca="false">MIN(N('My Debts'!$E$15),K183)</f>
        <v>0</v>
      </c>
      <c r="V183" s="39" t="n">
        <f aca="false">ROUND(B183-L183-MIN(B183-L183,MAX(0,$AF183-SUMPRODUCT(--($B$4:$K$4&lt;B$4),$B183:$K183-$L183:$U183))),2)</f>
        <v>0</v>
      </c>
      <c r="W183" s="39" t="n">
        <f aca="false">ROUND(C183-M183-MIN(C183-M183,MAX(0,$AF183-SUMPRODUCT(--($B$4:$K$4&lt;C$4),$B183:$K183-$L183:$U183))),2)</f>
        <v>0</v>
      </c>
      <c r="X183" s="39" t="n">
        <f aca="false">ROUND(D183-N183-MIN(D183-N183,MAX(0,$AF183-SUMPRODUCT(--($B$4:$K$4&lt;D$4),$B183:$K183-$L183:$U183))),2)</f>
        <v>0</v>
      </c>
      <c r="Y183" s="39" t="n">
        <f aca="false">ROUND(E183-O183-MIN(E183-O183,MAX(0,$AF183-SUMPRODUCT(--($B$4:$K$4&lt;E$4),$B183:$K183-$L183:$U183))),2)</f>
        <v>0</v>
      </c>
      <c r="Z183" s="39" t="n">
        <f aca="false">ROUND(F183-P183-MIN(F183-P183,MAX(0,$AF183-SUMPRODUCT(--($B$4:$K$4&lt;F$4),$B183:$K183-$L183:$U183))),2)</f>
        <v>0</v>
      </c>
      <c r="AA183" s="39" t="n">
        <f aca="false">ROUND(G183-Q183-MIN(G183-Q183,MAX(0,$AF183-SUMPRODUCT(--($B$4:$K$4&lt;G$4),$B183:$K183-$L183:$U183))),2)</f>
        <v>0</v>
      </c>
      <c r="AB183" s="39" t="n">
        <f aca="false">ROUND(H183-R183-MIN(H183-R183,MAX(0,$AF183-SUMPRODUCT(--($B$4:$K$4&lt;H$4),$B183:$K183-$L183:$U183))),2)</f>
        <v>0</v>
      </c>
      <c r="AC183" s="39" t="n">
        <f aca="false">ROUND(I183-S183-MIN(I183-S183,MAX(0,$AF183-SUMPRODUCT(--($B$4:$K$4&lt;I$4),$B183:$K183-$L183:$U183))),2)</f>
        <v>0</v>
      </c>
      <c r="AD183" s="39" t="n">
        <f aca="false">ROUND(J183-T183-MIN(J183-T183,MAX(0,$AF183-SUMPRODUCT(--($B$4:$K$4&lt;J$4),$B183:$K183-$L183:$U183))),2)</f>
        <v>0</v>
      </c>
      <c r="AE183" s="39" t="n">
        <f aca="false">ROUND(K183-U183-MIN(K183-U183,MAX(0,$AF183-SUMPRODUCT(--($B$4:$K$4&lt;K$4),$B183:$K183-$L183:$U183))),2)</f>
        <v>0</v>
      </c>
      <c r="AF183" s="39" t="n">
        <f aca="false">MAX(0,'Start Here'!$C$5-SUM($L183:$U183))</f>
        <v>1200</v>
      </c>
      <c r="AG183" s="39" t="n">
        <f aca="false">SUM(V183:AE183)</f>
        <v>0</v>
      </c>
      <c r="AH183" s="39" t="n">
        <f aca="false">SUM(B183:K183)-AG182</f>
        <v>0</v>
      </c>
    </row>
    <row r="184" customFormat="false" ht="15" hidden="false" customHeight="false" outlineLevel="0" collapsed="false">
      <c r="A184" s="40" t="n">
        <f aca="false">DATE(YEAR('Start Here'!$C$6),MONTH('Start Here'!$C$6)+177,1)</f>
        <v>51683</v>
      </c>
      <c r="B184" s="39" t="n">
        <f aca="false">ROUND(V183*(1+N('My Debts'!$D$6)/12),2)</f>
        <v>0</v>
      </c>
      <c r="C184" s="39" t="n">
        <f aca="false">ROUND(W183*(1+N('My Debts'!$D$7)/12),2)</f>
        <v>0</v>
      </c>
      <c r="D184" s="39" t="n">
        <f aca="false">ROUND(X183*(1+N('My Debts'!$D$8)/12),2)</f>
        <v>0</v>
      </c>
      <c r="E184" s="39" t="n">
        <f aca="false">ROUND(Y183*(1+N('My Debts'!$D$9)/12),2)</f>
        <v>0</v>
      </c>
      <c r="F184" s="39" t="n">
        <f aca="false">ROUND(Z183*(1+N('My Debts'!$D$10)/12),2)</f>
        <v>0</v>
      </c>
      <c r="G184" s="39" t="n">
        <f aca="false">ROUND(AA183*(1+N('My Debts'!$D$11)/12),2)</f>
        <v>0</v>
      </c>
      <c r="H184" s="39" t="n">
        <f aca="false">ROUND(AB183*(1+N('My Debts'!$D$12)/12),2)</f>
        <v>0</v>
      </c>
      <c r="I184" s="39" t="n">
        <f aca="false">ROUND(AC183*(1+N('My Debts'!$D$13)/12),2)</f>
        <v>0</v>
      </c>
      <c r="J184" s="39" t="n">
        <f aca="false">ROUND(AD183*(1+N('My Debts'!$D$14)/12),2)</f>
        <v>0</v>
      </c>
      <c r="K184" s="39" t="n">
        <f aca="false">ROUND(AE183*(1+N('My Debts'!$D$15)/12),2)</f>
        <v>0</v>
      </c>
      <c r="L184" s="39" t="n">
        <f aca="false">MIN(N('My Debts'!$E$6),B184)</f>
        <v>0</v>
      </c>
      <c r="M184" s="39" t="n">
        <f aca="false">MIN(N('My Debts'!$E$7),C184)</f>
        <v>0</v>
      </c>
      <c r="N184" s="39" t="n">
        <f aca="false">MIN(N('My Debts'!$E$8),D184)</f>
        <v>0</v>
      </c>
      <c r="O184" s="39" t="n">
        <f aca="false">MIN(N('My Debts'!$E$9),E184)</f>
        <v>0</v>
      </c>
      <c r="P184" s="39" t="n">
        <f aca="false">MIN(N('My Debts'!$E$10),F184)</f>
        <v>0</v>
      </c>
      <c r="Q184" s="39" t="n">
        <f aca="false">MIN(N('My Debts'!$E$11),G184)</f>
        <v>0</v>
      </c>
      <c r="R184" s="39" t="n">
        <f aca="false">MIN(N('My Debts'!$E$12),H184)</f>
        <v>0</v>
      </c>
      <c r="S184" s="39" t="n">
        <f aca="false">MIN(N('My Debts'!$E$13),I184)</f>
        <v>0</v>
      </c>
      <c r="T184" s="39" t="n">
        <f aca="false">MIN(N('My Debts'!$E$14),J184)</f>
        <v>0</v>
      </c>
      <c r="U184" s="39" t="n">
        <f aca="false">MIN(N('My Debts'!$E$15),K184)</f>
        <v>0</v>
      </c>
      <c r="V184" s="39" t="n">
        <f aca="false">ROUND(B184-L184-MIN(B184-L184,MAX(0,$AF184-SUMPRODUCT(--($B$4:$K$4&lt;B$4),$B184:$K184-$L184:$U184))),2)</f>
        <v>0</v>
      </c>
      <c r="W184" s="39" t="n">
        <f aca="false">ROUND(C184-M184-MIN(C184-M184,MAX(0,$AF184-SUMPRODUCT(--($B$4:$K$4&lt;C$4),$B184:$K184-$L184:$U184))),2)</f>
        <v>0</v>
      </c>
      <c r="X184" s="39" t="n">
        <f aca="false">ROUND(D184-N184-MIN(D184-N184,MAX(0,$AF184-SUMPRODUCT(--($B$4:$K$4&lt;D$4),$B184:$K184-$L184:$U184))),2)</f>
        <v>0</v>
      </c>
      <c r="Y184" s="39" t="n">
        <f aca="false">ROUND(E184-O184-MIN(E184-O184,MAX(0,$AF184-SUMPRODUCT(--($B$4:$K$4&lt;E$4),$B184:$K184-$L184:$U184))),2)</f>
        <v>0</v>
      </c>
      <c r="Z184" s="39" t="n">
        <f aca="false">ROUND(F184-P184-MIN(F184-P184,MAX(0,$AF184-SUMPRODUCT(--($B$4:$K$4&lt;F$4),$B184:$K184-$L184:$U184))),2)</f>
        <v>0</v>
      </c>
      <c r="AA184" s="39" t="n">
        <f aca="false">ROUND(G184-Q184-MIN(G184-Q184,MAX(0,$AF184-SUMPRODUCT(--($B$4:$K$4&lt;G$4),$B184:$K184-$L184:$U184))),2)</f>
        <v>0</v>
      </c>
      <c r="AB184" s="39" t="n">
        <f aca="false">ROUND(H184-R184-MIN(H184-R184,MAX(0,$AF184-SUMPRODUCT(--($B$4:$K$4&lt;H$4),$B184:$K184-$L184:$U184))),2)</f>
        <v>0</v>
      </c>
      <c r="AC184" s="39" t="n">
        <f aca="false">ROUND(I184-S184-MIN(I184-S184,MAX(0,$AF184-SUMPRODUCT(--($B$4:$K$4&lt;I$4),$B184:$K184-$L184:$U184))),2)</f>
        <v>0</v>
      </c>
      <c r="AD184" s="39" t="n">
        <f aca="false">ROUND(J184-T184-MIN(J184-T184,MAX(0,$AF184-SUMPRODUCT(--($B$4:$K$4&lt;J$4),$B184:$K184-$L184:$U184))),2)</f>
        <v>0</v>
      </c>
      <c r="AE184" s="39" t="n">
        <f aca="false">ROUND(K184-U184-MIN(K184-U184,MAX(0,$AF184-SUMPRODUCT(--($B$4:$K$4&lt;K$4),$B184:$K184-$L184:$U184))),2)</f>
        <v>0</v>
      </c>
      <c r="AF184" s="39" t="n">
        <f aca="false">MAX(0,'Start Here'!$C$5-SUM($L184:$U184))</f>
        <v>1200</v>
      </c>
      <c r="AG184" s="39" t="n">
        <f aca="false">SUM(V184:AE184)</f>
        <v>0</v>
      </c>
      <c r="AH184" s="39" t="n">
        <f aca="false">SUM(B184:K184)-AG183</f>
        <v>0</v>
      </c>
    </row>
    <row r="185" customFormat="false" ht="15" hidden="false" customHeight="false" outlineLevel="0" collapsed="false">
      <c r="A185" s="40" t="n">
        <f aca="false">DATE(YEAR('Start Here'!$C$6),MONTH('Start Here'!$C$6)+178,1)</f>
        <v>51714</v>
      </c>
      <c r="B185" s="39" t="n">
        <f aca="false">ROUND(V184*(1+N('My Debts'!$D$6)/12),2)</f>
        <v>0</v>
      </c>
      <c r="C185" s="39" t="n">
        <f aca="false">ROUND(W184*(1+N('My Debts'!$D$7)/12),2)</f>
        <v>0</v>
      </c>
      <c r="D185" s="39" t="n">
        <f aca="false">ROUND(X184*(1+N('My Debts'!$D$8)/12),2)</f>
        <v>0</v>
      </c>
      <c r="E185" s="39" t="n">
        <f aca="false">ROUND(Y184*(1+N('My Debts'!$D$9)/12),2)</f>
        <v>0</v>
      </c>
      <c r="F185" s="39" t="n">
        <f aca="false">ROUND(Z184*(1+N('My Debts'!$D$10)/12),2)</f>
        <v>0</v>
      </c>
      <c r="G185" s="39" t="n">
        <f aca="false">ROUND(AA184*(1+N('My Debts'!$D$11)/12),2)</f>
        <v>0</v>
      </c>
      <c r="H185" s="39" t="n">
        <f aca="false">ROUND(AB184*(1+N('My Debts'!$D$12)/12),2)</f>
        <v>0</v>
      </c>
      <c r="I185" s="39" t="n">
        <f aca="false">ROUND(AC184*(1+N('My Debts'!$D$13)/12),2)</f>
        <v>0</v>
      </c>
      <c r="J185" s="39" t="n">
        <f aca="false">ROUND(AD184*(1+N('My Debts'!$D$14)/12),2)</f>
        <v>0</v>
      </c>
      <c r="K185" s="39" t="n">
        <f aca="false">ROUND(AE184*(1+N('My Debts'!$D$15)/12),2)</f>
        <v>0</v>
      </c>
      <c r="L185" s="39" t="n">
        <f aca="false">MIN(N('My Debts'!$E$6),B185)</f>
        <v>0</v>
      </c>
      <c r="M185" s="39" t="n">
        <f aca="false">MIN(N('My Debts'!$E$7),C185)</f>
        <v>0</v>
      </c>
      <c r="N185" s="39" t="n">
        <f aca="false">MIN(N('My Debts'!$E$8),D185)</f>
        <v>0</v>
      </c>
      <c r="O185" s="39" t="n">
        <f aca="false">MIN(N('My Debts'!$E$9),E185)</f>
        <v>0</v>
      </c>
      <c r="P185" s="39" t="n">
        <f aca="false">MIN(N('My Debts'!$E$10),F185)</f>
        <v>0</v>
      </c>
      <c r="Q185" s="39" t="n">
        <f aca="false">MIN(N('My Debts'!$E$11),G185)</f>
        <v>0</v>
      </c>
      <c r="R185" s="39" t="n">
        <f aca="false">MIN(N('My Debts'!$E$12),H185)</f>
        <v>0</v>
      </c>
      <c r="S185" s="39" t="n">
        <f aca="false">MIN(N('My Debts'!$E$13),I185)</f>
        <v>0</v>
      </c>
      <c r="T185" s="39" t="n">
        <f aca="false">MIN(N('My Debts'!$E$14),J185)</f>
        <v>0</v>
      </c>
      <c r="U185" s="39" t="n">
        <f aca="false">MIN(N('My Debts'!$E$15),K185)</f>
        <v>0</v>
      </c>
      <c r="V185" s="39" t="n">
        <f aca="false">ROUND(B185-L185-MIN(B185-L185,MAX(0,$AF185-SUMPRODUCT(--($B$4:$K$4&lt;B$4),$B185:$K185-$L185:$U185))),2)</f>
        <v>0</v>
      </c>
      <c r="W185" s="39" t="n">
        <f aca="false">ROUND(C185-M185-MIN(C185-M185,MAX(0,$AF185-SUMPRODUCT(--($B$4:$K$4&lt;C$4),$B185:$K185-$L185:$U185))),2)</f>
        <v>0</v>
      </c>
      <c r="X185" s="39" t="n">
        <f aca="false">ROUND(D185-N185-MIN(D185-N185,MAX(0,$AF185-SUMPRODUCT(--($B$4:$K$4&lt;D$4),$B185:$K185-$L185:$U185))),2)</f>
        <v>0</v>
      </c>
      <c r="Y185" s="39" t="n">
        <f aca="false">ROUND(E185-O185-MIN(E185-O185,MAX(0,$AF185-SUMPRODUCT(--($B$4:$K$4&lt;E$4),$B185:$K185-$L185:$U185))),2)</f>
        <v>0</v>
      </c>
      <c r="Z185" s="39" t="n">
        <f aca="false">ROUND(F185-P185-MIN(F185-P185,MAX(0,$AF185-SUMPRODUCT(--($B$4:$K$4&lt;F$4),$B185:$K185-$L185:$U185))),2)</f>
        <v>0</v>
      </c>
      <c r="AA185" s="39" t="n">
        <f aca="false">ROUND(G185-Q185-MIN(G185-Q185,MAX(0,$AF185-SUMPRODUCT(--($B$4:$K$4&lt;G$4),$B185:$K185-$L185:$U185))),2)</f>
        <v>0</v>
      </c>
      <c r="AB185" s="39" t="n">
        <f aca="false">ROUND(H185-R185-MIN(H185-R185,MAX(0,$AF185-SUMPRODUCT(--($B$4:$K$4&lt;H$4),$B185:$K185-$L185:$U185))),2)</f>
        <v>0</v>
      </c>
      <c r="AC185" s="39" t="n">
        <f aca="false">ROUND(I185-S185-MIN(I185-S185,MAX(0,$AF185-SUMPRODUCT(--($B$4:$K$4&lt;I$4),$B185:$K185-$L185:$U185))),2)</f>
        <v>0</v>
      </c>
      <c r="AD185" s="39" t="n">
        <f aca="false">ROUND(J185-T185-MIN(J185-T185,MAX(0,$AF185-SUMPRODUCT(--($B$4:$K$4&lt;J$4),$B185:$K185-$L185:$U185))),2)</f>
        <v>0</v>
      </c>
      <c r="AE185" s="39" t="n">
        <f aca="false">ROUND(K185-U185-MIN(K185-U185,MAX(0,$AF185-SUMPRODUCT(--($B$4:$K$4&lt;K$4),$B185:$K185-$L185:$U185))),2)</f>
        <v>0</v>
      </c>
      <c r="AF185" s="39" t="n">
        <f aca="false">MAX(0,'Start Here'!$C$5-SUM($L185:$U185))</f>
        <v>1200</v>
      </c>
      <c r="AG185" s="39" t="n">
        <f aca="false">SUM(V185:AE185)</f>
        <v>0</v>
      </c>
      <c r="AH185" s="39" t="n">
        <f aca="false">SUM(B185:K185)-AG184</f>
        <v>0</v>
      </c>
    </row>
    <row r="186" customFormat="false" ht="15" hidden="false" customHeight="false" outlineLevel="0" collapsed="false">
      <c r="A186" s="40" t="n">
        <f aca="false">DATE(YEAR('Start Here'!$C$6),MONTH('Start Here'!$C$6)+179,1)</f>
        <v>51745</v>
      </c>
      <c r="B186" s="39" t="n">
        <f aca="false">ROUND(V185*(1+N('My Debts'!$D$6)/12),2)</f>
        <v>0</v>
      </c>
      <c r="C186" s="39" t="n">
        <f aca="false">ROUND(W185*(1+N('My Debts'!$D$7)/12),2)</f>
        <v>0</v>
      </c>
      <c r="D186" s="39" t="n">
        <f aca="false">ROUND(X185*(1+N('My Debts'!$D$8)/12),2)</f>
        <v>0</v>
      </c>
      <c r="E186" s="39" t="n">
        <f aca="false">ROUND(Y185*(1+N('My Debts'!$D$9)/12),2)</f>
        <v>0</v>
      </c>
      <c r="F186" s="39" t="n">
        <f aca="false">ROUND(Z185*(1+N('My Debts'!$D$10)/12),2)</f>
        <v>0</v>
      </c>
      <c r="G186" s="39" t="n">
        <f aca="false">ROUND(AA185*(1+N('My Debts'!$D$11)/12),2)</f>
        <v>0</v>
      </c>
      <c r="H186" s="39" t="n">
        <f aca="false">ROUND(AB185*(1+N('My Debts'!$D$12)/12),2)</f>
        <v>0</v>
      </c>
      <c r="I186" s="39" t="n">
        <f aca="false">ROUND(AC185*(1+N('My Debts'!$D$13)/12),2)</f>
        <v>0</v>
      </c>
      <c r="J186" s="39" t="n">
        <f aca="false">ROUND(AD185*(1+N('My Debts'!$D$14)/12),2)</f>
        <v>0</v>
      </c>
      <c r="K186" s="39" t="n">
        <f aca="false">ROUND(AE185*(1+N('My Debts'!$D$15)/12),2)</f>
        <v>0</v>
      </c>
      <c r="L186" s="39" t="n">
        <f aca="false">MIN(N('My Debts'!$E$6),B186)</f>
        <v>0</v>
      </c>
      <c r="M186" s="39" t="n">
        <f aca="false">MIN(N('My Debts'!$E$7),C186)</f>
        <v>0</v>
      </c>
      <c r="N186" s="39" t="n">
        <f aca="false">MIN(N('My Debts'!$E$8),D186)</f>
        <v>0</v>
      </c>
      <c r="O186" s="39" t="n">
        <f aca="false">MIN(N('My Debts'!$E$9),E186)</f>
        <v>0</v>
      </c>
      <c r="P186" s="39" t="n">
        <f aca="false">MIN(N('My Debts'!$E$10),F186)</f>
        <v>0</v>
      </c>
      <c r="Q186" s="39" t="n">
        <f aca="false">MIN(N('My Debts'!$E$11),G186)</f>
        <v>0</v>
      </c>
      <c r="R186" s="39" t="n">
        <f aca="false">MIN(N('My Debts'!$E$12),H186)</f>
        <v>0</v>
      </c>
      <c r="S186" s="39" t="n">
        <f aca="false">MIN(N('My Debts'!$E$13),I186)</f>
        <v>0</v>
      </c>
      <c r="T186" s="39" t="n">
        <f aca="false">MIN(N('My Debts'!$E$14),J186)</f>
        <v>0</v>
      </c>
      <c r="U186" s="39" t="n">
        <f aca="false">MIN(N('My Debts'!$E$15),K186)</f>
        <v>0</v>
      </c>
      <c r="V186" s="39" t="n">
        <f aca="false">ROUND(B186-L186-MIN(B186-L186,MAX(0,$AF186-SUMPRODUCT(--($B$4:$K$4&lt;B$4),$B186:$K186-$L186:$U186))),2)</f>
        <v>0</v>
      </c>
      <c r="W186" s="39" t="n">
        <f aca="false">ROUND(C186-M186-MIN(C186-M186,MAX(0,$AF186-SUMPRODUCT(--($B$4:$K$4&lt;C$4),$B186:$K186-$L186:$U186))),2)</f>
        <v>0</v>
      </c>
      <c r="X186" s="39" t="n">
        <f aca="false">ROUND(D186-N186-MIN(D186-N186,MAX(0,$AF186-SUMPRODUCT(--($B$4:$K$4&lt;D$4),$B186:$K186-$L186:$U186))),2)</f>
        <v>0</v>
      </c>
      <c r="Y186" s="39" t="n">
        <f aca="false">ROUND(E186-O186-MIN(E186-O186,MAX(0,$AF186-SUMPRODUCT(--($B$4:$K$4&lt;E$4),$B186:$K186-$L186:$U186))),2)</f>
        <v>0</v>
      </c>
      <c r="Z186" s="39" t="n">
        <f aca="false">ROUND(F186-P186-MIN(F186-P186,MAX(0,$AF186-SUMPRODUCT(--($B$4:$K$4&lt;F$4),$B186:$K186-$L186:$U186))),2)</f>
        <v>0</v>
      </c>
      <c r="AA186" s="39" t="n">
        <f aca="false">ROUND(G186-Q186-MIN(G186-Q186,MAX(0,$AF186-SUMPRODUCT(--($B$4:$K$4&lt;G$4),$B186:$K186-$L186:$U186))),2)</f>
        <v>0</v>
      </c>
      <c r="AB186" s="39" t="n">
        <f aca="false">ROUND(H186-R186-MIN(H186-R186,MAX(0,$AF186-SUMPRODUCT(--($B$4:$K$4&lt;H$4),$B186:$K186-$L186:$U186))),2)</f>
        <v>0</v>
      </c>
      <c r="AC186" s="39" t="n">
        <f aca="false">ROUND(I186-S186-MIN(I186-S186,MAX(0,$AF186-SUMPRODUCT(--($B$4:$K$4&lt;I$4),$B186:$K186-$L186:$U186))),2)</f>
        <v>0</v>
      </c>
      <c r="AD186" s="39" t="n">
        <f aca="false">ROUND(J186-T186-MIN(J186-T186,MAX(0,$AF186-SUMPRODUCT(--($B$4:$K$4&lt;J$4),$B186:$K186-$L186:$U186))),2)</f>
        <v>0</v>
      </c>
      <c r="AE186" s="39" t="n">
        <f aca="false">ROUND(K186-U186-MIN(K186-U186,MAX(0,$AF186-SUMPRODUCT(--($B$4:$K$4&lt;K$4),$B186:$K186-$L186:$U186))),2)</f>
        <v>0</v>
      </c>
      <c r="AF186" s="39" t="n">
        <f aca="false">MAX(0,'Start Here'!$C$5-SUM($L186:$U186))</f>
        <v>1200</v>
      </c>
      <c r="AG186" s="39" t="n">
        <f aca="false">SUM(V186:AE186)</f>
        <v>0</v>
      </c>
      <c r="AH186" s="39" t="n">
        <f aca="false">SUM(B186:K186)-AG185</f>
        <v>0</v>
      </c>
    </row>
    <row r="187" customFormat="false" ht="15" hidden="false" customHeight="false" outlineLevel="0" collapsed="false">
      <c r="A187" s="40" t="n">
        <f aca="false">DATE(YEAR('Start Here'!$C$6),MONTH('Start Here'!$C$6)+180,1)</f>
        <v>51775</v>
      </c>
      <c r="B187" s="39" t="n">
        <f aca="false">ROUND(V186*(1+N('My Debts'!$D$6)/12),2)</f>
        <v>0</v>
      </c>
      <c r="C187" s="39" t="n">
        <f aca="false">ROUND(W186*(1+N('My Debts'!$D$7)/12),2)</f>
        <v>0</v>
      </c>
      <c r="D187" s="39" t="n">
        <f aca="false">ROUND(X186*(1+N('My Debts'!$D$8)/12),2)</f>
        <v>0</v>
      </c>
      <c r="E187" s="39" t="n">
        <f aca="false">ROUND(Y186*(1+N('My Debts'!$D$9)/12),2)</f>
        <v>0</v>
      </c>
      <c r="F187" s="39" t="n">
        <f aca="false">ROUND(Z186*(1+N('My Debts'!$D$10)/12),2)</f>
        <v>0</v>
      </c>
      <c r="G187" s="39" t="n">
        <f aca="false">ROUND(AA186*(1+N('My Debts'!$D$11)/12),2)</f>
        <v>0</v>
      </c>
      <c r="H187" s="39" t="n">
        <f aca="false">ROUND(AB186*(1+N('My Debts'!$D$12)/12),2)</f>
        <v>0</v>
      </c>
      <c r="I187" s="39" t="n">
        <f aca="false">ROUND(AC186*(1+N('My Debts'!$D$13)/12),2)</f>
        <v>0</v>
      </c>
      <c r="J187" s="39" t="n">
        <f aca="false">ROUND(AD186*(1+N('My Debts'!$D$14)/12),2)</f>
        <v>0</v>
      </c>
      <c r="K187" s="39" t="n">
        <f aca="false">ROUND(AE186*(1+N('My Debts'!$D$15)/12),2)</f>
        <v>0</v>
      </c>
      <c r="L187" s="39" t="n">
        <f aca="false">MIN(N('My Debts'!$E$6),B187)</f>
        <v>0</v>
      </c>
      <c r="M187" s="39" t="n">
        <f aca="false">MIN(N('My Debts'!$E$7),C187)</f>
        <v>0</v>
      </c>
      <c r="N187" s="39" t="n">
        <f aca="false">MIN(N('My Debts'!$E$8),D187)</f>
        <v>0</v>
      </c>
      <c r="O187" s="39" t="n">
        <f aca="false">MIN(N('My Debts'!$E$9),E187)</f>
        <v>0</v>
      </c>
      <c r="P187" s="39" t="n">
        <f aca="false">MIN(N('My Debts'!$E$10),F187)</f>
        <v>0</v>
      </c>
      <c r="Q187" s="39" t="n">
        <f aca="false">MIN(N('My Debts'!$E$11),G187)</f>
        <v>0</v>
      </c>
      <c r="R187" s="39" t="n">
        <f aca="false">MIN(N('My Debts'!$E$12),H187)</f>
        <v>0</v>
      </c>
      <c r="S187" s="39" t="n">
        <f aca="false">MIN(N('My Debts'!$E$13),I187)</f>
        <v>0</v>
      </c>
      <c r="T187" s="39" t="n">
        <f aca="false">MIN(N('My Debts'!$E$14),J187)</f>
        <v>0</v>
      </c>
      <c r="U187" s="39" t="n">
        <f aca="false">MIN(N('My Debts'!$E$15),K187)</f>
        <v>0</v>
      </c>
      <c r="V187" s="39" t="n">
        <f aca="false">ROUND(B187-L187-MIN(B187-L187,MAX(0,$AF187-SUMPRODUCT(--($B$4:$K$4&lt;B$4),$B187:$K187-$L187:$U187))),2)</f>
        <v>0</v>
      </c>
      <c r="W187" s="39" t="n">
        <f aca="false">ROUND(C187-M187-MIN(C187-M187,MAX(0,$AF187-SUMPRODUCT(--($B$4:$K$4&lt;C$4),$B187:$K187-$L187:$U187))),2)</f>
        <v>0</v>
      </c>
      <c r="X187" s="39" t="n">
        <f aca="false">ROUND(D187-N187-MIN(D187-N187,MAX(0,$AF187-SUMPRODUCT(--($B$4:$K$4&lt;D$4),$B187:$K187-$L187:$U187))),2)</f>
        <v>0</v>
      </c>
      <c r="Y187" s="39" t="n">
        <f aca="false">ROUND(E187-O187-MIN(E187-O187,MAX(0,$AF187-SUMPRODUCT(--($B$4:$K$4&lt;E$4),$B187:$K187-$L187:$U187))),2)</f>
        <v>0</v>
      </c>
      <c r="Z187" s="39" t="n">
        <f aca="false">ROUND(F187-P187-MIN(F187-P187,MAX(0,$AF187-SUMPRODUCT(--($B$4:$K$4&lt;F$4),$B187:$K187-$L187:$U187))),2)</f>
        <v>0</v>
      </c>
      <c r="AA187" s="39" t="n">
        <f aca="false">ROUND(G187-Q187-MIN(G187-Q187,MAX(0,$AF187-SUMPRODUCT(--($B$4:$K$4&lt;G$4),$B187:$K187-$L187:$U187))),2)</f>
        <v>0</v>
      </c>
      <c r="AB187" s="39" t="n">
        <f aca="false">ROUND(H187-R187-MIN(H187-R187,MAX(0,$AF187-SUMPRODUCT(--($B$4:$K$4&lt;H$4),$B187:$K187-$L187:$U187))),2)</f>
        <v>0</v>
      </c>
      <c r="AC187" s="39" t="n">
        <f aca="false">ROUND(I187-S187-MIN(I187-S187,MAX(0,$AF187-SUMPRODUCT(--($B$4:$K$4&lt;I$4),$B187:$K187-$L187:$U187))),2)</f>
        <v>0</v>
      </c>
      <c r="AD187" s="39" t="n">
        <f aca="false">ROUND(J187-T187-MIN(J187-T187,MAX(0,$AF187-SUMPRODUCT(--($B$4:$K$4&lt;J$4),$B187:$K187-$L187:$U187))),2)</f>
        <v>0</v>
      </c>
      <c r="AE187" s="39" t="n">
        <f aca="false">ROUND(K187-U187-MIN(K187-U187,MAX(0,$AF187-SUMPRODUCT(--($B$4:$K$4&lt;K$4),$B187:$K187-$L187:$U187))),2)</f>
        <v>0</v>
      </c>
      <c r="AF187" s="39" t="n">
        <f aca="false">MAX(0,'Start Here'!$C$5-SUM($L187:$U187))</f>
        <v>1200</v>
      </c>
      <c r="AG187" s="39" t="n">
        <f aca="false">SUM(V187:AE187)</f>
        <v>0</v>
      </c>
      <c r="AH187" s="39" t="n">
        <f aca="false">SUM(B187:K187)-AG186</f>
        <v>0</v>
      </c>
    </row>
    <row r="188" customFormat="false" ht="15" hidden="false" customHeight="false" outlineLevel="0" collapsed="false">
      <c r="A188" s="40" t="n">
        <f aca="false">DATE(YEAR('Start Here'!$C$6),MONTH('Start Here'!$C$6)+181,1)</f>
        <v>51806</v>
      </c>
      <c r="B188" s="39" t="n">
        <f aca="false">ROUND(V187*(1+N('My Debts'!$D$6)/12),2)</f>
        <v>0</v>
      </c>
      <c r="C188" s="39" t="n">
        <f aca="false">ROUND(W187*(1+N('My Debts'!$D$7)/12),2)</f>
        <v>0</v>
      </c>
      <c r="D188" s="39" t="n">
        <f aca="false">ROUND(X187*(1+N('My Debts'!$D$8)/12),2)</f>
        <v>0</v>
      </c>
      <c r="E188" s="39" t="n">
        <f aca="false">ROUND(Y187*(1+N('My Debts'!$D$9)/12),2)</f>
        <v>0</v>
      </c>
      <c r="F188" s="39" t="n">
        <f aca="false">ROUND(Z187*(1+N('My Debts'!$D$10)/12),2)</f>
        <v>0</v>
      </c>
      <c r="G188" s="39" t="n">
        <f aca="false">ROUND(AA187*(1+N('My Debts'!$D$11)/12),2)</f>
        <v>0</v>
      </c>
      <c r="H188" s="39" t="n">
        <f aca="false">ROUND(AB187*(1+N('My Debts'!$D$12)/12),2)</f>
        <v>0</v>
      </c>
      <c r="I188" s="39" t="n">
        <f aca="false">ROUND(AC187*(1+N('My Debts'!$D$13)/12),2)</f>
        <v>0</v>
      </c>
      <c r="J188" s="39" t="n">
        <f aca="false">ROUND(AD187*(1+N('My Debts'!$D$14)/12),2)</f>
        <v>0</v>
      </c>
      <c r="K188" s="39" t="n">
        <f aca="false">ROUND(AE187*(1+N('My Debts'!$D$15)/12),2)</f>
        <v>0</v>
      </c>
      <c r="L188" s="39" t="n">
        <f aca="false">MIN(N('My Debts'!$E$6),B188)</f>
        <v>0</v>
      </c>
      <c r="M188" s="39" t="n">
        <f aca="false">MIN(N('My Debts'!$E$7),C188)</f>
        <v>0</v>
      </c>
      <c r="N188" s="39" t="n">
        <f aca="false">MIN(N('My Debts'!$E$8),D188)</f>
        <v>0</v>
      </c>
      <c r="O188" s="39" t="n">
        <f aca="false">MIN(N('My Debts'!$E$9),E188)</f>
        <v>0</v>
      </c>
      <c r="P188" s="39" t="n">
        <f aca="false">MIN(N('My Debts'!$E$10),F188)</f>
        <v>0</v>
      </c>
      <c r="Q188" s="39" t="n">
        <f aca="false">MIN(N('My Debts'!$E$11),G188)</f>
        <v>0</v>
      </c>
      <c r="R188" s="39" t="n">
        <f aca="false">MIN(N('My Debts'!$E$12),H188)</f>
        <v>0</v>
      </c>
      <c r="S188" s="39" t="n">
        <f aca="false">MIN(N('My Debts'!$E$13),I188)</f>
        <v>0</v>
      </c>
      <c r="T188" s="39" t="n">
        <f aca="false">MIN(N('My Debts'!$E$14),J188)</f>
        <v>0</v>
      </c>
      <c r="U188" s="39" t="n">
        <f aca="false">MIN(N('My Debts'!$E$15),K188)</f>
        <v>0</v>
      </c>
      <c r="V188" s="39" t="n">
        <f aca="false">ROUND(B188-L188-MIN(B188-L188,MAX(0,$AF188-SUMPRODUCT(--($B$4:$K$4&lt;B$4),$B188:$K188-$L188:$U188))),2)</f>
        <v>0</v>
      </c>
      <c r="W188" s="39" t="n">
        <f aca="false">ROUND(C188-M188-MIN(C188-M188,MAX(0,$AF188-SUMPRODUCT(--($B$4:$K$4&lt;C$4),$B188:$K188-$L188:$U188))),2)</f>
        <v>0</v>
      </c>
      <c r="X188" s="39" t="n">
        <f aca="false">ROUND(D188-N188-MIN(D188-N188,MAX(0,$AF188-SUMPRODUCT(--($B$4:$K$4&lt;D$4),$B188:$K188-$L188:$U188))),2)</f>
        <v>0</v>
      </c>
      <c r="Y188" s="39" t="n">
        <f aca="false">ROUND(E188-O188-MIN(E188-O188,MAX(0,$AF188-SUMPRODUCT(--($B$4:$K$4&lt;E$4),$B188:$K188-$L188:$U188))),2)</f>
        <v>0</v>
      </c>
      <c r="Z188" s="39" t="n">
        <f aca="false">ROUND(F188-P188-MIN(F188-P188,MAX(0,$AF188-SUMPRODUCT(--($B$4:$K$4&lt;F$4),$B188:$K188-$L188:$U188))),2)</f>
        <v>0</v>
      </c>
      <c r="AA188" s="39" t="n">
        <f aca="false">ROUND(G188-Q188-MIN(G188-Q188,MAX(0,$AF188-SUMPRODUCT(--($B$4:$K$4&lt;G$4),$B188:$K188-$L188:$U188))),2)</f>
        <v>0</v>
      </c>
      <c r="AB188" s="39" t="n">
        <f aca="false">ROUND(H188-R188-MIN(H188-R188,MAX(0,$AF188-SUMPRODUCT(--($B$4:$K$4&lt;H$4),$B188:$K188-$L188:$U188))),2)</f>
        <v>0</v>
      </c>
      <c r="AC188" s="39" t="n">
        <f aca="false">ROUND(I188-S188-MIN(I188-S188,MAX(0,$AF188-SUMPRODUCT(--($B$4:$K$4&lt;I$4),$B188:$K188-$L188:$U188))),2)</f>
        <v>0</v>
      </c>
      <c r="AD188" s="39" t="n">
        <f aca="false">ROUND(J188-T188-MIN(J188-T188,MAX(0,$AF188-SUMPRODUCT(--($B$4:$K$4&lt;J$4),$B188:$K188-$L188:$U188))),2)</f>
        <v>0</v>
      </c>
      <c r="AE188" s="39" t="n">
        <f aca="false">ROUND(K188-U188-MIN(K188-U188,MAX(0,$AF188-SUMPRODUCT(--($B$4:$K$4&lt;K$4),$B188:$K188-$L188:$U188))),2)</f>
        <v>0</v>
      </c>
      <c r="AF188" s="39" t="n">
        <f aca="false">MAX(0,'Start Here'!$C$5-SUM($L188:$U188))</f>
        <v>1200</v>
      </c>
      <c r="AG188" s="39" t="n">
        <f aca="false">SUM(V188:AE188)</f>
        <v>0</v>
      </c>
      <c r="AH188" s="39" t="n">
        <f aca="false">SUM(B188:K188)-AG187</f>
        <v>0</v>
      </c>
    </row>
    <row r="189" customFormat="false" ht="15" hidden="false" customHeight="false" outlineLevel="0" collapsed="false">
      <c r="A189" s="40" t="n">
        <f aca="false">DATE(YEAR('Start Here'!$C$6),MONTH('Start Here'!$C$6)+182,1)</f>
        <v>51836</v>
      </c>
      <c r="B189" s="39" t="n">
        <f aca="false">ROUND(V188*(1+N('My Debts'!$D$6)/12),2)</f>
        <v>0</v>
      </c>
      <c r="C189" s="39" t="n">
        <f aca="false">ROUND(W188*(1+N('My Debts'!$D$7)/12),2)</f>
        <v>0</v>
      </c>
      <c r="D189" s="39" t="n">
        <f aca="false">ROUND(X188*(1+N('My Debts'!$D$8)/12),2)</f>
        <v>0</v>
      </c>
      <c r="E189" s="39" t="n">
        <f aca="false">ROUND(Y188*(1+N('My Debts'!$D$9)/12),2)</f>
        <v>0</v>
      </c>
      <c r="F189" s="39" t="n">
        <f aca="false">ROUND(Z188*(1+N('My Debts'!$D$10)/12),2)</f>
        <v>0</v>
      </c>
      <c r="G189" s="39" t="n">
        <f aca="false">ROUND(AA188*(1+N('My Debts'!$D$11)/12),2)</f>
        <v>0</v>
      </c>
      <c r="H189" s="39" t="n">
        <f aca="false">ROUND(AB188*(1+N('My Debts'!$D$12)/12),2)</f>
        <v>0</v>
      </c>
      <c r="I189" s="39" t="n">
        <f aca="false">ROUND(AC188*(1+N('My Debts'!$D$13)/12),2)</f>
        <v>0</v>
      </c>
      <c r="J189" s="39" t="n">
        <f aca="false">ROUND(AD188*(1+N('My Debts'!$D$14)/12),2)</f>
        <v>0</v>
      </c>
      <c r="K189" s="39" t="n">
        <f aca="false">ROUND(AE188*(1+N('My Debts'!$D$15)/12),2)</f>
        <v>0</v>
      </c>
      <c r="L189" s="39" t="n">
        <f aca="false">MIN(N('My Debts'!$E$6),B189)</f>
        <v>0</v>
      </c>
      <c r="M189" s="39" t="n">
        <f aca="false">MIN(N('My Debts'!$E$7),C189)</f>
        <v>0</v>
      </c>
      <c r="N189" s="39" t="n">
        <f aca="false">MIN(N('My Debts'!$E$8),D189)</f>
        <v>0</v>
      </c>
      <c r="O189" s="39" t="n">
        <f aca="false">MIN(N('My Debts'!$E$9),E189)</f>
        <v>0</v>
      </c>
      <c r="P189" s="39" t="n">
        <f aca="false">MIN(N('My Debts'!$E$10),F189)</f>
        <v>0</v>
      </c>
      <c r="Q189" s="39" t="n">
        <f aca="false">MIN(N('My Debts'!$E$11),G189)</f>
        <v>0</v>
      </c>
      <c r="R189" s="39" t="n">
        <f aca="false">MIN(N('My Debts'!$E$12),H189)</f>
        <v>0</v>
      </c>
      <c r="S189" s="39" t="n">
        <f aca="false">MIN(N('My Debts'!$E$13),I189)</f>
        <v>0</v>
      </c>
      <c r="T189" s="39" t="n">
        <f aca="false">MIN(N('My Debts'!$E$14),J189)</f>
        <v>0</v>
      </c>
      <c r="U189" s="39" t="n">
        <f aca="false">MIN(N('My Debts'!$E$15),K189)</f>
        <v>0</v>
      </c>
      <c r="V189" s="39" t="n">
        <f aca="false">ROUND(B189-L189-MIN(B189-L189,MAX(0,$AF189-SUMPRODUCT(--($B$4:$K$4&lt;B$4),$B189:$K189-$L189:$U189))),2)</f>
        <v>0</v>
      </c>
      <c r="W189" s="39" t="n">
        <f aca="false">ROUND(C189-M189-MIN(C189-M189,MAX(0,$AF189-SUMPRODUCT(--($B$4:$K$4&lt;C$4),$B189:$K189-$L189:$U189))),2)</f>
        <v>0</v>
      </c>
      <c r="X189" s="39" t="n">
        <f aca="false">ROUND(D189-N189-MIN(D189-N189,MAX(0,$AF189-SUMPRODUCT(--($B$4:$K$4&lt;D$4),$B189:$K189-$L189:$U189))),2)</f>
        <v>0</v>
      </c>
      <c r="Y189" s="39" t="n">
        <f aca="false">ROUND(E189-O189-MIN(E189-O189,MAX(0,$AF189-SUMPRODUCT(--($B$4:$K$4&lt;E$4),$B189:$K189-$L189:$U189))),2)</f>
        <v>0</v>
      </c>
      <c r="Z189" s="39" t="n">
        <f aca="false">ROUND(F189-P189-MIN(F189-P189,MAX(0,$AF189-SUMPRODUCT(--($B$4:$K$4&lt;F$4),$B189:$K189-$L189:$U189))),2)</f>
        <v>0</v>
      </c>
      <c r="AA189" s="39" t="n">
        <f aca="false">ROUND(G189-Q189-MIN(G189-Q189,MAX(0,$AF189-SUMPRODUCT(--($B$4:$K$4&lt;G$4),$B189:$K189-$L189:$U189))),2)</f>
        <v>0</v>
      </c>
      <c r="AB189" s="39" t="n">
        <f aca="false">ROUND(H189-R189-MIN(H189-R189,MAX(0,$AF189-SUMPRODUCT(--($B$4:$K$4&lt;H$4),$B189:$K189-$L189:$U189))),2)</f>
        <v>0</v>
      </c>
      <c r="AC189" s="39" t="n">
        <f aca="false">ROUND(I189-S189-MIN(I189-S189,MAX(0,$AF189-SUMPRODUCT(--($B$4:$K$4&lt;I$4),$B189:$K189-$L189:$U189))),2)</f>
        <v>0</v>
      </c>
      <c r="AD189" s="39" t="n">
        <f aca="false">ROUND(J189-T189-MIN(J189-T189,MAX(0,$AF189-SUMPRODUCT(--($B$4:$K$4&lt;J$4),$B189:$K189-$L189:$U189))),2)</f>
        <v>0</v>
      </c>
      <c r="AE189" s="39" t="n">
        <f aca="false">ROUND(K189-U189-MIN(K189-U189,MAX(0,$AF189-SUMPRODUCT(--($B$4:$K$4&lt;K$4),$B189:$K189-$L189:$U189))),2)</f>
        <v>0</v>
      </c>
      <c r="AF189" s="39" t="n">
        <f aca="false">MAX(0,'Start Here'!$C$5-SUM($L189:$U189))</f>
        <v>1200</v>
      </c>
      <c r="AG189" s="39" t="n">
        <f aca="false">SUM(V189:AE189)</f>
        <v>0</v>
      </c>
      <c r="AH189" s="39" t="n">
        <f aca="false">SUM(B189:K189)-AG188</f>
        <v>0</v>
      </c>
    </row>
    <row r="190" customFormat="false" ht="15" hidden="false" customHeight="false" outlineLevel="0" collapsed="false">
      <c r="A190" s="40" t="n">
        <f aca="false">DATE(YEAR('Start Here'!$C$6),MONTH('Start Here'!$C$6)+183,1)</f>
        <v>51867</v>
      </c>
      <c r="B190" s="39" t="n">
        <f aca="false">ROUND(V189*(1+N('My Debts'!$D$6)/12),2)</f>
        <v>0</v>
      </c>
      <c r="C190" s="39" t="n">
        <f aca="false">ROUND(W189*(1+N('My Debts'!$D$7)/12),2)</f>
        <v>0</v>
      </c>
      <c r="D190" s="39" t="n">
        <f aca="false">ROUND(X189*(1+N('My Debts'!$D$8)/12),2)</f>
        <v>0</v>
      </c>
      <c r="E190" s="39" t="n">
        <f aca="false">ROUND(Y189*(1+N('My Debts'!$D$9)/12),2)</f>
        <v>0</v>
      </c>
      <c r="F190" s="39" t="n">
        <f aca="false">ROUND(Z189*(1+N('My Debts'!$D$10)/12),2)</f>
        <v>0</v>
      </c>
      <c r="G190" s="39" t="n">
        <f aca="false">ROUND(AA189*(1+N('My Debts'!$D$11)/12),2)</f>
        <v>0</v>
      </c>
      <c r="H190" s="39" t="n">
        <f aca="false">ROUND(AB189*(1+N('My Debts'!$D$12)/12),2)</f>
        <v>0</v>
      </c>
      <c r="I190" s="39" t="n">
        <f aca="false">ROUND(AC189*(1+N('My Debts'!$D$13)/12),2)</f>
        <v>0</v>
      </c>
      <c r="J190" s="39" t="n">
        <f aca="false">ROUND(AD189*(1+N('My Debts'!$D$14)/12),2)</f>
        <v>0</v>
      </c>
      <c r="K190" s="39" t="n">
        <f aca="false">ROUND(AE189*(1+N('My Debts'!$D$15)/12),2)</f>
        <v>0</v>
      </c>
      <c r="L190" s="39" t="n">
        <f aca="false">MIN(N('My Debts'!$E$6),B190)</f>
        <v>0</v>
      </c>
      <c r="M190" s="39" t="n">
        <f aca="false">MIN(N('My Debts'!$E$7),C190)</f>
        <v>0</v>
      </c>
      <c r="N190" s="39" t="n">
        <f aca="false">MIN(N('My Debts'!$E$8),D190)</f>
        <v>0</v>
      </c>
      <c r="O190" s="39" t="n">
        <f aca="false">MIN(N('My Debts'!$E$9),E190)</f>
        <v>0</v>
      </c>
      <c r="P190" s="39" t="n">
        <f aca="false">MIN(N('My Debts'!$E$10),F190)</f>
        <v>0</v>
      </c>
      <c r="Q190" s="39" t="n">
        <f aca="false">MIN(N('My Debts'!$E$11),G190)</f>
        <v>0</v>
      </c>
      <c r="R190" s="39" t="n">
        <f aca="false">MIN(N('My Debts'!$E$12),H190)</f>
        <v>0</v>
      </c>
      <c r="S190" s="39" t="n">
        <f aca="false">MIN(N('My Debts'!$E$13),I190)</f>
        <v>0</v>
      </c>
      <c r="T190" s="39" t="n">
        <f aca="false">MIN(N('My Debts'!$E$14),J190)</f>
        <v>0</v>
      </c>
      <c r="U190" s="39" t="n">
        <f aca="false">MIN(N('My Debts'!$E$15),K190)</f>
        <v>0</v>
      </c>
      <c r="V190" s="39" t="n">
        <f aca="false">ROUND(B190-L190-MIN(B190-L190,MAX(0,$AF190-SUMPRODUCT(--($B$4:$K$4&lt;B$4),$B190:$K190-$L190:$U190))),2)</f>
        <v>0</v>
      </c>
      <c r="W190" s="39" t="n">
        <f aca="false">ROUND(C190-M190-MIN(C190-M190,MAX(0,$AF190-SUMPRODUCT(--($B$4:$K$4&lt;C$4),$B190:$K190-$L190:$U190))),2)</f>
        <v>0</v>
      </c>
      <c r="X190" s="39" t="n">
        <f aca="false">ROUND(D190-N190-MIN(D190-N190,MAX(0,$AF190-SUMPRODUCT(--($B$4:$K$4&lt;D$4),$B190:$K190-$L190:$U190))),2)</f>
        <v>0</v>
      </c>
      <c r="Y190" s="39" t="n">
        <f aca="false">ROUND(E190-O190-MIN(E190-O190,MAX(0,$AF190-SUMPRODUCT(--($B$4:$K$4&lt;E$4),$B190:$K190-$L190:$U190))),2)</f>
        <v>0</v>
      </c>
      <c r="Z190" s="39" t="n">
        <f aca="false">ROUND(F190-P190-MIN(F190-P190,MAX(0,$AF190-SUMPRODUCT(--($B$4:$K$4&lt;F$4),$B190:$K190-$L190:$U190))),2)</f>
        <v>0</v>
      </c>
      <c r="AA190" s="39" t="n">
        <f aca="false">ROUND(G190-Q190-MIN(G190-Q190,MAX(0,$AF190-SUMPRODUCT(--($B$4:$K$4&lt;G$4),$B190:$K190-$L190:$U190))),2)</f>
        <v>0</v>
      </c>
      <c r="AB190" s="39" t="n">
        <f aca="false">ROUND(H190-R190-MIN(H190-R190,MAX(0,$AF190-SUMPRODUCT(--($B$4:$K$4&lt;H$4),$B190:$K190-$L190:$U190))),2)</f>
        <v>0</v>
      </c>
      <c r="AC190" s="39" t="n">
        <f aca="false">ROUND(I190-S190-MIN(I190-S190,MAX(0,$AF190-SUMPRODUCT(--($B$4:$K$4&lt;I$4),$B190:$K190-$L190:$U190))),2)</f>
        <v>0</v>
      </c>
      <c r="AD190" s="39" t="n">
        <f aca="false">ROUND(J190-T190-MIN(J190-T190,MAX(0,$AF190-SUMPRODUCT(--($B$4:$K$4&lt;J$4),$B190:$K190-$L190:$U190))),2)</f>
        <v>0</v>
      </c>
      <c r="AE190" s="39" t="n">
        <f aca="false">ROUND(K190-U190-MIN(K190-U190,MAX(0,$AF190-SUMPRODUCT(--($B$4:$K$4&lt;K$4),$B190:$K190-$L190:$U190))),2)</f>
        <v>0</v>
      </c>
      <c r="AF190" s="39" t="n">
        <f aca="false">MAX(0,'Start Here'!$C$5-SUM($L190:$U190))</f>
        <v>1200</v>
      </c>
      <c r="AG190" s="39" t="n">
        <f aca="false">SUM(V190:AE190)</f>
        <v>0</v>
      </c>
      <c r="AH190" s="39" t="n">
        <f aca="false">SUM(B190:K190)-AG189</f>
        <v>0</v>
      </c>
    </row>
    <row r="191" customFormat="false" ht="15" hidden="false" customHeight="false" outlineLevel="0" collapsed="false">
      <c r="A191" s="40" t="n">
        <f aca="false">DATE(YEAR('Start Here'!$C$6),MONTH('Start Here'!$C$6)+184,1)</f>
        <v>51898</v>
      </c>
      <c r="B191" s="39" t="n">
        <f aca="false">ROUND(V190*(1+N('My Debts'!$D$6)/12),2)</f>
        <v>0</v>
      </c>
      <c r="C191" s="39" t="n">
        <f aca="false">ROUND(W190*(1+N('My Debts'!$D$7)/12),2)</f>
        <v>0</v>
      </c>
      <c r="D191" s="39" t="n">
        <f aca="false">ROUND(X190*(1+N('My Debts'!$D$8)/12),2)</f>
        <v>0</v>
      </c>
      <c r="E191" s="39" t="n">
        <f aca="false">ROUND(Y190*(1+N('My Debts'!$D$9)/12),2)</f>
        <v>0</v>
      </c>
      <c r="F191" s="39" t="n">
        <f aca="false">ROUND(Z190*(1+N('My Debts'!$D$10)/12),2)</f>
        <v>0</v>
      </c>
      <c r="G191" s="39" t="n">
        <f aca="false">ROUND(AA190*(1+N('My Debts'!$D$11)/12),2)</f>
        <v>0</v>
      </c>
      <c r="H191" s="39" t="n">
        <f aca="false">ROUND(AB190*(1+N('My Debts'!$D$12)/12),2)</f>
        <v>0</v>
      </c>
      <c r="I191" s="39" t="n">
        <f aca="false">ROUND(AC190*(1+N('My Debts'!$D$13)/12),2)</f>
        <v>0</v>
      </c>
      <c r="J191" s="39" t="n">
        <f aca="false">ROUND(AD190*(1+N('My Debts'!$D$14)/12),2)</f>
        <v>0</v>
      </c>
      <c r="K191" s="39" t="n">
        <f aca="false">ROUND(AE190*(1+N('My Debts'!$D$15)/12),2)</f>
        <v>0</v>
      </c>
      <c r="L191" s="39" t="n">
        <f aca="false">MIN(N('My Debts'!$E$6),B191)</f>
        <v>0</v>
      </c>
      <c r="M191" s="39" t="n">
        <f aca="false">MIN(N('My Debts'!$E$7),C191)</f>
        <v>0</v>
      </c>
      <c r="N191" s="39" t="n">
        <f aca="false">MIN(N('My Debts'!$E$8),D191)</f>
        <v>0</v>
      </c>
      <c r="O191" s="39" t="n">
        <f aca="false">MIN(N('My Debts'!$E$9),E191)</f>
        <v>0</v>
      </c>
      <c r="P191" s="39" t="n">
        <f aca="false">MIN(N('My Debts'!$E$10),F191)</f>
        <v>0</v>
      </c>
      <c r="Q191" s="39" t="n">
        <f aca="false">MIN(N('My Debts'!$E$11),G191)</f>
        <v>0</v>
      </c>
      <c r="R191" s="39" t="n">
        <f aca="false">MIN(N('My Debts'!$E$12),H191)</f>
        <v>0</v>
      </c>
      <c r="S191" s="39" t="n">
        <f aca="false">MIN(N('My Debts'!$E$13),I191)</f>
        <v>0</v>
      </c>
      <c r="T191" s="39" t="n">
        <f aca="false">MIN(N('My Debts'!$E$14),J191)</f>
        <v>0</v>
      </c>
      <c r="U191" s="39" t="n">
        <f aca="false">MIN(N('My Debts'!$E$15),K191)</f>
        <v>0</v>
      </c>
      <c r="V191" s="39" t="n">
        <f aca="false">ROUND(B191-L191-MIN(B191-L191,MAX(0,$AF191-SUMPRODUCT(--($B$4:$K$4&lt;B$4),$B191:$K191-$L191:$U191))),2)</f>
        <v>0</v>
      </c>
      <c r="W191" s="39" t="n">
        <f aca="false">ROUND(C191-M191-MIN(C191-M191,MAX(0,$AF191-SUMPRODUCT(--($B$4:$K$4&lt;C$4),$B191:$K191-$L191:$U191))),2)</f>
        <v>0</v>
      </c>
      <c r="X191" s="39" t="n">
        <f aca="false">ROUND(D191-N191-MIN(D191-N191,MAX(0,$AF191-SUMPRODUCT(--($B$4:$K$4&lt;D$4),$B191:$K191-$L191:$U191))),2)</f>
        <v>0</v>
      </c>
      <c r="Y191" s="39" t="n">
        <f aca="false">ROUND(E191-O191-MIN(E191-O191,MAX(0,$AF191-SUMPRODUCT(--($B$4:$K$4&lt;E$4),$B191:$K191-$L191:$U191))),2)</f>
        <v>0</v>
      </c>
      <c r="Z191" s="39" t="n">
        <f aca="false">ROUND(F191-P191-MIN(F191-P191,MAX(0,$AF191-SUMPRODUCT(--($B$4:$K$4&lt;F$4),$B191:$K191-$L191:$U191))),2)</f>
        <v>0</v>
      </c>
      <c r="AA191" s="39" t="n">
        <f aca="false">ROUND(G191-Q191-MIN(G191-Q191,MAX(0,$AF191-SUMPRODUCT(--($B$4:$K$4&lt;G$4),$B191:$K191-$L191:$U191))),2)</f>
        <v>0</v>
      </c>
      <c r="AB191" s="39" t="n">
        <f aca="false">ROUND(H191-R191-MIN(H191-R191,MAX(0,$AF191-SUMPRODUCT(--($B$4:$K$4&lt;H$4),$B191:$K191-$L191:$U191))),2)</f>
        <v>0</v>
      </c>
      <c r="AC191" s="39" t="n">
        <f aca="false">ROUND(I191-S191-MIN(I191-S191,MAX(0,$AF191-SUMPRODUCT(--($B$4:$K$4&lt;I$4),$B191:$K191-$L191:$U191))),2)</f>
        <v>0</v>
      </c>
      <c r="AD191" s="39" t="n">
        <f aca="false">ROUND(J191-T191-MIN(J191-T191,MAX(0,$AF191-SUMPRODUCT(--($B$4:$K$4&lt;J$4),$B191:$K191-$L191:$U191))),2)</f>
        <v>0</v>
      </c>
      <c r="AE191" s="39" t="n">
        <f aca="false">ROUND(K191-U191-MIN(K191-U191,MAX(0,$AF191-SUMPRODUCT(--($B$4:$K$4&lt;K$4),$B191:$K191-$L191:$U191))),2)</f>
        <v>0</v>
      </c>
      <c r="AF191" s="39" t="n">
        <f aca="false">MAX(0,'Start Here'!$C$5-SUM($L191:$U191))</f>
        <v>1200</v>
      </c>
      <c r="AG191" s="39" t="n">
        <f aca="false">SUM(V191:AE191)</f>
        <v>0</v>
      </c>
      <c r="AH191" s="39" t="n">
        <f aca="false">SUM(B191:K191)-AG190</f>
        <v>0</v>
      </c>
    </row>
    <row r="192" customFormat="false" ht="15" hidden="false" customHeight="false" outlineLevel="0" collapsed="false">
      <c r="A192" s="40" t="n">
        <f aca="false">DATE(YEAR('Start Here'!$C$6),MONTH('Start Here'!$C$6)+185,1)</f>
        <v>51926</v>
      </c>
      <c r="B192" s="39" t="n">
        <f aca="false">ROUND(V191*(1+N('My Debts'!$D$6)/12),2)</f>
        <v>0</v>
      </c>
      <c r="C192" s="39" t="n">
        <f aca="false">ROUND(W191*(1+N('My Debts'!$D$7)/12),2)</f>
        <v>0</v>
      </c>
      <c r="D192" s="39" t="n">
        <f aca="false">ROUND(X191*(1+N('My Debts'!$D$8)/12),2)</f>
        <v>0</v>
      </c>
      <c r="E192" s="39" t="n">
        <f aca="false">ROUND(Y191*(1+N('My Debts'!$D$9)/12),2)</f>
        <v>0</v>
      </c>
      <c r="F192" s="39" t="n">
        <f aca="false">ROUND(Z191*(1+N('My Debts'!$D$10)/12),2)</f>
        <v>0</v>
      </c>
      <c r="G192" s="39" t="n">
        <f aca="false">ROUND(AA191*(1+N('My Debts'!$D$11)/12),2)</f>
        <v>0</v>
      </c>
      <c r="H192" s="39" t="n">
        <f aca="false">ROUND(AB191*(1+N('My Debts'!$D$12)/12),2)</f>
        <v>0</v>
      </c>
      <c r="I192" s="39" t="n">
        <f aca="false">ROUND(AC191*(1+N('My Debts'!$D$13)/12),2)</f>
        <v>0</v>
      </c>
      <c r="J192" s="39" t="n">
        <f aca="false">ROUND(AD191*(1+N('My Debts'!$D$14)/12),2)</f>
        <v>0</v>
      </c>
      <c r="K192" s="39" t="n">
        <f aca="false">ROUND(AE191*(1+N('My Debts'!$D$15)/12),2)</f>
        <v>0</v>
      </c>
      <c r="L192" s="39" t="n">
        <f aca="false">MIN(N('My Debts'!$E$6),B192)</f>
        <v>0</v>
      </c>
      <c r="M192" s="39" t="n">
        <f aca="false">MIN(N('My Debts'!$E$7),C192)</f>
        <v>0</v>
      </c>
      <c r="N192" s="39" t="n">
        <f aca="false">MIN(N('My Debts'!$E$8),D192)</f>
        <v>0</v>
      </c>
      <c r="O192" s="39" t="n">
        <f aca="false">MIN(N('My Debts'!$E$9),E192)</f>
        <v>0</v>
      </c>
      <c r="P192" s="39" t="n">
        <f aca="false">MIN(N('My Debts'!$E$10),F192)</f>
        <v>0</v>
      </c>
      <c r="Q192" s="39" t="n">
        <f aca="false">MIN(N('My Debts'!$E$11),G192)</f>
        <v>0</v>
      </c>
      <c r="R192" s="39" t="n">
        <f aca="false">MIN(N('My Debts'!$E$12),H192)</f>
        <v>0</v>
      </c>
      <c r="S192" s="39" t="n">
        <f aca="false">MIN(N('My Debts'!$E$13),I192)</f>
        <v>0</v>
      </c>
      <c r="T192" s="39" t="n">
        <f aca="false">MIN(N('My Debts'!$E$14),J192)</f>
        <v>0</v>
      </c>
      <c r="U192" s="39" t="n">
        <f aca="false">MIN(N('My Debts'!$E$15),K192)</f>
        <v>0</v>
      </c>
      <c r="V192" s="39" t="n">
        <f aca="false">ROUND(B192-L192-MIN(B192-L192,MAX(0,$AF192-SUMPRODUCT(--($B$4:$K$4&lt;B$4),$B192:$K192-$L192:$U192))),2)</f>
        <v>0</v>
      </c>
      <c r="W192" s="39" t="n">
        <f aca="false">ROUND(C192-M192-MIN(C192-M192,MAX(0,$AF192-SUMPRODUCT(--($B$4:$K$4&lt;C$4),$B192:$K192-$L192:$U192))),2)</f>
        <v>0</v>
      </c>
      <c r="X192" s="39" t="n">
        <f aca="false">ROUND(D192-N192-MIN(D192-N192,MAX(0,$AF192-SUMPRODUCT(--($B$4:$K$4&lt;D$4),$B192:$K192-$L192:$U192))),2)</f>
        <v>0</v>
      </c>
      <c r="Y192" s="39" t="n">
        <f aca="false">ROUND(E192-O192-MIN(E192-O192,MAX(0,$AF192-SUMPRODUCT(--($B$4:$K$4&lt;E$4),$B192:$K192-$L192:$U192))),2)</f>
        <v>0</v>
      </c>
      <c r="Z192" s="39" t="n">
        <f aca="false">ROUND(F192-P192-MIN(F192-P192,MAX(0,$AF192-SUMPRODUCT(--($B$4:$K$4&lt;F$4),$B192:$K192-$L192:$U192))),2)</f>
        <v>0</v>
      </c>
      <c r="AA192" s="39" t="n">
        <f aca="false">ROUND(G192-Q192-MIN(G192-Q192,MAX(0,$AF192-SUMPRODUCT(--($B$4:$K$4&lt;G$4),$B192:$K192-$L192:$U192))),2)</f>
        <v>0</v>
      </c>
      <c r="AB192" s="39" t="n">
        <f aca="false">ROUND(H192-R192-MIN(H192-R192,MAX(0,$AF192-SUMPRODUCT(--($B$4:$K$4&lt;H$4),$B192:$K192-$L192:$U192))),2)</f>
        <v>0</v>
      </c>
      <c r="AC192" s="39" t="n">
        <f aca="false">ROUND(I192-S192-MIN(I192-S192,MAX(0,$AF192-SUMPRODUCT(--($B$4:$K$4&lt;I$4),$B192:$K192-$L192:$U192))),2)</f>
        <v>0</v>
      </c>
      <c r="AD192" s="39" t="n">
        <f aca="false">ROUND(J192-T192-MIN(J192-T192,MAX(0,$AF192-SUMPRODUCT(--($B$4:$K$4&lt;J$4),$B192:$K192-$L192:$U192))),2)</f>
        <v>0</v>
      </c>
      <c r="AE192" s="39" t="n">
        <f aca="false">ROUND(K192-U192-MIN(K192-U192,MAX(0,$AF192-SUMPRODUCT(--($B$4:$K$4&lt;K$4),$B192:$K192-$L192:$U192))),2)</f>
        <v>0</v>
      </c>
      <c r="AF192" s="39" t="n">
        <f aca="false">MAX(0,'Start Here'!$C$5-SUM($L192:$U192))</f>
        <v>1200</v>
      </c>
      <c r="AG192" s="39" t="n">
        <f aca="false">SUM(V192:AE192)</f>
        <v>0</v>
      </c>
      <c r="AH192" s="39" t="n">
        <f aca="false">SUM(B192:K192)-AG191</f>
        <v>0</v>
      </c>
    </row>
    <row r="193" customFormat="false" ht="15" hidden="false" customHeight="false" outlineLevel="0" collapsed="false">
      <c r="A193" s="40" t="n">
        <f aca="false">DATE(YEAR('Start Here'!$C$6),MONTH('Start Here'!$C$6)+186,1)</f>
        <v>51957</v>
      </c>
      <c r="B193" s="39" t="n">
        <f aca="false">ROUND(V192*(1+N('My Debts'!$D$6)/12),2)</f>
        <v>0</v>
      </c>
      <c r="C193" s="39" t="n">
        <f aca="false">ROUND(W192*(1+N('My Debts'!$D$7)/12),2)</f>
        <v>0</v>
      </c>
      <c r="D193" s="39" t="n">
        <f aca="false">ROUND(X192*(1+N('My Debts'!$D$8)/12),2)</f>
        <v>0</v>
      </c>
      <c r="E193" s="39" t="n">
        <f aca="false">ROUND(Y192*(1+N('My Debts'!$D$9)/12),2)</f>
        <v>0</v>
      </c>
      <c r="F193" s="39" t="n">
        <f aca="false">ROUND(Z192*(1+N('My Debts'!$D$10)/12),2)</f>
        <v>0</v>
      </c>
      <c r="G193" s="39" t="n">
        <f aca="false">ROUND(AA192*(1+N('My Debts'!$D$11)/12),2)</f>
        <v>0</v>
      </c>
      <c r="H193" s="39" t="n">
        <f aca="false">ROUND(AB192*(1+N('My Debts'!$D$12)/12),2)</f>
        <v>0</v>
      </c>
      <c r="I193" s="39" t="n">
        <f aca="false">ROUND(AC192*(1+N('My Debts'!$D$13)/12),2)</f>
        <v>0</v>
      </c>
      <c r="J193" s="39" t="n">
        <f aca="false">ROUND(AD192*(1+N('My Debts'!$D$14)/12),2)</f>
        <v>0</v>
      </c>
      <c r="K193" s="39" t="n">
        <f aca="false">ROUND(AE192*(1+N('My Debts'!$D$15)/12),2)</f>
        <v>0</v>
      </c>
      <c r="L193" s="39" t="n">
        <f aca="false">MIN(N('My Debts'!$E$6),B193)</f>
        <v>0</v>
      </c>
      <c r="M193" s="39" t="n">
        <f aca="false">MIN(N('My Debts'!$E$7),C193)</f>
        <v>0</v>
      </c>
      <c r="N193" s="39" t="n">
        <f aca="false">MIN(N('My Debts'!$E$8),D193)</f>
        <v>0</v>
      </c>
      <c r="O193" s="39" t="n">
        <f aca="false">MIN(N('My Debts'!$E$9),E193)</f>
        <v>0</v>
      </c>
      <c r="P193" s="39" t="n">
        <f aca="false">MIN(N('My Debts'!$E$10),F193)</f>
        <v>0</v>
      </c>
      <c r="Q193" s="39" t="n">
        <f aca="false">MIN(N('My Debts'!$E$11),G193)</f>
        <v>0</v>
      </c>
      <c r="R193" s="39" t="n">
        <f aca="false">MIN(N('My Debts'!$E$12),H193)</f>
        <v>0</v>
      </c>
      <c r="S193" s="39" t="n">
        <f aca="false">MIN(N('My Debts'!$E$13),I193)</f>
        <v>0</v>
      </c>
      <c r="T193" s="39" t="n">
        <f aca="false">MIN(N('My Debts'!$E$14),J193)</f>
        <v>0</v>
      </c>
      <c r="U193" s="39" t="n">
        <f aca="false">MIN(N('My Debts'!$E$15),K193)</f>
        <v>0</v>
      </c>
      <c r="V193" s="39" t="n">
        <f aca="false">ROUND(B193-L193-MIN(B193-L193,MAX(0,$AF193-SUMPRODUCT(--($B$4:$K$4&lt;B$4),$B193:$K193-$L193:$U193))),2)</f>
        <v>0</v>
      </c>
      <c r="W193" s="39" t="n">
        <f aca="false">ROUND(C193-M193-MIN(C193-M193,MAX(0,$AF193-SUMPRODUCT(--($B$4:$K$4&lt;C$4),$B193:$K193-$L193:$U193))),2)</f>
        <v>0</v>
      </c>
      <c r="X193" s="39" t="n">
        <f aca="false">ROUND(D193-N193-MIN(D193-N193,MAX(0,$AF193-SUMPRODUCT(--($B$4:$K$4&lt;D$4),$B193:$K193-$L193:$U193))),2)</f>
        <v>0</v>
      </c>
      <c r="Y193" s="39" t="n">
        <f aca="false">ROUND(E193-O193-MIN(E193-O193,MAX(0,$AF193-SUMPRODUCT(--($B$4:$K$4&lt;E$4),$B193:$K193-$L193:$U193))),2)</f>
        <v>0</v>
      </c>
      <c r="Z193" s="39" t="n">
        <f aca="false">ROUND(F193-P193-MIN(F193-P193,MAX(0,$AF193-SUMPRODUCT(--($B$4:$K$4&lt;F$4),$B193:$K193-$L193:$U193))),2)</f>
        <v>0</v>
      </c>
      <c r="AA193" s="39" t="n">
        <f aca="false">ROUND(G193-Q193-MIN(G193-Q193,MAX(0,$AF193-SUMPRODUCT(--($B$4:$K$4&lt;G$4),$B193:$K193-$L193:$U193))),2)</f>
        <v>0</v>
      </c>
      <c r="AB193" s="39" t="n">
        <f aca="false">ROUND(H193-R193-MIN(H193-R193,MAX(0,$AF193-SUMPRODUCT(--($B$4:$K$4&lt;H$4),$B193:$K193-$L193:$U193))),2)</f>
        <v>0</v>
      </c>
      <c r="AC193" s="39" t="n">
        <f aca="false">ROUND(I193-S193-MIN(I193-S193,MAX(0,$AF193-SUMPRODUCT(--($B$4:$K$4&lt;I$4),$B193:$K193-$L193:$U193))),2)</f>
        <v>0</v>
      </c>
      <c r="AD193" s="39" t="n">
        <f aca="false">ROUND(J193-T193-MIN(J193-T193,MAX(0,$AF193-SUMPRODUCT(--($B$4:$K$4&lt;J$4),$B193:$K193-$L193:$U193))),2)</f>
        <v>0</v>
      </c>
      <c r="AE193" s="39" t="n">
        <f aca="false">ROUND(K193-U193-MIN(K193-U193,MAX(0,$AF193-SUMPRODUCT(--($B$4:$K$4&lt;K$4),$B193:$K193-$L193:$U193))),2)</f>
        <v>0</v>
      </c>
      <c r="AF193" s="39" t="n">
        <f aca="false">MAX(0,'Start Here'!$C$5-SUM($L193:$U193))</f>
        <v>1200</v>
      </c>
      <c r="AG193" s="39" t="n">
        <f aca="false">SUM(V193:AE193)</f>
        <v>0</v>
      </c>
      <c r="AH193" s="39" t="n">
        <f aca="false">SUM(B193:K193)-AG192</f>
        <v>0</v>
      </c>
    </row>
    <row r="194" customFormat="false" ht="15" hidden="false" customHeight="false" outlineLevel="0" collapsed="false">
      <c r="A194" s="40" t="n">
        <f aca="false">DATE(YEAR('Start Here'!$C$6),MONTH('Start Here'!$C$6)+187,1)</f>
        <v>51987</v>
      </c>
      <c r="B194" s="39" t="n">
        <f aca="false">ROUND(V193*(1+N('My Debts'!$D$6)/12),2)</f>
        <v>0</v>
      </c>
      <c r="C194" s="39" t="n">
        <f aca="false">ROUND(W193*(1+N('My Debts'!$D$7)/12),2)</f>
        <v>0</v>
      </c>
      <c r="D194" s="39" t="n">
        <f aca="false">ROUND(X193*(1+N('My Debts'!$D$8)/12),2)</f>
        <v>0</v>
      </c>
      <c r="E194" s="39" t="n">
        <f aca="false">ROUND(Y193*(1+N('My Debts'!$D$9)/12),2)</f>
        <v>0</v>
      </c>
      <c r="F194" s="39" t="n">
        <f aca="false">ROUND(Z193*(1+N('My Debts'!$D$10)/12),2)</f>
        <v>0</v>
      </c>
      <c r="G194" s="39" t="n">
        <f aca="false">ROUND(AA193*(1+N('My Debts'!$D$11)/12),2)</f>
        <v>0</v>
      </c>
      <c r="H194" s="39" t="n">
        <f aca="false">ROUND(AB193*(1+N('My Debts'!$D$12)/12),2)</f>
        <v>0</v>
      </c>
      <c r="I194" s="39" t="n">
        <f aca="false">ROUND(AC193*(1+N('My Debts'!$D$13)/12),2)</f>
        <v>0</v>
      </c>
      <c r="J194" s="39" t="n">
        <f aca="false">ROUND(AD193*(1+N('My Debts'!$D$14)/12),2)</f>
        <v>0</v>
      </c>
      <c r="K194" s="39" t="n">
        <f aca="false">ROUND(AE193*(1+N('My Debts'!$D$15)/12),2)</f>
        <v>0</v>
      </c>
      <c r="L194" s="39" t="n">
        <f aca="false">MIN(N('My Debts'!$E$6),B194)</f>
        <v>0</v>
      </c>
      <c r="M194" s="39" t="n">
        <f aca="false">MIN(N('My Debts'!$E$7),C194)</f>
        <v>0</v>
      </c>
      <c r="N194" s="39" t="n">
        <f aca="false">MIN(N('My Debts'!$E$8),D194)</f>
        <v>0</v>
      </c>
      <c r="O194" s="39" t="n">
        <f aca="false">MIN(N('My Debts'!$E$9),E194)</f>
        <v>0</v>
      </c>
      <c r="P194" s="39" t="n">
        <f aca="false">MIN(N('My Debts'!$E$10),F194)</f>
        <v>0</v>
      </c>
      <c r="Q194" s="39" t="n">
        <f aca="false">MIN(N('My Debts'!$E$11),G194)</f>
        <v>0</v>
      </c>
      <c r="R194" s="39" t="n">
        <f aca="false">MIN(N('My Debts'!$E$12),H194)</f>
        <v>0</v>
      </c>
      <c r="S194" s="39" t="n">
        <f aca="false">MIN(N('My Debts'!$E$13),I194)</f>
        <v>0</v>
      </c>
      <c r="T194" s="39" t="n">
        <f aca="false">MIN(N('My Debts'!$E$14),J194)</f>
        <v>0</v>
      </c>
      <c r="U194" s="39" t="n">
        <f aca="false">MIN(N('My Debts'!$E$15),K194)</f>
        <v>0</v>
      </c>
      <c r="V194" s="39" t="n">
        <f aca="false">ROUND(B194-L194-MIN(B194-L194,MAX(0,$AF194-SUMPRODUCT(--($B$4:$K$4&lt;B$4),$B194:$K194-$L194:$U194))),2)</f>
        <v>0</v>
      </c>
      <c r="W194" s="39" t="n">
        <f aca="false">ROUND(C194-M194-MIN(C194-M194,MAX(0,$AF194-SUMPRODUCT(--($B$4:$K$4&lt;C$4),$B194:$K194-$L194:$U194))),2)</f>
        <v>0</v>
      </c>
      <c r="X194" s="39" t="n">
        <f aca="false">ROUND(D194-N194-MIN(D194-N194,MAX(0,$AF194-SUMPRODUCT(--($B$4:$K$4&lt;D$4),$B194:$K194-$L194:$U194))),2)</f>
        <v>0</v>
      </c>
      <c r="Y194" s="39" t="n">
        <f aca="false">ROUND(E194-O194-MIN(E194-O194,MAX(0,$AF194-SUMPRODUCT(--($B$4:$K$4&lt;E$4),$B194:$K194-$L194:$U194))),2)</f>
        <v>0</v>
      </c>
      <c r="Z194" s="39" t="n">
        <f aca="false">ROUND(F194-P194-MIN(F194-P194,MAX(0,$AF194-SUMPRODUCT(--($B$4:$K$4&lt;F$4),$B194:$K194-$L194:$U194))),2)</f>
        <v>0</v>
      </c>
      <c r="AA194" s="39" t="n">
        <f aca="false">ROUND(G194-Q194-MIN(G194-Q194,MAX(0,$AF194-SUMPRODUCT(--($B$4:$K$4&lt;G$4),$B194:$K194-$L194:$U194))),2)</f>
        <v>0</v>
      </c>
      <c r="AB194" s="39" t="n">
        <f aca="false">ROUND(H194-R194-MIN(H194-R194,MAX(0,$AF194-SUMPRODUCT(--($B$4:$K$4&lt;H$4),$B194:$K194-$L194:$U194))),2)</f>
        <v>0</v>
      </c>
      <c r="AC194" s="39" t="n">
        <f aca="false">ROUND(I194-S194-MIN(I194-S194,MAX(0,$AF194-SUMPRODUCT(--($B$4:$K$4&lt;I$4),$B194:$K194-$L194:$U194))),2)</f>
        <v>0</v>
      </c>
      <c r="AD194" s="39" t="n">
        <f aca="false">ROUND(J194-T194-MIN(J194-T194,MAX(0,$AF194-SUMPRODUCT(--($B$4:$K$4&lt;J$4),$B194:$K194-$L194:$U194))),2)</f>
        <v>0</v>
      </c>
      <c r="AE194" s="39" t="n">
        <f aca="false">ROUND(K194-U194-MIN(K194-U194,MAX(0,$AF194-SUMPRODUCT(--($B$4:$K$4&lt;K$4),$B194:$K194-$L194:$U194))),2)</f>
        <v>0</v>
      </c>
      <c r="AF194" s="39" t="n">
        <f aca="false">MAX(0,'Start Here'!$C$5-SUM($L194:$U194))</f>
        <v>1200</v>
      </c>
      <c r="AG194" s="39" t="n">
        <f aca="false">SUM(V194:AE194)</f>
        <v>0</v>
      </c>
      <c r="AH194" s="39" t="n">
        <f aca="false">SUM(B194:K194)-AG193</f>
        <v>0</v>
      </c>
    </row>
    <row r="195" customFormat="false" ht="15" hidden="false" customHeight="false" outlineLevel="0" collapsed="false">
      <c r="A195" s="40" t="n">
        <f aca="false">DATE(YEAR('Start Here'!$C$6),MONTH('Start Here'!$C$6)+188,1)</f>
        <v>52018</v>
      </c>
      <c r="B195" s="39" t="n">
        <f aca="false">ROUND(V194*(1+N('My Debts'!$D$6)/12),2)</f>
        <v>0</v>
      </c>
      <c r="C195" s="39" t="n">
        <f aca="false">ROUND(W194*(1+N('My Debts'!$D$7)/12),2)</f>
        <v>0</v>
      </c>
      <c r="D195" s="39" t="n">
        <f aca="false">ROUND(X194*(1+N('My Debts'!$D$8)/12),2)</f>
        <v>0</v>
      </c>
      <c r="E195" s="39" t="n">
        <f aca="false">ROUND(Y194*(1+N('My Debts'!$D$9)/12),2)</f>
        <v>0</v>
      </c>
      <c r="F195" s="39" t="n">
        <f aca="false">ROUND(Z194*(1+N('My Debts'!$D$10)/12),2)</f>
        <v>0</v>
      </c>
      <c r="G195" s="39" t="n">
        <f aca="false">ROUND(AA194*(1+N('My Debts'!$D$11)/12),2)</f>
        <v>0</v>
      </c>
      <c r="H195" s="39" t="n">
        <f aca="false">ROUND(AB194*(1+N('My Debts'!$D$12)/12),2)</f>
        <v>0</v>
      </c>
      <c r="I195" s="39" t="n">
        <f aca="false">ROUND(AC194*(1+N('My Debts'!$D$13)/12),2)</f>
        <v>0</v>
      </c>
      <c r="J195" s="39" t="n">
        <f aca="false">ROUND(AD194*(1+N('My Debts'!$D$14)/12),2)</f>
        <v>0</v>
      </c>
      <c r="K195" s="39" t="n">
        <f aca="false">ROUND(AE194*(1+N('My Debts'!$D$15)/12),2)</f>
        <v>0</v>
      </c>
      <c r="L195" s="39" t="n">
        <f aca="false">MIN(N('My Debts'!$E$6),B195)</f>
        <v>0</v>
      </c>
      <c r="M195" s="39" t="n">
        <f aca="false">MIN(N('My Debts'!$E$7),C195)</f>
        <v>0</v>
      </c>
      <c r="N195" s="39" t="n">
        <f aca="false">MIN(N('My Debts'!$E$8),D195)</f>
        <v>0</v>
      </c>
      <c r="O195" s="39" t="n">
        <f aca="false">MIN(N('My Debts'!$E$9),E195)</f>
        <v>0</v>
      </c>
      <c r="P195" s="39" t="n">
        <f aca="false">MIN(N('My Debts'!$E$10),F195)</f>
        <v>0</v>
      </c>
      <c r="Q195" s="39" t="n">
        <f aca="false">MIN(N('My Debts'!$E$11),G195)</f>
        <v>0</v>
      </c>
      <c r="R195" s="39" t="n">
        <f aca="false">MIN(N('My Debts'!$E$12),H195)</f>
        <v>0</v>
      </c>
      <c r="S195" s="39" t="n">
        <f aca="false">MIN(N('My Debts'!$E$13),I195)</f>
        <v>0</v>
      </c>
      <c r="T195" s="39" t="n">
        <f aca="false">MIN(N('My Debts'!$E$14),J195)</f>
        <v>0</v>
      </c>
      <c r="U195" s="39" t="n">
        <f aca="false">MIN(N('My Debts'!$E$15),K195)</f>
        <v>0</v>
      </c>
      <c r="V195" s="39" t="n">
        <f aca="false">ROUND(B195-L195-MIN(B195-L195,MAX(0,$AF195-SUMPRODUCT(--($B$4:$K$4&lt;B$4),$B195:$K195-$L195:$U195))),2)</f>
        <v>0</v>
      </c>
      <c r="W195" s="39" t="n">
        <f aca="false">ROUND(C195-M195-MIN(C195-M195,MAX(0,$AF195-SUMPRODUCT(--($B$4:$K$4&lt;C$4),$B195:$K195-$L195:$U195))),2)</f>
        <v>0</v>
      </c>
      <c r="X195" s="39" t="n">
        <f aca="false">ROUND(D195-N195-MIN(D195-N195,MAX(0,$AF195-SUMPRODUCT(--($B$4:$K$4&lt;D$4),$B195:$K195-$L195:$U195))),2)</f>
        <v>0</v>
      </c>
      <c r="Y195" s="39" t="n">
        <f aca="false">ROUND(E195-O195-MIN(E195-O195,MAX(0,$AF195-SUMPRODUCT(--($B$4:$K$4&lt;E$4),$B195:$K195-$L195:$U195))),2)</f>
        <v>0</v>
      </c>
      <c r="Z195" s="39" t="n">
        <f aca="false">ROUND(F195-P195-MIN(F195-P195,MAX(0,$AF195-SUMPRODUCT(--($B$4:$K$4&lt;F$4),$B195:$K195-$L195:$U195))),2)</f>
        <v>0</v>
      </c>
      <c r="AA195" s="39" t="n">
        <f aca="false">ROUND(G195-Q195-MIN(G195-Q195,MAX(0,$AF195-SUMPRODUCT(--($B$4:$K$4&lt;G$4),$B195:$K195-$L195:$U195))),2)</f>
        <v>0</v>
      </c>
      <c r="AB195" s="39" t="n">
        <f aca="false">ROUND(H195-R195-MIN(H195-R195,MAX(0,$AF195-SUMPRODUCT(--($B$4:$K$4&lt;H$4),$B195:$K195-$L195:$U195))),2)</f>
        <v>0</v>
      </c>
      <c r="AC195" s="39" t="n">
        <f aca="false">ROUND(I195-S195-MIN(I195-S195,MAX(0,$AF195-SUMPRODUCT(--($B$4:$K$4&lt;I$4),$B195:$K195-$L195:$U195))),2)</f>
        <v>0</v>
      </c>
      <c r="AD195" s="39" t="n">
        <f aca="false">ROUND(J195-T195-MIN(J195-T195,MAX(0,$AF195-SUMPRODUCT(--($B$4:$K$4&lt;J$4),$B195:$K195-$L195:$U195))),2)</f>
        <v>0</v>
      </c>
      <c r="AE195" s="39" t="n">
        <f aca="false">ROUND(K195-U195-MIN(K195-U195,MAX(0,$AF195-SUMPRODUCT(--($B$4:$K$4&lt;K$4),$B195:$K195-$L195:$U195))),2)</f>
        <v>0</v>
      </c>
      <c r="AF195" s="39" t="n">
        <f aca="false">MAX(0,'Start Here'!$C$5-SUM($L195:$U195))</f>
        <v>1200</v>
      </c>
      <c r="AG195" s="39" t="n">
        <f aca="false">SUM(V195:AE195)</f>
        <v>0</v>
      </c>
      <c r="AH195" s="39" t="n">
        <f aca="false">SUM(B195:K195)-AG194</f>
        <v>0</v>
      </c>
    </row>
    <row r="196" customFormat="false" ht="15" hidden="false" customHeight="false" outlineLevel="0" collapsed="false">
      <c r="A196" s="40" t="n">
        <f aca="false">DATE(YEAR('Start Here'!$C$6),MONTH('Start Here'!$C$6)+189,1)</f>
        <v>52048</v>
      </c>
      <c r="B196" s="39" t="n">
        <f aca="false">ROUND(V195*(1+N('My Debts'!$D$6)/12),2)</f>
        <v>0</v>
      </c>
      <c r="C196" s="39" t="n">
        <f aca="false">ROUND(W195*(1+N('My Debts'!$D$7)/12),2)</f>
        <v>0</v>
      </c>
      <c r="D196" s="39" t="n">
        <f aca="false">ROUND(X195*(1+N('My Debts'!$D$8)/12),2)</f>
        <v>0</v>
      </c>
      <c r="E196" s="39" t="n">
        <f aca="false">ROUND(Y195*(1+N('My Debts'!$D$9)/12),2)</f>
        <v>0</v>
      </c>
      <c r="F196" s="39" t="n">
        <f aca="false">ROUND(Z195*(1+N('My Debts'!$D$10)/12),2)</f>
        <v>0</v>
      </c>
      <c r="G196" s="39" t="n">
        <f aca="false">ROUND(AA195*(1+N('My Debts'!$D$11)/12),2)</f>
        <v>0</v>
      </c>
      <c r="H196" s="39" t="n">
        <f aca="false">ROUND(AB195*(1+N('My Debts'!$D$12)/12),2)</f>
        <v>0</v>
      </c>
      <c r="I196" s="39" t="n">
        <f aca="false">ROUND(AC195*(1+N('My Debts'!$D$13)/12),2)</f>
        <v>0</v>
      </c>
      <c r="J196" s="39" t="n">
        <f aca="false">ROUND(AD195*(1+N('My Debts'!$D$14)/12),2)</f>
        <v>0</v>
      </c>
      <c r="K196" s="39" t="n">
        <f aca="false">ROUND(AE195*(1+N('My Debts'!$D$15)/12),2)</f>
        <v>0</v>
      </c>
      <c r="L196" s="39" t="n">
        <f aca="false">MIN(N('My Debts'!$E$6),B196)</f>
        <v>0</v>
      </c>
      <c r="M196" s="39" t="n">
        <f aca="false">MIN(N('My Debts'!$E$7),C196)</f>
        <v>0</v>
      </c>
      <c r="N196" s="39" t="n">
        <f aca="false">MIN(N('My Debts'!$E$8),D196)</f>
        <v>0</v>
      </c>
      <c r="O196" s="39" t="n">
        <f aca="false">MIN(N('My Debts'!$E$9),E196)</f>
        <v>0</v>
      </c>
      <c r="P196" s="39" t="n">
        <f aca="false">MIN(N('My Debts'!$E$10),F196)</f>
        <v>0</v>
      </c>
      <c r="Q196" s="39" t="n">
        <f aca="false">MIN(N('My Debts'!$E$11),G196)</f>
        <v>0</v>
      </c>
      <c r="R196" s="39" t="n">
        <f aca="false">MIN(N('My Debts'!$E$12),H196)</f>
        <v>0</v>
      </c>
      <c r="S196" s="39" t="n">
        <f aca="false">MIN(N('My Debts'!$E$13),I196)</f>
        <v>0</v>
      </c>
      <c r="T196" s="39" t="n">
        <f aca="false">MIN(N('My Debts'!$E$14),J196)</f>
        <v>0</v>
      </c>
      <c r="U196" s="39" t="n">
        <f aca="false">MIN(N('My Debts'!$E$15),K196)</f>
        <v>0</v>
      </c>
      <c r="V196" s="39" t="n">
        <f aca="false">ROUND(B196-L196-MIN(B196-L196,MAX(0,$AF196-SUMPRODUCT(--($B$4:$K$4&lt;B$4),$B196:$K196-$L196:$U196))),2)</f>
        <v>0</v>
      </c>
      <c r="W196" s="39" t="n">
        <f aca="false">ROUND(C196-M196-MIN(C196-M196,MAX(0,$AF196-SUMPRODUCT(--($B$4:$K$4&lt;C$4),$B196:$K196-$L196:$U196))),2)</f>
        <v>0</v>
      </c>
      <c r="X196" s="39" t="n">
        <f aca="false">ROUND(D196-N196-MIN(D196-N196,MAX(0,$AF196-SUMPRODUCT(--($B$4:$K$4&lt;D$4),$B196:$K196-$L196:$U196))),2)</f>
        <v>0</v>
      </c>
      <c r="Y196" s="39" t="n">
        <f aca="false">ROUND(E196-O196-MIN(E196-O196,MAX(0,$AF196-SUMPRODUCT(--($B$4:$K$4&lt;E$4),$B196:$K196-$L196:$U196))),2)</f>
        <v>0</v>
      </c>
      <c r="Z196" s="39" t="n">
        <f aca="false">ROUND(F196-P196-MIN(F196-P196,MAX(0,$AF196-SUMPRODUCT(--($B$4:$K$4&lt;F$4),$B196:$K196-$L196:$U196))),2)</f>
        <v>0</v>
      </c>
      <c r="AA196" s="39" t="n">
        <f aca="false">ROUND(G196-Q196-MIN(G196-Q196,MAX(0,$AF196-SUMPRODUCT(--($B$4:$K$4&lt;G$4),$B196:$K196-$L196:$U196))),2)</f>
        <v>0</v>
      </c>
      <c r="AB196" s="39" t="n">
        <f aca="false">ROUND(H196-R196-MIN(H196-R196,MAX(0,$AF196-SUMPRODUCT(--($B$4:$K$4&lt;H$4),$B196:$K196-$L196:$U196))),2)</f>
        <v>0</v>
      </c>
      <c r="AC196" s="39" t="n">
        <f aca="false">ROUND(I196-S196-MIN(I196-S196,MAX(0,$AF196-SUMPRODUCT(--($B$4:$K$4&lt;I$4),$B196:$K196-$L196:$U196))),2)</f>
        <v>0</v>
      </c>
      <c r="AD196" s="39" t="n">
        <f aca="false">ROUND(J196-T196-MIN(J196-T196,MAX(0,$AF196-SUMPRODUCT(--($B$4:$K$4&lt;J$4),$B196:$K196-$L196:$U196))),2)</f>
        <v>0</v>
      </c>
      <c r="AE196" s="39" t="n">
        <f aca="false">ROUND(K196-U196-MIN(K196-U196,MAX(0,$AF196-SUMPRODUCT(--($B$4:$K$4&lt;K$4),$B196:$K196-$L196:$U196))),2)</f>
        <v>0</v>
      </c>
      <c r="AF196" s="39" t="n">
        <f aca="false">MAX(0,'Start Here'!$C$5-SUM($L196:$U196))</f>
        <v>1200</v>
      </c>
      <c r="AG196" s="39" t="n">
        <f aca="false">SUM(V196:AE196)</f>
        <v>0</v>
      </c>
      <c r="AH196" s="39" t="n">
        <f aca="false">SUM(B196:K196)-AG195</f>
        <v>0</v>
      </c>
    </row>
    <row r="197" customFormat="false" ht="15" hidden="false" customHeight="false" outlineLevel="0" collapsed="false">
      <c r="A197" s="40" t="n">
        <f aca="false">DATE(YEAR('Start Here'!$C$6),MONTH('Start Here'!$C$6)+190,1)</f>
        <v>52079</v>
      </c>
      <c r="B197" s="39" t="n">
        <f aca="false">ROUND(V196*(1+N('My Debts'!$D$6)/12),2)</f>
        <v>0</v>
      </c>
      <c r="C197" s="39" t="n">
        <f aca="false">ROUND(W196*(1+N('My Debts'!$D$7)/12),2)</f>
        <v>0</v>
      </c>
      <c r="D197" s="39" t="n">
        <f aca="false">ROUND(X196*(1+N('My Debts'!$D$8)/12),2)</f>
        <v>0</v>
      </c>
      <c r="E197" s="39" t="n">
        <f aca="false">ROUND(Y196*(1+N('My Debts'!$D$9)/12),2)</f>
        <v>0</v>
      </c>
      <c r="F197" s="39" t="n">
        <f aca="false">ROUND(Z196*(1+N('My Debts'!$D$10)/12),2)</f>
        <v>0</v>
      </c>
      <c r="G197" s="39" t="n">
        <f aca="false">ROUND(AA196*(1+N('My Debts'!$D$11)/12),2)</f>
        <v>0</v>
      </c>
      <c r="H197" s="39" t="n">
        <f aca="false">ROUND(AB196*(1+N('My Debts'!$D$12)/12),2)</f>
        <v>0</v>
      </c>
      <c r="I197" s="39" t="n">
        <f aca="false">ROUND(AC196*(1+N('My Debts'!$D$13)/12),2)</f>
        <v>0</v>
      </c>
      <c r="J197" s="39" t="n">
        <f aca="false">ROUND(AD196*(1+N('My Debts'!$D$14)/12),2)</f>
        <v>0</v>
      </c>
      <c r="K197" s="39" t="n">
        <f aca="false">ROUND(AE196*(1+N('My Debts'!$D$15)/12),2)</f>
        <v>0</v>
      </c>
      <c r="L197" s="39" t="n">
        <f aca="false">MIN(N('My Debts'!$E$6),B197)</f>
        <v>0</v>
      </c>
      <c r="M197" s="39" t="n">
        <f aca="false">MIN(N('My Debts'!$E$7),C197)</f>
        <v>0</v>
      </c>
      <c r="N197" s="39" t="n">
        <f aca="false">MIN(N('My Debts'!$E$8),D197)</f>
        <v>0</v>
      </c>
      <c r="O197" s="39" t="n">
        <f aca="false">MIN(N('My Debts'!$E$9),E197)</f>
        <v>0</v>
      </c>
      <c r="P197" s="39" t="n">
        <f aca="false">MIN(N('My Debts'!$E$10),F197)</f>
        <v>0</v>
      </c>
      <c r="Q197" s="39" t="n">
        <f aca="false">MIN(N('My Debts'!$E$11),G197)</f>
        <v>0</v>
      </c>
      <c r="R197" s="39" t="n">
        <f aca="false">MIN(N('My Debts'!$E$12),H197)</f>
        <v>0</v>
      </c>
      <c r="S197" s="39" t="n">
        <f aca="false">MIN(N('My Debts'!$E$13),I197)</f>
        <v>0</v>
      </c>
      <c r="T197" s="39" t="n">
        <f aca="false">MIN(N('My Debts'!$E$14),J197)</f>
        <v>0</v>
      </c>
      <c r="U197" s="39" t="n">
        <f aca="false">MIN(N('My Debts'!$E$15),K197)</f>
        <v>0</v>
      </c>
      <c r="V197" s="39" t="n">
        <f aca="false">ROUND(B197-L197-MIN(B197-L197,MAX(0,$AF197-SUMPRODUCT(--($B$4:$K$4&lt;B$4),$B197:$K197-$L197:$U197))),2)</f>
        <v>0</v>
      </c>
      <c r="W197" s="39" t="n">
        <f aca="false">ROUND(C197-M197-MIN(C197-M197,MAX(0,$AF197-SUMPRODUCT(--($B$4:$K$4&lt;C$4),$B197:$K197-$L197:$U197))),2)</f>
        <v>0</v>
      </c>
      <c r="X197" s="39" t="n">
        <f aca="false">ROUND(D197-N197-MIN(D197-N197,MAX(0,$AF197-SUMPRODUCT(--($B$4:$K$4&lt;D$4),$B197:$K197-$L197:$U197))),2)</f>
        <v>0</v>
      </c>
      <c r="Y197" s="39" t="n">
        <f aca="false">ROUND(E197-O197-MIN(E197-O197,MAX(0,$AF197-SUMPRODUCT(--($B$4:$K$4&lt;E$4),$B197:$K197-$L197:$U197))),2)</f>
        <v>0</v>
      </c>
      <c r="Z197" s="39" t="n">
        <f aca="false">ROUND(F197-P197-MIN(F197-P197,MAX(0,$AF197-SUMPRODUCT(--($B$4:$K$4&lt;F$4),$B197:$K197-$L197:$U197))),2)</f>
        <v>0</v>
      </c>
      <c r="AA197" s="39" t="n">
        <f aca="false">ROUND(G197-Q197-MIN(G197-Q197,MAX(0,$AF197-SUMPRODUCT(--($B$4:$K$4&lt;G$4),$B197:$K197-$L197:$U197))),2)</f>
        <v>0</v>
      </c>
      <c r="AB197" s="39" t="n">
        <f aca="false">ROUND(H197-R197-MIN(H197-R197,MAX(0,$AF197-SUMPRODUCT(--($B$4:$K$4&lt;H$4),$B197:$K197-$L197:$U197))),2)</f>
        <v>0</v>
      </c>
      <c r="AC197" s="39" t="n">
        <f aca="false">ROUND(I197-S197-MIN(I197-S197,MAX(0,$AF197-SUMPRODUCT(--($B$4:$K$4&lt;I$4),$B197:$K197-$L197:$U197))),2)</f>
        <v>0</v>
      </c>
      <c r="AD197" s="39" t="n">
        <f aca="false">ROUND(J197-T197-MIN(J197-T197,MAX(0,$AF197-SUMPRODUCT(--($B$4:$K$4&lt;J$4),$B197:$K197-$L197:$U197))),2)</f>
        <v>0</v>
      </c>
      <c r="AE197" s="39" t="n">
        <f aca="false">ROUND(K197-U197-MIN(K197-U197,MAX(0,$AF197-SUMPRODUCT(--($B$4:$K$4&lt;K$4),$B197:$K197-$L197:$U197))),2)</f>
        <v>0</v>
      </c>
      <c r="AF197" s="39" t="n">
        <f aca="false">MAX(0,'Start Here'!$C$5-SUM($L197:$U197))</f>
        <v>1200</v>
      </c>
      <c r="AG197" s="39" t="n">
        <f aca="false">SUM(V197:AE197)</f>
        <v>0</v>
      </c>
      <c r="AH197" s="39" t="n">
        <f aca="false">SUM(B197:K197)-AG196</f>
        <v>0</v>
      </c>
    </row>
    <row r="198" customFormat="false" ht="15" hidden="false" customHeight="false" outlineLevel="0" collapsed="false">
      <c r="A198" s="40" t="n">
        <f aca="false">DATE(YEAR('Start Here'!$C$6),MONTH('Start Here'!$C$6)+191,1)</f>
        <v>52110</v>
      </c>
      <c r="B198" s="39" t="n">
        <f aca="false">ROUND(V197*(1+N('My Debts'!$D$6)/12),2)</f>
        <v>0</v>
      </c>
      <c r="C198" s="39" t="n">
        <f aca="false">ROUND(W197*(1+N('My Debts'!$D$7)/12),2)</f>
        <v>0</v>
      </c>
      <c r="D198" s="39" t="n">
        <f aca="false">ROUND(X197*(1+N('My Debts'!$D$8)/12),2)</f>
        <v>0</v>
      </c>
      <c r="E198" s="39" t="n">
        <f aca="false">ROUND(Y197*(1+N('My Debts'!$D$9)/12),2)</f>
        <v>0</v>
      </c>
      <c r="F198" s="39" t="n">
        <f aca="false">ROUND(Z197*(1+N('My Debts'!$D$10)/12),2)</f>
        <v>0</v>
      </c>
      <c r="G198" s="39" t="n">
        <f aca="false">ROUND(AA197*(1+N('My Debts'!$D$11)/12),2)</f>
        <v>0</v>
      </c>
      <c r="H198" s="39" t="n">
        <f aca="false">ROUND(AB197*(1+N('My Debts'!$D$12)/12),2)</f>
        <v>0</v>
      </c>
      <c r="I198" s="39" t="n">
        <f aca="false">ROUND(AC197*(1+N('My Debts'!$D$13)/12),2)</f>
        <v>0</v>
      </c>
      <c r="J198" s="39" t="n">
        <f aca="false">ROUND(AD197*(1+N('My Debts'!$D$14)/12),2)</f>
        <v>0</v>
      </c>
      <c r="K198" s="39" t="n">
        <f aca="false">ROUND(AE197*(1+N('My Debts'!$D$15)/12),2)</f>
        <v>0</v>
      </c>
      <c r="L198" s="39" t="n">
        <f aca="false">MIN(N('My Debts'!$E$6),B198)</f>
        <v>0</v>
      </c>
      <c r="M198" s="39" t="n">
        <f aca="false">MIN(N('My Debts'!$E$7),C198)</f>
        <v>0</v>
      </c>
      <c r="N198" s="39" t="n">
        <f aca="false">MIN(N('My Debts'!$E$8),D198)</f>
        <v>0</v>
      </c>
      <c r="O198" s="39" t="n">
        <f aca="false">MIN(N('My Debts'!$E$9),E198)</f>
        <v>0</v>
      </c>
      <c r="P198" s="39" t="n">
        <f aca="false">MIN(N('My Debts'!$E$10),F198)</f>
        <v>0</v>
      </c>
      <c r="Q198" s="39" t="n">
        <f aca="false">MIN(N('My Debts'!$E$11),G198)</f>
        <v>0</v>
      </c>
      <c r="R198" s="39" t="n">
        <f aca="false">MIN(N('My Debts'!$E$12),H198)</f>
        <v>0</v>
      </c>
      <c r="S198" s="39" t="n">
        <f aca="false">MIN(N('My Debts'!$E$13),I198)</f>
        <v>0</v>
      </c>
      <c r="T198" s="39" t="n">
        <f aca="false">MIN(N('My Debts'!$E$14),J198)</f>
        <v>0</v>
      </c>
      <c r="U198" s="39" t="n">
        <f aca="false">MIN(N('My Debts'!$E$15),K198)</f>
        <v>0</v>
      </c>
      <c r="V198" s="39" t="n">
        <f aca="false">ROUND(B198-L198-MIN(B198-L198,MAX(0,$AF198-SUMPRODUCT(--($B$4:$K$4&lt;B$4),$B198:$K198-$L198:$U198))),2)</f>
        <v>0</v>
      </c>
      <c r="W198" s="39" t="n">
        <f aca="false">ROUND(C198-M198-MIN(C198-M198,MAX(0,$AF198-SUMPRODUCT(--($B$4:$K$4&lt;C$4),$B198:$K198-$L198:$U198))),2)</f>
        <v>0</v>
      </c>
      <c r="X198" s="39" t="n">
        <f aca="false">ROUND(D198-N198-MIN(D198-N198,MAX(0,$AF198-SUMPRODUCT(--($B$4:$K$4&lt;D$4),$B198:$K198-$L198:$U198))),2)</f>
        <v>0</v>
      </c>
      <c r="Y198" s="39" t="n">
        <f aca="false">ROUND(E198-O198-MIN(E198-O198,MAX(0,$AF198-SUMPRODUCT(--($B$4:$K$4&lt;E$4),$B198:$K198-$L198:$U198))),2)</f>
        <v>0</v>
      </c>
      <c r="Z198" s="39" t="n">
        <f aca="false">ROUND(F198-P198-MIN(F198-P198,MAX(0,$AF198-SUMPRODUCT(--($B$4:$K$4&lt;F$4),$B198:$K198-$L198:$U198))),2)</f>
        <v>0</v>
      </c>
      <c r="AA198" s="39" t="n">
        <f aca="false">ROUND(G198-Q198-MIN(G198-Q198,MAX(0,$AF198-SUMPRODUCT(--($B$4:$K$4&lt;G$4),$B198:$K198-$L198:$U198))),2)</f>
        <v>0</v>
      </c>
      <c r="AB198" s="39" t="n">
        <f aca="false">ROUND(H198-R198-MIN(H198-R198,MAX(0,$AF198-SUMPRODUCT(--($B$4:$K$4&lt;H$4),$B198:$K198-$L198:$U198))),2)</f>
        <v>0</v>
      </c>
      <c r="AC198" s="39" t="n">
        <f aca="false">ROUND(I198-S198-MIN(I198-S198,MAX(0,$AF198-SUMPRODUCT(--($B$4:$K$4&lt;I$4),$B198:$K198-$L198:$U198))),2)</f>
        <v>0</v>
      </c>
      <c r="AD198" s="39" t="n">
        <f aca="false">ROUND(J198-T198-MIN(J198-T198,MAX(0,$AF198-SUMPRODUCT(--($B$4:$K$4&lt;J$4),$B198:$K198-$L198:$U198))),2)</f>
        <v>0</v>
      </c>
      <c r="AE198" s="39" t="n">
        <f aca="false">ROUND(K198-U198-MIN(K198-U198,MAX(0,$AF198-SUMPRODUCT(--($B$4:$K$4&lt;K$4),$B198:$K198-$L198:$U198))),2)</f>
        <v>0</v>
      </c>
      <c r="AF198" s="39" t="n">
        <f aca="false">MAX(0,'Start Here'!$C$5-SUM($L198:$U198))</f>
        <v>1200</v>
      </c>
      <c r="AG198" s="39" t="n">
        <f aca="false">SUM(V198:AE198)</f>
        <v>0</v>
      </c>
      <c r="AH198" s="39" t="n">
        <f aca="false">SUM(B198:K198)-AG197</f>
        <v>0</v>
      </c>
    </row>
    <row r="199" customFormat="false" ht="15" hidden="false" customHeight="false" outlineLevel="0" collapsed="false">
      <c r="A199" s="40" t="n">
        <f aca="false">DATE(YEAR('Start Here'!$C$6),MONTH('Start Here'!$C$6)+192,1)</f>
        <v>52140</v>
      </c>
      <c r="B199" s="39" t="n">
        <f aca="false">ROUND(V198*(1+N('My Debts'!$D$6)/12),2)</f>
        <v>0</v>
      </c>
      <c r="C199" s="39" t="n">
        <f aca="false">ROUND(W198*(1+N('My Debts'!$D$7)/12),2)</f>
        <v>0</v>
      </c>
      <c r="D199" s="39" t="n">
        <f aca="false">ROUND(X198*(1+N('My Debts'!$D$8)/12),2)</f>
        <v>0</v>
      </c>
      <c r="E199" s="39" t="n">
        <f aca="false">ROUND(Y198*(1+N('My Debts'!$D$9)/12),2)</f>
        <v>0</v>
      </c>
      <c r="F199" s="39" t="n">
        <f aca="false">ROUND(Z198*(1+N('My Debts'!$D$10)/12),2)</f>
        <v>0</v>
      </c>
      <c r="G199" s="39" t="n">
        <f aca="false">ROUND(AA198*(1+N('My Debts'!$D$11)/12),2)</f>
        <v>0</v>
      </c>
      <c r="H199" s="39" t="n">
        <f aca="false">ROUND(AB198*(1+N('My Debts'!$D$12)/12),2)</f>
        <v>0</v>
      </c>
      <c r="I199" s="39" t="n">
        <f aca="false">ROUND(AC198*(1+N('My Debts'!$D$13)/12),2)</f>
        <v>0</v>
      </c>
      <c r="J199" s="39" t="n">
        <f aca="false">ROUND(AD198*(1+N('My Debts'!$D$14)/12),2)</f>
        <v>0</v>
      </c>
      <c r="K199" s="39" t="n">
        <f aca="false">ROUND(AE198*(1+N('My Debts'!$D$15)/12),2)</f>
        <v>0</v>
      </c>
      <c r="L199" s="39" t="n">
        <f aca="false">MIN(N('My Debts'!$E$6),B199)</f>
        <v>0</v>
      </c>
      <c r="M199" s="39" t="n">
        <f aca="false">MIN(N('My Debts'!$E$7),C199)</f>
        <v>0</v>
      </c>
      <c r="N199" s="39" t="n">
        <f aca="false">MIN(N('My Debts'!$E$8),D199)</f>
        <v>0</v>
      </c>
      <c r="O199" s="39" t="n">
        <f aca="false">MIN(N('My Debts'!$E$9),E199)</f>
        <v>0</v>
      </c>
      <c r="P199" s="39" t="n">
        <f aca="false">MIN(N('My Debts'!$E$10),F199)</f>
        <v>0</v>
      </c>
      <c r="Q199" s="39" t="n">
        <f aca="false">MIN(N('My Debts'!$E$11),G199)</f>
        <v>0</v>
      </c>
      <c r="R199" s="39" t="n">
        <f aca="false">MIN(N('My Debts'!$E$12),H199)</f>
        <v>0</v>
      </c>
      <c r="S199" s="39" t="n">
        <f aca="false">MIN(N('My Debts'!$E$13),I199)</f>
        <v>0</v>
      </c>
      <c r="T199" s="39" t="n">
        <f aca="false">MIN(N('My Debts'!$E$14),J199)</f>
        <v>0</v>
      </c>
      <c r="U199" s="39" t="n">
        <f aca="false">MIN(N('My Debts'!$E$15),K199)</f>
        <v>0</v>
      </c>
      <c r="V199" s="39" t="n">
        <f aca="false">ROUND(B199-L199-MIN(B199-L199,MAX(0,$AF199-SUMPRODUCT(--($B$4:$K$4&lt;B$4),$B199:$K199-$L199:$U199))),2)</f>
        <v>0</v>
      </c>
      <c r="W199" s="39" t="n">
        <f aca="false">ROUND(C199-M199-MIN(C199-M199,MAX(0,$AF199-SUMPRODUCT(--($B$4:$K$4&lt;C$4),$B199:$K199-$L199:$U199))),2)</f>
        <v>0</v>
      </c>
      <c r="X199" s="39" t="n">
        <f aca="false">ROUND(D199-N199-MIN(D199-N199,MAX(0,$AF199-SUMPRODUCT(--($B$4:$K$4&lt;D$4),$B199:$K199-$L199:$U199))),2)</f>
        <v>0</v>
      </c>
      <c r="Y199" s="39" t="n">
        <f aca="false">ROUND(E199-O199-MIN(E199-O199,MAX(0,$AF199-SUMPRODUCT(--($B$4:$K$4&lt;E$4),$B199:$K199-$L199:$U199))),2)</f>
        <v>0</v>
      </c>
      <c r="Z199" s="39" t="n">
        <f aca="false">ROUND(F199-P199-MIN(F199-P199,MAX(0,$AF199-SUMPRODUCT(--($B$4:$K$4&lt;F$4),$B199:$K199-$L199:$U199))),2)</f>
        <v>0</v>
      </c>
      <c r="AA199" s="39" t="n">
        <f aca="false">ROUND(G199-Q199-MIN(G199-Q199,MAX(0,$AF199-SUMPRODUCT(--($B$4:$K$4&lt;G$4),$B199:$K199-$L199:$U199))),2)</f>
        <v>0</v>
      </c>
      <c r="AB199" s="39" t="n">
        <f aca="false">ROUND(H199-R199-MIN(H199-R199,MAX(0,$AF199-SUMPRODUCT(--($B$4:$K$4&lt;H$4),$B199:$K199-$L199:$U199))),2)</f>
        <v>0</v>
      </c>
      <c r="AC199" s="39" t="n">
        <f aca="false">ROUND(I199-S199-MIN(I199-S199,MAX(0,$AF199-SUMPRODUCT(--($B$4:$K$4&lt;I$4),$B199:$K199-$L199:$U199))),2)</f>
        <v>0</v>
      </c>
      <c r="AD199" s="39" t="n">
        <f aca="false">ROUND(J199-T199-MIN(J199-T199,MAX(0,$AF199-SUMPRODUCT(--($B$4:$K$4&lt;J$4),$B199:$K199-$L199:$U199))),2)</f>
        <v>0</v>
      </c>
      <c r="AE199" s="39" t="n">
        <f aca="false">ROUND(K199-U199-MIN(K199-U199,MAX(0,$AF199-SUMPRODUCT(--($B$4:$K$4&lt;K$4),$B199:$K199-$L199:$U199))),2)</f>
        <v>0</v>
      </c>
      <c r="AF199" s="39" t="n">
        <f aca="false">MAX(0,'Start Here'!$C$5-SUM($L199:$U199))</f>
        <v>1200</v>
      </c>
      <c r="AG199" s="39" t="n">
        <f aca="false">SUM(V199:AE199)</f>
        <v>0</v>
      </c>
      <c r="AH199" s="39" t="n">
        <f aca="false">SUM(B199:K199)-AG198</f>
        <v>0</v>
      </c>
    </row>
    <row r="200" customFormat="false" ht="15" hidden="false" customHeight="false" outlineLevel="0" collapsed="false">
      <c r="A200" s="40" t="n">
        <f aca="false">DATE(YEAR('Start Here'!$C$6),MONTH('Start Here'!$C$6)+193,1)</f>
        <v>52171</v>
      </c>
      <c r="B200" s="39" t="n">
        <f aca="false">ROUND(V199*(1+N('My Debts'!$D$6)/12),2)</f>
        <v>0</v>
      </c>
      <c r="C200" s="39" t="n">
        <f aca="false">ROUND(W199*(1+N('My Debts'!$D$7)/12),2)</f>
        <v>0</v>
      </c>
      <c r="D200" s="39" t="n">
        <f aca="false">ROUND(X199*(1+N('My Debts'!$D$8)/12),2)</f>
        <v>0</v>
      </c>
      <c r="E200" s="39" t="n">
        <f aca="false">ROUND(Y199*(1+N('My Debts'!$D$9)/12),2)</f>
        <v>0</v>
      </c>
      <c r="F200" s="39" t="n">
        <f aca="false">ROUND(Z199*(1+N('My Debts'!$D$10)/12),2)</f>
        <v>0</v>
      </c>
      <c r="G200" s="39" t="n">
        <f aca="false">ROUND(AA199*(1+N('My Debts'!$D$11)/12),2)</f>
        <v>0</v>
      </c>
      <c r="H200" s="39" t="n">
        <f aca="false">ROUND(AB199*(1+N('My Debts'!$D$12)/12),2)</f>
        <v>0</v>
      </c>
      <c r="I200" s="39" t="n">
        <f aca="false">ROUND(AC199*(1+N('My Debts'!$D$13)/12),2)</f>
        <v>0</v>
      </c>
      <c r="J200" s="39" t="n">
        <f aca="false">ROUND(AD199*(1+N('My Debts'!$D$14)/12),2)</f>
        <v>0</v>
      </c>
      <c r="K200" s="39" t="n">
        <f aca="false">ROUND(AE199*(1+N('My Debts'!$D$15)/12),2)</f>
        <v>0</v>
      </c>
      <c r="L200" s="39" t="n">
        <f aca="false">MIN(N('My Debts'!$E$6),B200)</f>
        <v>0</v>
      </c>
      <c r="M200" s="39" t="n">
        <f aca="false">MIN(N('My Debts'!$E$7),C200)</f>
        <v>0</v>
      </c>
      <c r="N200" s="39" t="n">
        <f aca="false">MIN(N('My Debts'!$E$8),D200)</f>
        <v>0</v>
      </c>
      <c r="O200" s="39" t="n">
        <f aca="false">MIN(N('My Debts'!$E$9),E200)</f>
        <v>0</v>
      </c>
      <c r="P200" s="39" t="n">
        <f aca="false">MIN(N('My Debts'!$E$10),F200)</f>
        <v>0</v>
      </c>
      <c r="Q200" s="39" t="n">
        <f aca="false">MIN(N('My Debts'!$E$11),G200)</f>
        <v>0</v>
      </c>
      <c r="R200" s="39" t="n">
        <f aca="false">MIN(N('My Debts'!$E$12),H200)</f>
        <v>0</v>
      </c>
      <c r="S200" s="39" t="n">
        <f aca="false">MIN(N('My Debts'!$E$13),I200)</f>
        <v>0</v>
      </c>
      <c r="T200" s="39" t="n">
        <f aca="false">MIN(N('My Debts'!$E$14),J200)</f>
        <v>0</v>
      </c>
      <c r="U200" s="39" t="n">
        <f aca="false">MIN(N('My Debts'!$E$15),K200)</f>
        <v>0</v>
      </c>
      <c r="V200" s="39" t="n">
        <f aca="false">ROUND(B200-L200-MIN(B200-L200,MAX(0,$AF200-SUMPRODUCT(--($B$4:$K$4&lt;B$4),$B200:$K200-$L200:$U200))),2)</f>
        <v>0</v>
      </c>
      <c r="W200" s="39" t="n">
        <f aca="false">ROUND(C200-M200-MIN(C200-M200,MAX(0,$AF200-SUMPRODUCT(--($B$4:$K$4&lt;C$4),$B200:$K200-$L200:$U200))),2)</f>
        <v>0</v>
      </c>
      <c r="X200" s="39" t="n">
        <f aca="false">ROUND(D200-N200-MIN(D200-N200,MAX(0,$AF200-SUMPRODUCT(--($B$4:$K$4&lt;D$4),$B200:$K200-$L200:$U200))),2)</f>
        <v>0</v>
      </c>
      <c r="Y200" s="39" t="n">
        <f aca="false">ROUND(E200-O200-MIN(E200-O200,MAX(0,$AF200-SUMPRODUCT(--($B$4:$K$4&lt;E$4),$B200:$K200-$L200:$U200))),2)</f>
        <v>0</v>
      </c>
      <c r="Z200" s="39" t="n">
        <f aca="false">ROUND(F200-P200-MIN(F200-P200,MAX(0,$AF200-SUMPRODUCT(--($B$4:$K$4&lt;F$4),$B200:$K200-$L200:$U200))),2)</f>
        <v>0</v>
      </c>
      <c r="AA200" s="39" t="n">
        <f aca="false">ROUND(G200-Q200-MIN(G200-Q200,MAX(0,$AF200-SUMPRODUCT(--($B$4:$K$4&lt;G$4),$B200:$K200-$L200:$U200))),2)</f>
        <v>0</v>
      </c>
      <c r="AB200" s="39" t="n">
        <f aca="false">ROUND(H200-R200-MIN(H200-R200,MAX(0,$AF200-SUMPRODUCT(--($B$4:$K$4&lt;H$4),$B200:$K200-$L200:$U200))),2)</f>
        <v>0</v>
      </c>
      <c r="AC200" s="39" t="n">
        <f aca="false">ROUND(I200-S200-MIN(I200-S200,MAX(0,$AF200-SUMPRODUCT(--($B$4:$K$4&lt;I$4),$B200:$K200-$L200:$U200))),2)</f>
        <v>0</v>
      </c>
      <c r="AD200" s="39" t="n">
        <f aca="false">ROUND(J200-T200-MIN(J200-T200,MAX(0,$AF200-SUMPRODUCT(--($B$4:$K$4&lt;J$4),$B200:$K200-$L200:$U200))),2)</f>
        <v>0</v>
      </c>
      <c r="AE200" s="39" t="n">
        <f aca="false">ROUND(K200-U200-MIN(K200-U200,MAX(0,$AF200-SUMPRODUCT(--($B$4:$K$4&lt;K$4),$B200:$K200-$L200:$U200))),2)</f>
        <v>0</v>
      </c>
      <c r="AF200" s="39" t="n">
        <f aca="false">MAX(0,'Start Here'!$C$5-SUM($L200:$U200))</f>
        <v>1200</v>
      </c>
      <c r="AG200" s="39" t="n">
        <f aca="false">SUM(V200:AE200)</f>
        <v>0</v>
      </c>
      <c r="AH200" s="39" t="n">
        <f aca="false">SUM(B200:K200)-AG199</f>
        <v>0</v>
      </c>
    </row>
    <row r="201" customFormat="false" ht="15" hidden="false" customHeight="false" outlineLevel="0" collapsed="false">
      <c r="A201" s="40" t="n">
        <f aca="false">DATE(YEAR('Start Here'!$C$6),MONTH('Start Here'!$C$6)+194,1)</f>
        <v>52201</v>
      </c>
      <c r="B201" s="39" t="n">
        <f aca="false">ROUND(V200*(1+N('My Debts'!$D$6)/12),2)</f>
        <v>0</v>
      </c>
      <c r="C201" s="39" t="n">
        <f aca="false">ROUND(W200*(1+N('My Debts'!$D$7)/12),2)</f>
        <v>0</v>
      </c>
      <c r="D201" s="39" t="n">
        <f aca="false">ROUND(X200*(1+N('My Debts'!$D$8)/12),2)</f>
        <v>0</v>
      </c>
      <c r="E201" s="39" t="n">
        <f aca="false">ROUND(Y200*(1+N('My Debts'!$D$9)/12),2)</f>
        <v>0</v>
      </c>
      <c r="F201" s="39" t="n">
        <f aca="false">ROUND(Z200*(1+N('My Debts'!$D$10)/12),2)</f>
        <v>0</v>
      </c>
      <c r="G201" s="39" t="n">
        <f aca="false">ROUND(AA200*(1+N('My Debts'!$D$11)/12),2)</f>
        <v>0</v>
      </c>
      <c r="H201" s="39" t="n">
        <f aca="false">ROUND(AB200*(1+N('My Debts'!$D$12)/12),2)</f>
        <v>0</v>
      </c>
      <c r="I201" s="39" t="n">
        <f aca="false">ROUND(AC200*(1+N('My Debts'!$D$13)/12),2)</f>
        <v>0</v>
      </c>
      <c r="J201" s="39" t="n">
        <f aca="false">ROUND(AD200*(1+N('My Debts'!$D$14)/12),2)</f>
        <v>0</v>
      </c>
      <c r="K201" s="39" t="n">
        <f aca="false">ROUND(AE200*(1+N('My Debts'!$D$15)/12),2)</f>
        <v>0</v>
      </c>
      <c r="L201" s="39" t="n">
        <f aca="false">MIN(N('My Debts'!$E$6),B201)</f>
        <v>0</v>
      </c>
      <c r="M201" s="39" t="n">
        <f aca="false">MIN(N('My Debts'!$E$7),C201)</f>
        <v>0</v>
      </c>
      <c r="N201" s="39" t="n">
        <f aca="false">MIN(N('My Debts'!$E$8),D201)</f>
        <v>0</v>
      </c>
      <c r="O201" s="39" t="n">
        <f aca="false">MIN(N('My Debts'!$E$9),E201)</f>
        <v>0</v>
      </c>
      <c r="P201" s="39" t="n">
        <f aca="false">MIN(N('My Debts'!$E$10),F201)</f>
        <v>0</v>
      </c>
      <c r="Q201" s="39" t="n">
        <f aca="false">MIN(N('My Debts'!$E$11),G201)</f>
        <v>0</v>
      </c>
      <c r="R201" s="39" t="n">
        <f aca="false">MIN(N('My Debts'!$E$12),H201)</f>
        <v>0</v>
      </c>
      <c r="S201" s="39" t="n">
        <f aca="false">MIN(N('My Debts'!$E$13),I201)</f>
        <v>0</v>
      </c>
      <c r="T201" s="39" t="n">
        <f aca="false">MIN(N('My Debts'!$E$14),J201)</f>
        <v>0</v>
      </c>
      <c r="U201" s="39" t="n">
        <f aca="false">MIN(N('My Debts'!$E$15),K201)</f>
        <v>0</v>
      </c>
      <c r="V201" s="39" t="n">
        <f aca="false">ROUND(B201-L201-MIN(B201-L201,MAX(0,$AF201-SUMPRODUCT(--($B$4:$K$4&lt;B$4),$B201:$K201-$L201:$U201))),2)</f>
        <v>0</v>
      </c>
      <c r="W201" s="39" t="n">
        <f aca="false">ROUND(C201-M201-MIN(C201-M201,MAX(0,$AF201-SUMPRODUCT(--($B$4:$K$4&lt;C$4),$B201:$K201-$L201:$U201))),2)</f>
        <v>0</v>
      </c>
      <c r="X201" s="39" t="n">
        <f aca="false">ROUND(D201-N201-MIN(D201-N201,MAX(0,$AF201-SUMPRODUCT(--($B$4:$K$4&lt;D$4),$B201:$K201-$L201:$U201))),2)</f>
        <v>0</v>
      </c>
      <c r="Y201" s="39" t="n">
        <f aca="false">ROUND(E201-O201-MIN(E201-O201,MAX(0,$AF201-SUMPRODUCT(--($B$4:$K$4&lt;E$4),$B201:$K201-$L201:$U201))),2)</f>
        <v>0</v>
      </c>
      <c r="Z201" s="39" t="n">
        <f aca="false">ROUND(F201-P201-MIN(F201-P201,MAX(0,$AF201-SUMPRODUCT(--($B$4:$K$4&lt;F$4),$B201:$K201-$L201:$U201))),2)</f>
        <v>0</v>
      </c>
      <c r="AA201" s="39" t="n">
        <f aca="false">ROUND(G201-Q201-MIN(G201-Q201,MAX(0,$AF201-SUMPRODUCT(--($B$4:$K$4&lt;G$4),$B201:$K201-$L201:$U201))),2)</f>
        <v>0</v>
      </c>
      <c r="AB201" s="39" t="n">
        <f aca="false">ROUND(H201-R201-MIN(H201-R201,MAX(0,$AF201-SUMPRODUCT(--($B$4:$K$4&lt;H$4),$B201:$K201-$L201:$U201))),2)</f>
        <v>0</v>
      </c>
      <c r="AC201" s="39" t="n">
        <f aca="false">ROUND(I201-S201-MIN(I201-S201,MAX(0,$AF201-SUMPRODUCT(--($B$4:$K$4&lt;I$4),$B201:$K201-$L201:$U201))),2)</f>
        <v>0</v>
      </c>
      <c r="AD201" s="39" t="n">
        <f aca="false">ROUND(J201-T201-MIN(J201-T201,MAX(0,$AF201-SUMPRODUCT(--($B$4:$K$4&lt;J$4),$B201:$K201-$L201:$U201))),2)</f>
        <v>0</v>
      </c>
      <c r="AE201" s="39" t="n">
        <f aca="false">ROUND(K201-U201-MIN(K201-U201,MAX(0,$AF201-SUMPRODUCT(--($B$4:$K$4&lt;K$4),$B201:$K201-$L201:$U201))),2)</f>
        <v>0</v>
      </c>
      <c r="AF201" s="39" t="n">
        <f aca="false">MAX(0,'Start Here'!$C$5-SUM($L201:$U201))</f>
        <v>1200</v>
      </c>
      <c r="AG201" s="39" t="n">
        <f aca="false">SUM(V201:AE201)</f>
        <v>0</v>
      </c>
      <c r="AH201" s="39" t="n">
        <f aca="false">SUM(B201:K201)-AG200</f>
        <v>0</v>
      </c>
    </row>
    <row r="202" customFormat="false" ht="15" hidden="false" customHeight="false" outlineLevel="0" collapsed="false">
      <c r="A202" s="40" t="n">
        <f aca="false">DATE(YEAR('Start Here'!$C$6),MONTH('Start Here'!$C$6)+195,1)</f>
        <v>52232</v>
      </c>
      <c r="B202" s="39" t="n">
        <f aca="false">ROUND(V201*(1+N('My Debts'!$D$6)/12),2)</f>
        <v>0</v>
      </c>
      <c r="C202" s="39" t="n">
        <f aca="false">ROUND(W201*(1+N('My Debts'!$D$7)/12),2)</f>
        <v>0</v>
      </c>
      <c r="D202" s="39" t="n">
        <f aca="false">ROUND(X201*(1+N('My Debts'!$D$8)/12),2)</f>
        <v>0</v>
      </c>
      <c r="E202" s="39" t="n">
        <f aca="false">ROUND(Y201*(1+N('My Debts'!$D$9)/12),2)</f>
        <v>0</v>
      </c>
      <c r="F202" s="39" t="n">
        <f aca="false">ROUND(Z201*(1+N('My Debts'!$D$10)/12),2)</f>
        <v>0</v>
      </c>
      <c r="G202" s="39" t="n">
        <f aca="false">ROUND(AA201*(1+N('My Debts'!$D$11)/12),2)</f>
        <v>0</v>
      </c>
      <c r="H202" s="39" t="n">
        <f aca="false">ROUND(AB201*(1+N('My Debts'!$D$12)/12),2)</f>
        <v>0</v>
      </c>
      <c r="I202" s="39" t="n">
        <f aca="false">ROUND(AC201*(1+N('My Debts'!$D$13)/12),2)</f>
        <v>0</v>
      </c>
      <c r="J202" s="39" t="n">
        <f aca="false">ROUND(AD201*(1+N('My Debts'!$D$14)/12),2)</f>
        <v>0</v>
      </c>
      <c r="K202" s="39" t="n">
        <f aca="false">ROUND(AE201*(1+N('My Debts'!$D$15)/12),2)</f>
        <v>0</v>
      </c>
      <c r="L202" s="39" t="n">
        <f aca="false">MIN(N('My Debts'!$E$6),B202)</f>
        <v>0</v>
      </c>
      <c r="M202" s="39" t="n">
        <f aca="false">MIN(N('My Debts'!$E$7),C202)</f>
        <v>0</v>
      </c>
      <c r="N202" s="39" t="n">
        <f aca="false">MIN(N('My Debts'!$E$8),D202)</f>
        <v>0</v>
      </c>
      <c r="O202" s="39" t="n">
        <f aca="false">MIN(N('My Debts'!$E$9),E202)</f>
        <v>0</v>
      </c>
      <c r="P202" s="39" t="n">
        <f aca="false">MIN(N('My Debts'!$E$10),F202)</f>
        <v>0</v>
      </c>
      <c r="Q202" s="39" t="n">
        <f aca="false">MIN(N('My Debts'!$E$11),G202)</f>
        <v>0</v>
      </c>
      <c r="R202" s="39" t="n">
        <f aca="false">MIN(N('My Debts'!$E$12),H202)</f>
        <v>0</v>
      </c>
      <c r="S202" s="39" t="n">
        <f aca="false">MIN(N('My Debts'!$E$13),I202)</f>
        <v>0</v>
      </c>
      <c r="T202" s="39" t="n">
        <f aca="false">MIN(N('My Debts'!$E$14),J202)</f>
        <v>0</v>
      </c>
      <c r="U202" s="39" t="n">
        <f aca="false">MIN(N('My Debts'!$E$15),K202)</f>
        <v>0</v>
      </c>
      <c r="V202" s="39" t="n">
        <f aca="false">ROUND(B202-L202-MIN(B202-L202,MAX(0,$AF202-SUMPRODUCT(--($B$4:$K$4&lt;B$4),$B202:$K202-$L202:$U202))),2)</f>
        <v>0</v>
      </c>
      <c r="W202" s="39" t="n">
        <f aca="false">ROUND(C202-M202-MIN(C202-M202,MAX(0,$AF202-SUMPRODUCT(--($B$4:$K$4&lt;C$4),$B202:$K202-$L202:$U202))),2)</f>
        <v>0</v>
      </c>
      <c r="X202" s="39" t="n">
        <f aca="false">ROUND(D202-N202-MIN(D202-N202,MAX(0,$AF202-SUMPRODUCT(--($B$4:$K$4&lt;D$4),$B202:$K202-$L202:$U202))),2)</f>
        <v>0</v>
      </c>
      <c r="Y202" s="39" t="n">
        <f aca="false">ROUND(E202-O202-MIN(E202-O202,MAX(0,$AF202-SUMPRODUCT(--($B$4:$K$4&lt;E$4),$B202:$K202-$L202:$U202))),2)</f>
        <v>0</v>
      </c>
      <c r="Z202" s="39" t="n">
        <f aca="false">ROUND(F202-P202-MIN(F202-P202,MAX(0,$AF202-SUMPRODUCT(--($B$4:$K$4&lt;F$4),$B202:$K202-$L202:$U202))),2)</f>
        <v>0</v>
      </c>
      <c r="AA202" s="39" t="n">
        <f aca="false">ROUND(G202-Q202-MIN(G202-Q202,MAX(0,$AF202-SUMPRODUCT(--($B$4:$K$4&lt;G$4),$B202:$K202-$L202:$U202))),2)</f>
        <v>0</v>
      </c>
      <c r="AB202" s="39" t="n">
        <f aca="false">ROUND(H202-R202-MIN(H202-R202,MAX(0,$AF202-SUMPRODUCT(--($B$4:$K$4&lt;H$4),$B202:$K202-$L202:$U202))),2)</f>
        <v>0</v>
      </c>
      <c r="AC202" s="39" t="n">
        <f aca="false">ROUND(I202-S202-MIN(I202-S202,MAX(0,$AF202-SUMPRODUCT(--($B$4:$K$4&lt;I$4),$B202:$K202-$L202:$U202))),2)</f>
        <v>0</v>
      </c>
      <c r="AD202" s="39" t="n">
        <f aca="false">ROUND(J202-T202-MIN(J202-T202,MAX(0,$AF202-SUMPRODUCT(--($B$4:$K$4&lt;J$4),$B202:$K202-$L202:$U202))),2)</f>
        <v>0</v>
      </c>
      <c r="AE202" s="39" t="n">
        <f aca="false">ROUND(K202-U202-MIN(K202-U202,MAX(0,$AF202-SUMPRODUCT(--($B$4:$K$4&lt;K$4),$B202:$K202-$L202:$U202))),2)</f>
        <v>0</v>
      </c>
      <c r="AF202" s="39" t="n">
        <f aca="false">MAX(0,'Start Here'!$C$5-SUM($L202:$U202))</f>
        <v>1200</v>
      </c>
      <c r="AG202" s="39" t="n">
        <f aca="false">SUM(V202:AE202)</f>
        <v>0</v>
      </c>
      <c r="AH202" s="39" t="n">
        <f aca="false">SUM(B202:K202)-AG201</f>
        <v>0</v>
      </c>
    </row>
    <row r="203" customFormat="false" ht="15" hidden="false" customHeight="false" outlineLevel="0" collapsed="false">
      <c r="A203" s="40" t="n">
        <f aca="false">DATE(YEAR('Start Here'!$C$6),MONTH('Start Here'!$C$6)+196,1)</f>
        <v>52263</v>
      </c>
      <c r="B203" s="39" t="n">
        <f aca="false">ROUND(V202*(1+N('My Debts'!$D$6)/12),2)</f>
        <v>0</v>
      </c>
      <c r="C203" s="39" t="n">
        <f aca="false">ROUND(W202*(1+N('My Debts'!$D$7)/12),2)</f>
        <v>0</v>
      </c>
      <c r="D203" s="39" t="n">
        <f aca="false">ROUND(X202*(1+N('My Debts'!$D$8)/12),2)</f>
        <v>0</v>
      </c>
      <c r="E203" s="39" t="n">
        <f aca="false">ROUND(Y202*(1+N('My Debts'!$D$9)/12),2)</f>
        <v>0</v>
      </c>
      <c r="F203" s="39" t="n">
        <f aca="false">ROUND(Z202*(1+N('My Debts'!$D$10)/12),2)</f>
        <v>0</v>
      </c>
      <c r="G203" s="39" t="n">
        <f aca="false">ROUND(AA202*(1+N('My Debts'!$D$11)/12),2)</f>
        <v>0</v>
      </c>
      <c r="H203" s="39" t="n">
        <f aca="false">ROUND(AB202*(1+N('My Debts'!$D$12)/12),2)</f>
        <v>0</v>
      </c>
      <c r="I203" s="39" t="n">
        <f aca="false">ROUND(AC202*(1+N('My Debts'!$D$13)/12),2)</f>
        <v>0</v>
      </c>
      <c r="J203" s="39" t="n">
        <f aca="false">ROUND(AD202*(1+N('My Debts'!$D$14)/12),2)</f>
        <v>0</v>
      </c>
      <c r="K203" s="39" t="n">
        <f aca="false">ROUND(AE202*(1+N('My Debts'!$D$15)/12),2)</f>
        <v>0</v>
      </c>
      <c r="L203" s="39" t="n">
        <f aca="false">MIN(N('My Debts'!$E$6),B203)</f>
        <v>0</v>
      </c>
      <c r="M203" s="39" t="n">
        <f aca="false">MIN(N('My Debts'!$E$7),C203)</f>
        <v>0</v>
      </c>
      <c r="N203" s="39" t="n">
        <f aca="false">MIN(N('My Debts'!$E$8),D203)</f>
        <v>0</v>
      </c>
      <c r="O203" s="39" t="n">
        <f aca="false">MIN(N('My Debts'!$E$9),E203)</f>
        <v>0</v>
      </c>
      <c r="P203" s="39" t="n">
        <f aca="false">MIN(N('My Debts'!$E$10),F203)</f>
        <v>0</v>
      </c>
      <c r="Q203" s="39" t="n">
        <f aca="false">MIN(N('My Debts'!$E$11),G203)</f>
        <v>0</v>
      </c>
      <c r="R203" s="39" t="n">
        <f aca="false">MIN(N('My Debts'!$E$12),H203)</f>
        <v>0</v>
      </c>
      <c r="S203" s="39" t="n">
        <f aca="false">MIN(N('My Debts'!$E$13),I203)</f>
        <v>0</v>
      </c>
      <c r="T203" s="39" t="n">
        <f aca="false">MIN(N('My Debts'!$E$14),J203)</f>
        <v>0</v>
      </c>
      <c r="U203" s="39" t="n">
        <f aca="false">MIN(N('My Debts'!$E$15),K203)</f>
        <v>0</v>
      </c>
      <c r="V203" s="39" t="n">
        <f aca="false">ROUND(B203-L203-MIN(B203-L203,MAX(0,$AF203-SUMPRODUCT(--($B$4:$K$4&lt;B$4),$B203:$K203-$L203:$U203))),2)</f>
        <v>0</v>
      </c>
      <c r="W203" s="39" t="n">
        <f aca="false">ROUND(C203-M203-MIN(C203-M203,MAX(0,$AF203-SUMPRODUCT(--($B$4:$K$4&lt;C$4),$B203:$K203-$L203:$U203))),2)</f>
        <v>0</v>
      </c>
      <c r="X203" s="39" t="n">
        <f aca="false">ROUND(D203-N203-MIN(D203-N203,MAX(0,$AF203-SUMPRODUCT(--($B$4:$K$4&lt;D$4),$B203:$K203-$L203:$U203))),2)</f>
        <v>0</v>
      </c>
      <c r="Y203" s="39" t="n">
        <f aca="false">ROUND(E203-O203-MIN(E203-O203,MAX(0,$AF203-SUMPRODUCT(--($B$4:$K$4&lt;E$4),$B203:$K203-$L203:$U203))),2)</f>
        <v>0</v>
      </c>
      <c r="Z203" s="39" t="n">
        <f aca="false">ROUND(F203-P203-MIN(F203-P203,MAX(0,$AF203-SUMPRODUCT(--($B$4:$K$4&lt;F$4),$B203:$K203-$L203:$U203))),2)</f>
        <v>0</v>
      </c>
      <c r="AA203" s="39" t="n">
        <f aca="false">ROUND(G203-Q203-MIN(G203-Q203,MAX(0,$AF203-SUMPRODUCT(--($B$4:$K$4&lt;G$4),$B203:$K203-$L203:$U203))),2)</f>
        <v>0</v>
      </c>
      <c r="AB203" s="39" t="n">
        <f aca="false">ROUND(H203-R203-MIN(H203-R203,MAX(0,$AF203-SUMPRODUCT(--($B$4:$K$4&lt;H$4),$B203:$K203-$L203:$U203))),2)</f>
        <v>0</v>
      </c>
      <c r="AC203" s="39" t="n">
        <f aca="false">ROUND(I203-S203-MIN(I203-S203,MAX(0,$AF203-SUMPRODUCT(--($B$4:$K$4&lt;I$4),$B203:$K203-$L203:$U203))),2)</f>
        <v>0</v>
      </c>
      <c r="AD203" s="39" t="n">
        <f aca="false">ROUND(J203-T203-MIN(J203-T203,MAX(0,$AF203-SUMPRODUCT(--($B$4:$K$4&lt;J$4),$B203:$K203-$L203:$U203))),2)</f>
        <v>0</v>
      </c>
      <c r="AE203" s="39" t="n">
        <f aca="false">ROUND(K203-U203-MIN(K203-U203,MAX(0,$AF203-SUMPRODUCT(--($B$4:$K$4&lt;K$4),$B203:$K203-$L203:$U203))),2)</f>
        <v>0</v>
      </c>
      <c r="AF203" s="39" t="n">
        <f aca="false">MAX(0,'Start Here'!$C$5-SUM($L203:$U203))</f>
        <v>1200</v>
      </c>
      <c r="AG203" s="39" t="n">
        <f aca="false">SUM(V203:AE203)</f>
        <v>0</v>
      </c>
      <c r="AH203" s="39" t="n">
        <f aca="false">SUM(B203:K203)-AG202</f>
        <v>0</v>
      </c>
    </row>
    <row r="204" customFormat="false" ht="15" hidden="false" customHeight="false" outlineLevel="0" collapsed="false">
      <c r="A204" s="40" t="n">
        <f aca="false">DATE(YEAR('Start Here'!$C$6),MONTH('Start Here'!$C$6)+197,1)</f>
        <v>52291</v>
      </c>
      <c r="B204" s="39" t="n">
        <f aca="false">ROUND(V203*(1+N('My Debts'!$D$6)/12),2)</f>
        <v>0</v>
      </c>
      <c r="C204" s="39" t="n">
        <f aca="false">ROUND(W203*(1+N('My Debts'!$D$7)/12),2)</f>
        <v>0</v>
      </c>
      <c r="D204" s="39" t="n">
        <f aca="false">ROUND(X203*(1+N('My Debts'!$D$8)/12),2)</f>
        <v>0</v>
      </c>
      <c r="E204" s="39" t="n">
        <f aca="false">ROUND(Y203*(1+N('My Debts'!$D$9)/12),2)</f>
        <v>0</v>
      </c>
      <c r="F204" s="39" t="n">
        <f aca="false">ROUND(Z203*(1+N('My Debts'!$D$10)/12),2)</f>
        <v>0</v>
      </c>
      <c r="G204" s="39" t="n">
        <f aca="false">ROUND(AA203*(1+N('My Debts'!$D$11)/12),2)</f>
        <v>0</v>
      </c>
      <c r="H204" s="39" t="n">
        <f aca="false">ROUND(AB203*(1+N('My Debts'!$D$12)/12),2)</f>
        <v>0</v>
      </c>
      <c r="I204" s="39" t="n">
        <f aca="false">ROUND(AC203*(1+N('My Debts'!$D$13)/12),2)</f>
        <v>0</v>
      </c>
      <c r="J204" s="39" t="n">
        <f aca="false">ROUND(AD203*(1+N('My Debts'!$D$14)/12),2)</f>
        <v>0</v>
      </c>
      <c r="K204" s="39" t="n">
        <f aca="false">ROUND(AE203*(1+N('My Debts'!$D$15)/12),2)</f>
        <v>0</v>
      </c>
      <c r="L204" s="39" t="n">
        <f aca="false">MIN(N('My Debts'!$E$6),B204)</f>
        <v>0</v>
      </c>
      <c r="M204" s="39" t="n">
        <f aca="false">MIN(N('My Debts'!$E$7),C204)</f>
        <v>0</v>
      </c>
      <c r="N204" s="39" t="n">
        <f aca="false">MIN(N('My Debts'!$E$8),D204)</f>
        <v>0</v>
      </c>
      <c r="O204" s="39" t="n">
        <f aca="false">MIN(N('My Debts'!$E$9),E204)</f>
        <v>0</v>
      </c>
      <c r="P204" s="39" t="n">
        <f aca="false">MIN(N('My Debts'!$E$10),F204)</f>
        <v>0</v>
      </c>
      <c r="Q204" s="39" t="n">
        <f aca="false">MIN(N('My Debts'!$E$11),G204)</f>
        <v>0</v>
      </c>
      <c r="R204" s="39" t="n">
        <f aca="false">MIN(N('My Debts'!$E$12),H204)</f>
        <v>0</v>
      </c>
      <c r="S204" s="39" t="n">
        <f aca="false">MIN(N('My Debts'!$E$13),I204)</f>
        <v>0</v>
      </c>
      <c r="T204" s="39" t="n">
        <f aca="false">MIN(N('My Debts'!$E$14),J204)</f>
        <v>0</v>
      </c>
      <c r="U204" s="39" t="n">
        <f aca="false">MIN(N('My Debts'!$E$15),K204)</f>
        <v>0</v>
      </c>
      <c r="V204" s="39" t="n">
        <f aca="false">ROUND(B204-L204-MIN(B204-L204,MAX(0,$AF204-SUMPRODUCT(--($B$4:$K$4&lt;B$4),$B204:$K204-$L204:$U204))),2)</f>
        <v>0</v>
      </c>
      <c r="W204" s="39" t="n">
        <f aca="false">ROUND(C204-M204-MIN(C204-M204,MAX(0,$AF204-SUMPRODUCT(--($B$4:$K$4&lt;C$4),$B204:$K204-$L204:$U204))),2)</f>
        <v>0</v>
      </c>
      <c r="X204" s="39" t="n">
        <f aca="false">ROUND(D204-N204-MIN(D204-N204,MAX(0,$AF204-SUMPRODUCT(--($B$4:$K$4&lt;D$4),$B204:$K204-$L204:$U204))),2)</f>
        <v>0</v>
      </c>
      <c r="Y204" s="39" t="n">
        <f aca="false">ROUND(E204-O204-MIN(E204-O204,MAX(0,$AF204-SUMPRODUCT(--($B$4:$K$4&lt;E$4),$B204:$K204-$L204:$U204))),2)</f>
        <v>0</v>
      </c>
      <c r="Z204" s="39" t="n">
        <f aca="false">ROUND(F204-P204-MIN(F204-P204,MAX(0,$AF204-SUMPRODUCT(--($B$4:$K$4&lt;F$4),$B204:$K204-$L204:$U204))),2)</f>
        <v>0</v>
      </c>
      <c r="AA204" s="39" t="n">
        <f aca="false">ROUND(G204-Q204-MIN(G204-Q204,MAX(0,$AF204-SUMPRODUCT(--($B$4:$K$4&lt;G$4),$B204:$K204-$L204:$U204))),2)</f>
        <v>0</v>
      </c>
      <c r="AB204" s="39" t="n">
        <f aca="false">ROUND(H204-R204-MIN(H204-R204,MAX(0,$AF204-SUMPRODUCT(--($B$4:$K$4&lt;H$4),$B204:$K204-$L204:$U204))),2)</f>
        <v>0</v>
      </c>
      <c r="AC204" s="39" t="n">
        <f aca="false">ROUND(I204-S204-MIN(I204-S204,MAX(0,$AF204-SUMPRODUCT(--($B$4:$K$4&lt;I$4),$B204:$K204-$L204:$U204))),2)</f>
        <v>0</v>
      </c>
      <c r="AD204" s="39" t="n">
        <f aca="false">ROUND(J204-T204-MIN(J204-T204,MAX(0,$AF204-SUMPRODUCT(--($B$4:$K$4&lt;J$4),$B204:$K204-$L204:$U204))),2)</f>
        <v>0</v>
      </c>
      <c r="AE204" s="39" t="n">
        <f aca="false">ROUND(K204-U204-MIN(K204-U204,MAX(0,$AF204-SUMPRODUCT(--($B$4:$K$4&lt;K$4),$B204:$K204-$L204:$U204))),2)</f>
        <v>0</v>
      </c>
      <c r="AF204" s="39" t="n">
        <f aca="false">MAX(0,'Start Here'!$C$5-SUM($L204:$U204))</f>
        <v>1200</v>
      </c>
      <c r="AG204" s="39" t="n">
        <f aca="false">SUM(V204:AE204)</f>
        <v>0</v>
      </c>
      <c r="AH204" s="39" t="n">
        <f aca="false">SUM(B204:K204)-AG203</f>
        <v>0</v>
      </c>
    </row>
    <row r="205" customFormat="false" ht="15" hidden="false" customHeight="false" outlineLevel="0" collapsed="false">
      <c r="A205" s="40" t="n">
        <f aca="false">DATE(YEAR('Start Here'!$C$6),MONTH('Start Here'!$C$6)+198,1)</f>
        <v>52322</v>
      </c>
      <c r="B205" s="39" t="n">
        <f aca="false">ROUND(V204*(1+N('My Debts'!$D$6)/12),2)</f>
        <v>0</v>
      </c>
      <c r="C205" s="39" t="n">
        <f aca="false">ROUND(W204*(1+N('My Debts'!$D$7)/12),2)</f>
        <v>0</v>
      </c>
      <c r="D205" s="39" t="n">
        <f aca="false">ROUND(X204*(1+N('My Debts'!$D$8)/12),2)</f>
        <v>0</v>
      </c>
      <c r="E205" s="39" t="n">
        <f aca="false">ROUND(Y204*(1+N('My Debts'!$D$9)/12),2)</f>
        <v>0</v>
      </c>
      <c r="F205" s="39" t="n">
        <f aca="false">ROUND(Z204*(1+N('My Debts'!$D$10)/12),2)</f>
        <v>0</v>
      </c>
      <c r="G205" s="39" t="n">
        <f aca="false">ROUND(AA204*(1+N('My Debts'!$D$11)/12),2)</f>
        <v>0</v>
      </c>
      <c r="H205" s="39" t="n">
        <f aca="false">ROUND(AB204*(1+N('My Debts'!$D$12)/12),2)</f>
        <v>0</v>
      </c>
      <c r="I205" s="39" t="n">
        <f aca="false">ROUND(AC204*(1+N('My Debts'!$D$13)/12),2)</f>
        <v>0</v>
      </c>
      <c r="J205" s="39" t="n">
        <f aca="false">ROUND(AD204*(1+N('My Debts'!$D$14)/12),2)</f>
        <v>0</v>
      </c>
      <c r="K205" s="39" t="n">
        <f aca="false">ROUND(AE204*(1+N('My Debts'!$D$15)/12),2)</f>
        <v>0</v>
      </c>
      <c r="L205" s="39" t="n">
        <f aca="false">MIN(N('My Debts'!$E$6),B205)</f>
        <v>0</v>
      </c>
      <c r="M205" s="39" t="n">
        <f aca="false">MIN(N('My Debts'!$E$7),C205)</f>
        <v>0</v>
      </c>
      <c r="N205" s="39" t="n">
        <f aca="false">MIN(N('My Debts'!$E$8),D205)</f>
        <v>0</v>
      </c>
      <c r="O205" s="39" t="n">
        <f aca="false">MIN(N('My Debts'!$E$9),E205)</f>
        <v>0</v>
      </c>
      <c r="P205" s="39" t="n">
        <f aca="false">MIN(N('My Debts'!$E$10),F205)</f>
        <v>0</v>
      </c>
      <c r="Q205" s="39" t="n">
        <f aca="false">MIN(N('My Debts'!$E$11),G205)</f>
        <v>0</v>
      </c>
      <c r="R205" s="39" t="n">
        <f aca="false">MIN(N('My Debts'!$E$12),H205)</f>
        <v>0</v>
      </c>
      <c r="S205" s="39" t="n">
        <f aca="false">MIN(N('My Debts'!$E$13),I205)</f>
        <v>0</v>
      </c>
      <c r="T205" s="39" t="n">
        <f aca="false">MIN(N('My Debts'!$E$14),J205)</f>
        <v>0</v>
      </c>
      <c r="U205" s="39" t="n">
        <f aca="false">MIN(N('My Debts'!$E$15),K205)</f>
        <v>0</v>
      </c>
      <c r="V205" s="39" t="n">
        <f aca="false">ROUND(B205-L205-MIN(B205-L205,MAX(0,$AF205-SUMPRODUCT(--($B$4:$K$4&lt;B$4),$B205:$K205-$L205:$U205))),2)</f>
        <v>0</v>
      </c>
      <c r="W205" s="39" t="n">
        <f aca="false">ROUND(C205-M205-MIN(C205-M205,MAX(0,$AF205-SUMPRODUCT(--($B$4:$K$4&lt;C$4),$B205:$K205-$L205:$U205))),2)</f>
        <v>0</v>
      </c>
      <c r="X205" s="39" t="n">
        <f aca="false">ROUND(D205-N205-MIN(D205-N205,MAX(0,$AF205-SUMPRODUCT(--($B$4:$K$4&lt;D$4),$B205:$K205-$L205:$U205))),2)</f>
        <v>0</v>
      </c>
      <c r="Y205" s="39" t="n">
        <f aca="false">ROUND(E205-O205-MIN(E205-O205,MAX(0,$AF205-SUMPRODUCT(--($B$4:$K$4&lt;E$4),$B205:$K205-$L205:$U205))),2)</f>
        <v>0</v>
      </c>
      <c r="Z205" s="39" t="n">
        <f aca="false">ROUND(F205-P205-MIN(F205-P205,MAX(0,$AF205-SUMPRODUCT(--($B$4:$K$4&lt;F$4),$B205:$K205-$L205:$U205))),2)</f>
        <v>0</v>
      </c>
      <c r="AA205" s="39" t="n">
        <f aca="false">ROUND(G205-Q205-MIN(G205-Q205,MAX(0,$AF205-SUMPRODUCT(--($B$4:$K$4&lt;G$4),$B205:$K205-$L205:$U205))),2)</f>
        <v>0</v>
      </c>
      <c r="AB205" s="39" t="n">
        <f aca="false">ROUND(H205-R205-MIN(H205-R205,MAX(0,$AF205-SUMPRODUCT(--($B$4:$K$4&lt;H$4),$B205:$K205-$L205:$U205))),2)</f>
        <v>0</v>
      </c>
      <c r="AC205" s="39" t="n">
        <f aca="false">ROUND(I205-S205-MIN(I205-S205,MAX(0,$AF205-SUMPRODUCT(--($B$4:$K$4&lt;I$4),$B205:$K205-$L205:$U205))),2)</f>
        <v>0</v>
      </c>
      <c r="AD205" s="39" t="n">
        <f aca="false">ROUND(J205-T205-MIN(J205-T205,MAX(0,$AF205-SUMPRODUCT(--($B$4:$K$4&lt;J$4),$B205:$K205-$L205:$U205))),2)</f>
        <v>0</v>
      </c>
      <c r="AE205" s="39" t="n">
        <f aca="false">ROUND(K205-U205-MIN(K205-U205,MAX(0,$AF205-SUMPRODUCT(--($B$4:$K$4&lt;K$4),$B205:$K205-$L205:$U205))),2)</f>
        <v>0</v>
      </c>
      <c r="AF205" s="39" t="n">
        <f aca="false">MAX(0,'Start Here'!$C$5-SUM($L205:$U205))</f>
        <v>1200</v>
      </c>
      <c r="AG205" s="39" t="n">
        <f aca="false">SUM(V205:AE205)</f>
        <v>0</v>
      </c>
      <c r="AH205" s="39" t="n">
        <f aca="false">SUM(B205:K205)-AG204</f>
        <v>0</v>
      </c>
    </row>
    <row r="206" customFormat="false" ht="15" hidden="false" customHeight="false" outlineLevel="0" collapsed="false">
      <c r="A206" s="40" t="n">
        <f aca="false">DATE(YEAR('Start Here'!$C$6),MONTH('Start Here'!$C$6)+199,1)</f>
        <v>52352</v>
      </c>
      <c r="B206" s="39" t="n">
        <f aca="false">ROUND(V205*(1+N('My Debts'!$D$6)/12),2)</f>
        <v>0</v>
      </c>
      <c r="C206" s="39" t="n">
        <f aca="false">ROUND(W205*(1+N('My Debts'!$D$7)/12),2)</f>
        <v>0</v>
      </c>
      <c r="D206" s="39" t="n">
        <f aca="false">ROUND(X205*(1+N('My Debts'!$D$8)/12),2)</f>
        <v>0</v>
      </c>
      <c r="E206" s="39" t="n">
        <f aca="false">ROUND(Y205*(1+N('My Debts'!$D$9)/12),2)</f>
        <v>0</v>
      </c>
      <c r="F206" s="39" t="n">
        <f aca="false">ROUND(Z205*(1+N('My Debts'!$D$10)/12),2)</f>
        <v>0</v>
      </c>
      <c r="G206" s="39" t="n">
        <f aca="false">ROUND(AA205*(1+N('My Debts'!$D$11)/12),2)</f>
        <v>0</v>
      </c>
      <c r="H206" s="39" t="n">
        <f aca="false">ROUND(AB205*(1+N('My Debts'!$D$12)/12),2)</f>
        <v>0</v>
      </c>
      <c r="I206" s="39" t="n">
        <f aca="false">ROUND(AC205*(1+N('My Debts'!$D$13)/12),2)</f>
        <v>0</v>
      </c>
      <c r="J206" s="39" t="n">
        <f aca="false">ROUND(AD205*(1+N('My Debts'!$D$14)/12),2)</f>
        <v>0</v>
      </c>
      <c r="K206" s="39" t="n">
        <f aca="false">ROUND(AE205*(1+N('My Debts'!$D$15)/12),2)</f>
        <v>0</v>
      </c>
      <c r="L206" s="39" t="n">
        <f aca="false">MIN(N('My Debts'!$E$6),B206)</f>
        <v>0</v>
      </c>
      <c r="M206" s="39" t="n">
        <f aca="false">MIN(N('My Debts'!$E$7),C206)</f>
        <v>0</v>
      </c>
      <c r="N206" s="39" t="n">
        <f aca="false">MIN(N('My Debts'!$E$8),D206)</f>
        <v>0</v>
      </c>
      <c r="O206" s="39" t="n">
        <f aca="false">MIN(N('My Debts'!$E$9),E206)</f>
        <v>0</v>
      </c>
      <c r="P206" s="39" t="n">
        <f aca="false">MIN(N('My Debts'!$E$10),F206)</f>
        <v>0</v>
      </c>
      <c r="Q206" s="39" t="n">
        <f aca="false">MIN(N('My Debts'!$E$11),G206)</f>
        <v>0</v>
      </c>
      <c r="R206" s="39" t="n">
        <f aca="false">MIN(N('My Debts'!$E$12),H206)</f>
        <v>0</v>
      </c>
      <c r="S206" s="39" t="n">
        <f aca="false">MIN(N('My Debts'!$E$13),I206)</f>
        <v>0</v>
      </c>
      <c r="T206" s="39" t="n">
        <f aca="false">MIN(N('My Debts'!$E$14),J206)</f>
        <v>0</v>
      </c>
      <c r="U206" s="39" t="n">
        <f aca="false">MIN(N('My Debts'!$E$15),K206)</f>
        <v>0</v>
      </c>
      <c r="V206" s="39" t="n">
        <f aca="false">ROUND(B206-L206-MIN(B206-L206,MAX(0,$AF206-SUMPRODUCT(--($B$4:$K$4&lt;B$4),$B206:$K206-$L206:$U206))),2)</f>
        <v>0</v>
      </c>
      <c r="W206" s="39" t="n">
        <f aca="false">ROUND(C206-M206-MIN(C206-M206,MAX(0,$AF206-SUMPRODUCT(--($B$4:$K$4&lt;C$4),$B206:$K206-$L206:$U206))),2)</f>
        <v>0</v>
      </c>
      <c r="X206" s="39" t="n">
        <f aca="false">ROUND(D206-N206-MIN(D206-N206,MAX(0,$AF206-SUMPRODUCT(--($B$4:$K$4&lt;D$4),$B206:$K206-$L206:$U206))),2)</f>
        <v>0</v>
      </c>
      <c r="Y206" s="39" t="n">
        <f aca="false">ROUND(E206-O206-MIN(E206-O206,MAX(0,$AF206-SUMPRODUCT(--($B$4:$K$4&lt;E$4),$B206:$K206-$L206:$U206))),2)</f>
        <v>0</v>
      </c>
      <c r="Z206" s="39" t="n">
        <f aca="false">ROUND(F206-P206-MIN(F206-P206,MAX(0,$AF206-SUMPRODUCT(--($B$4:$K$4&lt;F$4),$B206:$K206-$L206:$U206))),2)</f>
        <v>0</v>
      </c>
      <c r="AA206" s="39" t="n">
        <f aca="false">ROUND(G206-Q206-MIN(G206-Q206,MAX(0,$AF206-SUMPRODUCT(--($B$4:$K$4&lt;G$4),$B206:$K206-$L206:$U206))),2)</f>
        <v>0</v>
      </c>
      <c r="AB206" s="39" t="n">
        <f aca="false">ROUND(H206-R206-MIN(H206-R206,MAX(0,$AF206-SUMPRODUCT(--($B$4:$K$4&lt;H$4),$B206:$K206-$L206:$U206))),2)</f>
        <v>0</v>
      </c>
      <c r="AC206" s="39" t="n">
        <f aca="false">ROUND(I206-S206-MIN(I206-S206,MAX(0,$AF206-SUMPRODUCT(--($B$4:$K$4&lt;I$4),$B206:$K206-$L206:$U206))),2)</f>
        <v>0</v>
      </c>
      <c r="AD206" s="39" t="n">
        <f aca="false">ROUND(J206-T206-MIN(J206-T206,MAX(0,$AF206-SUMPRODUCT(--($B$4:$K$4&lt;J$4),$B206:$K206-$L206:$U206))),2)</f>
        <v>0</v>
      </c>
      <c r="AE206" s="39" t="n">
        <f aca="false">ROUND(K206-U206-MIN(K206-U206,MAX(0,$AF206-SUMPRODUCT(--($B$4:$K$4&lt;K$4),$B206:$K206-$L206:$U206))),2)</f>
        <v>0</v>
      </c>
      <c r="AF206" s="39" t="n">
        <f aca="false">MAX(0,'Start Here'!$C$5-SUM($L206:$U206))</f>
        <v>1200</v>
      </c>
      <c r="AG206" s="39" t="n">
        <f aca="false">SUM(V206:AE206)</f>
        <v>0</v>
      </c>
      <c r="AH206" s="39" t="n">
        <f aca="false">SUM(B206:K206)-AG205</f>
        <v>0</v>
      </c>
    </row>
    <row r="207" customFormat="false" ht="15" hidden="false" customHeight="false" outlineLevel="0" collapsed="false">
      <c r="A207" s="40" t="n">
        <f aca="false">DATE(YEAR('Start Here'!$C$6),MONTH('Start Here'!$C$6)+200,1)</f>
        <v>52383</v>
      </c>
      <c r="B207" s="39" t="n">
        <f aca="false">ROUND(V206*(1+N('My Debts'!$D$6)/12),2)</f>
        <v>0</v>
      </c>
      <c r="C207" s="39" t="n">
        <f aca="false">ROUND(W206*(1+N('My Debts'!$D$7)/12),2)</f>
        <v>0</v>
      </c>
      <c r="D207" s="39" t="n">
        <f aca="false">ROUND(X206*(1+N('My Debts'!$D$8)/12),2)</f>
        <v>0</v>
      </c>
      <c r="E207" s="39" t="n">
        <f aca="false">ROUND(Y206*(1+N('My Debts'!$D$9)/12),2)</f>
        <v>0</v>
      </c>
      <c r="F207" s="39" t="n">
        <f aca="false">ROUND(Z206*(1+N('My Debts'!$D$10)/12),2)</f>
        <v>0</v>
      </c>
      <c r="G207" s="39" t="n">
        <f aca="false">ROUND(AA206*(1+N('My Debts'!$D$11)/12),2)</f>
        <v>0</v>
      </c>
      <c r="H207" s="39" t="n">
        <f aca="false">ROUND(AB206*(1+N('My Debts'!$D$12)/12),2)</f>
        <v>0</v>
      </c>
      <c r="I207" s="39" t="n">
        <f aca="false">ROUND(AC206*(1+N('My Debts'!$D$13)/12),2)</f>
        <v>0</v>
      </c>
      <c r="J207" s="39" t="n">
        <f aca="false">ROUND(AD206*(1+N('My Debts'!$D$14)/12),2)</f>
        <v>0</v>
      </c>
      <c r="K207" s="39" t="n">
        <f aca="false">ROUND(AE206*(1+N('My Debts'!$D$15)/12),2)</f>
        <v>0</v>
      </c>
      <c r="L207" s="39" t="n">
        <f aca="false">MIN(N('My Debts'!$E$6),B207)</f>
        <v>0</v>
      </c>
      <c r="M207" s="39" t="n">
        <f aca="false">MIN(N('My Debts'!$E$7),C207)</f>
        <v>0</v>
      </c>
      <c r="N207" s="39" t="n">
        <f aca="false">MIN(N('My Debts'!$E$8),D207)</f>
        <v>0</v>
      </c>
      <c r="O207" s="39" t="n">
        <f aca="false">MIN(N('My Debts'!$E$9),E207)</f>
        <v>0</v>
      </c>
      <c r="P207" s="39" t="n">
        <f aca="false">MIN(N('My Debts'!$E$10),F207)</f>
        <v>0</v>
      </c>
      <c r="Q207" s="39" t="n">
        <f aca="false">MIN(N('My Debts'!$E$11),G207)</f>
        <v>0</v>
      </c>
      <c r="R207" s="39" t="n">
        <f aca="false">MIN(N('My Debts'!$E$12),H207)</f>
        <v>0</v>
      </c>
      <c r="S207" s="39" t="n">
        <f aca="false">MIN(N('My Debts'!$E$13),I207)</f>
        <v>0</v>
      </c>
      <c r="T207" s="39" t="n">
        <f aca="false">MIN(N('My Debts'!$E$14),J207)</f>
        <v>0</v>
      </c>
      <c r="U207" s="39" t="n">
        <f aca="false">MIN(N('My Debts'!$E$15),K207)</f>
        <v>0</v>
      </c>
      <c r="V207" s="39" t="n">
        <f aca="false">ROUND(B207-L207-MIN(B207-L207,MAX(0,$AF207-SUMPRODUCT(--($B$4:$K$4&lt;B$4),$B207:$K207-$L207:$U207))),2)</f>
        <v>0</v>
      </c>
      <c r="W207" s="39" t="n">
        <f aca="false">ROUND(C207-M207-MIN(C207-M207,MAX(0,$AF207-SUMPRODUCT(--($B$4:$K$4&lt;C$4),$B207:$K207-$L207:$U207))),2)</f>
        <v>0</v>
      </c>
      <c r="X207" s="39" t="n">
        <f aca="false">ROUND(D207-N207-MIN(D207-N207,MAX(0,$AF207-SUMPRODUCT(--($B$4:$K$4&lt;D$4),$B207:$K207-$L207:$U207))),2)</f>
        <v>0</v>
      </c>
      <c r="Y207" s="39" t="n">
        <f aca="false">ROUND(E207-O207-MIN(E207-O207,MAX(0,$AF207-SUMPRODUCT(--($B$4:$K$4&lt;E$4),$B207:$K207-$L207:$U207))),2)</f>
        <v>0</v>
      </c>
      <c r="Z207" s="39" t="n">
        <f aca="false">ROUND(F207-P207-MIN(F207-P207,MAX(0,$AF207-SUMPRODUCT(--($B$4:$K$4&lt;F$4),$B207:$K207-$L207:$U207))),2)</f>
        <v>0</v>
      </c>
      <c r="AA207" s="39" t="n">
        <f aca="false">ROUND(G207-Q207-MIN(G207-Q207,MAX(0,$AF207-SUMPRODUCT(--($B$4:$K$4&lt;G$4),$B207:$K207-$L207:$U207))),2)</f>
        <v>0</v>
      </c>
      <c r="AB207" s="39" t="n">
        <f aca="false">ROUND(H207-R207-MIN(H207-R207,MAX(0,$AF207-SUMPRODUCT(--($B$4:$K$4&lt;H$4),$B207:$K207-$L207:$U207))),2)</f>
        <v>0</v>
      </c>
      <c r="AC207" s="39" t="n">
        <f aca="false">ROUND(I207-S207-MIN(I207-S207,MAX(0,$AF207-SUMPRODUCT(--($B$4:$K$4&lt;I$4),$B207:$K207-$L207:$U207))),2)</f>
        <v>0</v>
      </c>
      <c r="AD207" s="39" t="n">
        <f aca="false">ROUND(J207-T207-MIN(J207-T207,MAX(0,$AF207-SUMPRODUCT(--($B$4:$K$4&lt;J$4),$B207:$K207-$L207:$U207))),2)</f>
        <v>0</v>
      </c>
      <c r="AE207" s="39" t="n">
        <f aca="false">ROUND(K207-U207-MIN(K207-U207,MAX(0,$AF207-SUMPRODUCT(--($B$4:$K$4&lt;K$4),$B207:$K207-$L207:$U207))),2)</f>
        <v>0</v>
      </c>
      <c r="AF207" s="39" t="n">
        <f aca="false">MAX(0,'Start Here'!$C$5-SUM($L207:$U207))</f>
        <v>1200</v>
      </c>
      <c r="AG207" s="39" t="n">
        <f aca="false">SUM(V207:AE207)</f>
        <v>0</v>
      </c>
      <c r="AH207" s="39" t="n">
        <f aca="false">SUM(B207:K207)-AG206</f>
        <v>0</v>
      </c>
    </row>
    <row r="208" customFormat="false" ht="15" hidden="false" customHeight="false" outlineLevel="0" collapsed="false">
      <c r="A208" s="40" t="n">
        <f aca="false">DATE(YEAR('Start Here'!$C$6),MONTH('Start Here'!$C$6)+201,1)</f>
        <v>52413</v>
      </c>
      <c r="B208" s="39" t="n">
        <f aca="false">ROUND(V207*(1+N('My Debts'!$D$6)/12),2)</f>
        <v>0</v>
      </c>
      <c r="C208" s="39" t="n">
        <f aca="false">ROUND(W207*(1+N('My Debts'!$D$7)/12),2)</f>
        <v>0</v>
      </c>
      <c r="D208" s="39" t="n">
        <f aca="false">ROUND(X207*(1+N('My Debts'!$D$8)/12),2)</f>
        <v>0</v>
      </c>
      <c r="E208" s="39" t="n">
        <f aca="false">ROUND(Y207*(1+N('My Debts'!$D$9)/12),2)</f>
        <v>0</v>
      </c>
      <c r="F208" s="39" t="n">
        <f aca="false">ROUND(Z207*(1+N('My Debts'!$D$10)/12),2)</f>
        <v>0</v>
      </c>
      <c r="G208" s="39" t="n">
        <f aca="false">ROUND(AA207*(1+N('My Debts'!$D$11)/12),2)</f>
        <v>0</v>
      </c>
      <c r="H208" s="39" t="n">
        <f aca="false">ROUND(AB207*(1+N('My Debts'!$D$12)/12),2)</f>
        <v>0</v>
      </c>
      <c r="I208" s="39" t="n">
        <f aca="false">ROUND(AC207*(1+N('My Debts'!$D$13)/12),2)</f>
        <v>0</v>
      </c>
      <c r="J208" s="39" t="n">
        <f aca="false">ROUND(AD207*(1+N('My Debts'!$D$14)/12),2)</f>
        <v>0</v>
      </c>
      <c r="K208" s="39" t="n">
        <f aca="false">ROUND(AE207*(1+N('My Debts'!$D$15)/12),2)</f>
        <v>0</v>
      </c>
      <c r="L208" s="39" t="n">
        <f aca="false">MIN(N('My Debts'!$E$6),B208)</f>
        <v>0</v>
      </c>
      <c r="M208" s="39" t="n">
        <f aca="false">MIN(N('My Debts'!$E$7),C208)</f>
        <v>0</v>
      </c>
      <c r="N208" s="39" t="n">
        <f aca="false">MIN(N('My Debts'!$E$8),D208)</f>
        <v>0</v>
      </c>
      <c r="O208" s="39" t="n">
        <f aca="false">MIN(N('My Debts'!$E$9),E208)</f>
        <v>0</v>
      </c>
      <c r="P208" s="39" t="n">
        <f aca="false">MIN(N('My Debts'!$E$10),F208)</f>
        <v>0</v>
      </c>
      <c r="Q208" s="39" t="n">
        <f aca="false">MIN(N('My Debts'!$E$11),G208)</f>
        <v>0</v>
      </c>
      <c r="R208" s="39" t="n">
        <f aca="false">MIN(N('My Debts'!$E$12),H208)</f>
        <v>0</v>
      </c>
      <c r="S208" s="39" t="n">
        <f aca="false">MIN(N('My Debts'!$E$13),I208)</f>
        <v>0</v>
      </c>
      <c r="T208" s="39" t="n">
        <f aca="false">MIN(N('My Debts'!$E$14),J208)</f>
        <v>0</v>
      </c>
      <c r="U208" s="39" t="n">
        <f aca="false">MIN(N('My Debts'!$E$15),K208)</f>
        <v>0</v>
      </c>
      <c r="V208" s="39" t="n">
        <f aca="false">ROUND(B208-L208-MIN(B208-L208,MAX(0,$AF208-SUMPRODUCT(--($B$4:$K$4&lt;B$4),$B208:$K208-$L208:$U208))),2)</f>
        <v>0</v>
      </c>
      <c r="W208" s="39" t="n">
        <f aca="false">ROUND(C208-M208-MIN(C208-M208,MAX(0,$AF208-SUMPRODUCT(--($B$4:$K$4&lt;C$4),$B208:$K208-$L208:$U208))),2)</f>
        <v>0</v>
      </c>
      <c r="X208" s="39" t="n">
        <f aca="false">ROUND(D208-N208-MIN(D208-N208,MAX(0,$AF208-SUMPRODUCT(--($B$4:$K$4&lt;D$4),$B208:$K208-$L208:$U208))),2)</f>
        <v>0</v>
      </c>
      <c r="Y208" s="39" t="n">
        <f aca="false">ROUND(E208-O208-MIN(E208-O208,MAX(0,$AF208-SUMPRODUCT(--($B$4:$K$4&lt;E$4),$B208:$K208-$L208:$U208))),2)</f>
        <v>0</v>
      </c>
      <c r="Z208" s="39" t="n">
        <f aca="false">ROUND(F208-P208-MIN(F208-P208,MAX(0,$AF208-SUMPRODUCT(--($B$4:$K$4&lt;F$4),$B208:$K208-$L208:$U208))),2)</f>
        <v>0</v>
      </c>
      <c r="AA208" s="39" t="n">
        <f aca="false">ROUND(G208-Q208-MIN(G208-Q208,MAX(0,$AF208-SUMPRODUCT(--($B$4:$K$4&lt;G$4),$B208:$K208-$L208:$U208))),2)</f>
        <v>0</v>
      </c>
      <c r="AB208" s="39" t="n">
        <f aca="false">ROUND(H208-R208-MIN(H208-R208,MAX(0,$AF208-SUMPRODUCT(--($B$4:$K$4&lt;H$4),$B208:$K208-$L208:$U208))),2)</f>
        <v>0</v>
      </c>
      <c r="AC208" s="39" t="n">
        <f aca="false">ROUND(I208-S208-MIN(I208-S208,MAX(0,$AF208-SUMPRODUCT(--($B$4:$K$4&lt;I$4),$B208:$K208-$L208:$U208))),2)</f>
        <v>0</v>
      </c>
      <c r="AD208" s="39" t="n">
        <f aca="false">ROUND(J208-T208-MIN(J208-T208,MAX(0,$AF208-SUMPRODUCT(--($B$4:$K$4&lt;J$4),$B208:$K208-$L208:$U208))),2)</f>
        <v>0</v>
      </c>
      <c r="AE208" s="39" t="n">
        <f aca="false">ROUND(K208-U208-MIN(K208-U208,MAX(0,$AF208-SUMPRODUCT(--($B$4:$K$4&lt;K$4),$B208:$K208-$L208:$U208))),2)</f>
        <v>0</v>
      </c>
      <c r="AF208" s="39" t="n">
        <f aca="false">MAX(0,'Start Here'!$C$5-SUM($L208:$U208))</f>
        <v>1200</v>
      </c>
      <c r="AG208" s="39" t="n">
        <f aca="false">SUM(V208:AE208)</f>
        <v>0</v>
      </c>
      <c r="AH208" s="39" t="n">
        <f aca="false">SUM(B208:K208)-AG207</f>
        <v>0</v>
      </c>
    </row>
    <row r="209" customFormat="false" ht="15" hidden="false" customHeight="false" outlineLevel="0" collapsed="false">
      <c r="A209" s="40" t="n">
        <f aca="false">DATE(YEAR('Start Here'!$C$6),MONTH('Start Here'!$C$6)+202,1)</f>
        <v>52444</v>
      </c>
      <c r="B209" s="39" t="n">
        <f aca="false">ROUND(V208*(1+N('My Debts'!$D$6)/12),2)</f>
        <v>0</v>
      </c>
      <c r="C209" s="39" t="n">
        <f aca="false">ROUND(W208*(1+N('My Debts'!$D$7)/12),2)</f>
        <v>0</v>
      </c>
      <c r="D209" s="39" t="n">
        <f aca="false">ROUND(X208*(1+N('My Debts'!$D$8)/12),2)</f>
        <v>0</v>
      </c>
      <c r="E209" s="39" t="n">
        <f aca="false">ROUND(Y208*(1+N('My Debts'!$D$9)/12),2)</f>
        <v>0</v>
      </c>
      <c r="F209" s="39" t="n">
        <f aca="false">ROUND(Z208*(1+N('My Debts'!$D$10)/12),2)</f>
        <v>0</v>
      </c>
      <c r="G209" s="39" t="n">
        <f aca="false">ROUND(AA208*(1+N('My Debts'!$D$11)/12),2)</f>
        <v>0</v>
      </c>
      <c r="H209" s="39" t="n">
        <f aca="false">ROUND(AB208*(1+N('My Debts'!$D$12)/12),2)</f>
        <v>0</v>
      </c>
      <c r="I209" s="39" t="n">
        <f aca="false">ROUND(AC208*(1+N('My Debts'!$D$13)/12),2)</f>
        <v>0</v>
      </c>
      <c r="J209" s="39" t="n">
        <f aca="false">ROUND(AD208*(1+N('My Debts'!$D$14)/12),2)</f>
        <v>0</v>
      </c>
      <c r="K209" s="39" t="n">
        <f aca="false">ROUND(AE208*(1+N('My Debts'!$D$15)/12),2)</f>
        <v>0</v>
      </c>
      <c r="L209" s="39" t="n">
        <f aca="false">MIN(N('My Debts'!$E$6),B209)</f>
        <v>0</v>
      </c>
      <c r="M209" s="39" t="n">
        <f aca="false">MIN(N('My Debts'!$E$7),C209)</f>
        <v>0</v>
      </c>
      <c r="N209" s="39" t="n">
        <f aca="false">MIN(N('My Debts'!$E$8),D209)</f>
        <v>0</v>
      </c>
      <c r="O209" s="39" t="n">
        <f aca="false">MIN(N('My Debts'!$E$9),E209)</f>
        <v>0</v>
      </c>
      <c r="P209" s="39" t="n">
        <f aca="false">MIN(N('My Debts'!$E$10),F209)</f>
        <v>0</v>
      </c>
      <c r="Q209" s="39" t="n">
        <f aca="false">MIN(N('My Debts'!$E$11),G209)</f>
        <v>0</v>
      </c>
      <c r="R209" s="39" t="n">
        <f aca="false">MIN(N('My Debts'!$E$12),H209)</f>
        <v>0</v>
      </c>
      <c r="S209" s="39" t="n">
        <f aca="false">MIN(N('My Debts'!$E$13),I209)</f>
        <v>0</v>
      </c>
      <c r="T209" s="39" t="n">
        <f aca="false">MIN(N('My Debts'!$E$14),J209)</f>
        <v>0</v>
      </c>
      <c r="U209" s="39" t="n">
        <f aca="false">MIN(N('My Debts'!$E$15),K209)</f>
        <v>0</v>
      </c>
      <c r="V209" s="39" t="n">
        <f aca="false">ROUND(B209-L209-MIN(B209-L209,MAX(0,$AF209-SUMPRODUCT(--($B$4:$K$4&lt;B$4),$B209:$K209-$L209:$U209))),2)</f>
        <v>0</v>
      </c>
      <c r="W209" s="39" t="n">
        <f aca="false">ROUND(C209-M209-MIN(C209-M209,MAX(0,$AF209-SUMPRODUCT(--($B$4:$K$4&lt;C$4),$B209:$K209-$L209:$U209))),2)</f>
        <v>0</v>
      </c>
      <c r="X209" s="39" t="n">
        <f aca="false">ROUND(D209-N209-MIN(D209-N209,MAX(0,$AF209-SUMPRODUCT(--($B$4:$K$4&lt;D$4),$B209:$K209-$L209:$U209))),2)</f>
        <v>0</v>
      </c>
      <c r="Y209" s="39" t="n">
        <f aca="false">ROUND(E209-O209-MIN(E209-O209,MAX(0,$AF209-SUMPRODUCT(--($B$4:$K$4&lt;E$4),$B209:$K209-$L209:$U209))),2)</f>
        <v>0</v>
      </c>
      <c r="Z209" s="39" t="n">
        <f aca="false">ROUND(F209-P209-MIN(F209-P209,MAX(0,$AF209-SUMPRODUCT(--($B$4:$K$4&lt;F$4),$B209:$K209-$L209:$U209))),2)</f>
        <v>0</v>
      </c>
      <c r="AA209" s="39" t="n">
        <f aca="false">ROUND(G209-Q209-MIN(G209-Q209,MAX(0,$AF209-SUMPRODUCT(--($B$4:$K$4&lt;G$4),$B209:$K209-$L209:$U209))),2)</f>
        <v>0</v>
      </c>
      <c r="AB209" s="39" t="n">
        <f aca="false">ROUND(H209-R209-MIN(H209-R209,MAX(0,$AF209-SUMPRODUCT(--($B$4:$K$4&lt;H$4),$B209:$K209-$L209:$U209))),2)</f>
        <v>0</v>
      </c>
      <c r="AC209" s="39" t="n">
        <f aca="false">ROUND(I209-S209-MIN(I209-S209,MAX(0,$AF209-SUMPRODUCT(--($B$4:$K$4&lt;I$4),$B209:$K209-$L209:$U209))),2)</f>
        <v>0</v>
      </c>
      <c r="AD209" s="39" t="n">
        <f aca="false">ROUND(J209-T209-MIN(J209-T209,MAX(0,$AF209-SUMPRODUCT(--($B$4:$K$4&lt;J$4),$B209:$K209-$L209:$U209))),2)</f>
        <v>0</v>
      </c>
      <c r="AE209" s="39" t="n">
        <f aca="false">ROUND(K209-U209-MIN(K209-U209,MAX(0,$AF209-SUMPRODUCT(--($B$4:$K$4&lt;K$4),$B209:$K209-$L209:$U209))),2)</f>
        <v>0</v>
      </c>
      <c r="AF209" s="39" t="n">
        <f aca="false">MAX(0,'Start Here'!$C$5-SUM($L209:$U209))</f>
        <v>1200</v>
      </c>
      <c r="AG209" s="39" t="n">
        <f aca="false">SUM(V209:AE209)</f>
        <v>0</v>
      </c>
      <c r="AH209" s="39" t="n">
        <f aca="false">SUM(B209:K209)-AG208</f>
        <v>0</v>
      </c>
    </row>
    <row r="210" customFormat="false" ht="15" hidden="false" customHeight="false" outlineLevel="0" collapsed="false">
      <c r="A210" s="40" t="n">
        <f aca="false">DATE(YEAR('Start Here'!$C$6),MONTH('Start Here'!$C$6)+203,1)</f>
        <v>52475</v>
      </c>
      <c r="B210" s="39" t="n">
        <f aca="false">ROUND(V209*(1+N('My Debts'!$D$6)/12),2)</f>
        <v>0</v>
      </c>
      <c r="C210" s="39" t="n">
        <f aca="false">ROUND(W209*(1+N('My Debts'!$D$7)/12),2)</f>
        <v>0</v>
      </c>
      <c r="D210" s="39" t="n">
        <f aca="false">ROUND(X209*(1+N('My Debts'!$D$8)/12),2)</f>
        <v>0</v>
      </c>
      <c r="E210" s="39" t="n">
        <f aca="false">ROUND(Y209*(1+N('My Debts'!$D$9)/12),2)</f>
        <v>0</v>
      </c>
      <c r="F210" s="39" t="n">
        <f aca="false">ROUND(Z209*(1+N('My Debts'!$D$10)/12),2)</f>
        <v>0</v>
      </c>
      <c r="G210" s="39" t="n">
        <f aca="false">ROUND(AA209*(1+N('My Debts'!$D$11)/12),2)</f>
        <v>0</v>
      </c>
      <c r="H210" s="39" t="n">
        <f aca="false">ROUND(AB209*(1+N('My Debts'!$D$12)/12),2)</f>
        <v>0</v>
      </c>
      <c r="I210" s="39" t="n">
        <f aca="false">ROUND(AC209*(1+N('My Debts'!$D$13)/12),2)</f>
        <v>0</v>
      </c>
      <c r="J210" s="39" t="n">
        <f aca="false">ROUND(AD209*(1+N('My Debts'!$D$14)/12),2)</f>
        <v>0</v>
      </c>
      <c r="K210" s="39" t="n">
        <f aca="false">ROUND(AE209*(1+N('My Debts'!$D$15)/12),2)</f>
        <v>0</v>
      </c>
      <c r="L210" s="39" t="n">
        <f aca="false">MIN(N('My Debts'!$E$6),B210)</f>
        <v>0</v>
      </c>
      <c r="M210" s="39" t="n">
        <f aca="false">MIN(N('My Debts'!$E$7),C210)</f>
        <v>0</v>
      </c>
      <c r="N210" s="39" t="n">
        <f aca="false">MIN(N('My Debts'!$E$8),D210)</f>
        <v>0</v>
      </c>
      <c r="O210" s="39" t="n">
        <f aca="false">MIN(N('My Debts'!$E$9),E210)</f>
        <v>0</v>
      </c>
      <c r="P210" s="39" t="n">
        <f aca="false">MIN(N('My Debts'!$E$10),F210)</f>
        <v>0</v>
      </c>
      <c r="Q210" s="39" t="n">
        <f aca="false">MIN(N('My Debts'!$E$11),G210)</f>
        <v>0</v>
      </c>
      <c r="R210" s="39" t="n">
        <f aca="false">MIN(N('My Debts'!$E$12),H210)</f>
        <v>0</v>
      </c>
      <c r="S210" s="39" t="n">
        <f aca="false">MIN(N('My Debts'!$E$13),I210)</f>
        <v>0</v>
      </c>
      <c r="T210" s="39" t="n">
        <f aca="false">MIN(N('My Debts'!$E$14),J210)</f>
        <v>0</v>
      </c>
      <c r="U210" s="39" t="n">
        <f aca="false">MIN(N('My Debts'!$E$15),K210)</f>
        <v>0</v>
      </c>
      <c r="V210" s="39" t="n">
        <f aca="false">ROUND(B210-L210-MIN(B210-L210,MAX(0,$AF210-SUMPRODUCT(--($B$4:$K$4&lt;B$4),$B210:$K210-$L210:$U210))),2)</f>
        <v>0</v>
      </c>
      <c r="W210" s="39" t="n">
        <f aca="false">ROUND(C210-M210-MIN(C210-M210,MAX(0,$AF210-SUMPRODUCT(--($B$4:$K$4&lt;C$4),$B210:$K210-$L210:$U210))),2)</f>
        <v>0</v>
      </c>
      <c r="X210" s="39" t="n">
        <f aca="false">ROUND(D210-N210-MIN(D210-N210,MAX(0,$AF210-SUMPRODUCT(--($B$4:$K$4&lt;D$4),$B210:$K210-$L210:$U210))),2)</f>
        <v>0</v>
      </c>
      <c r="Y210" s="39" t="n">
        <f aca="false">ROUND(E210-O210-MIN(E210-O210,MAX(0,$AF210-SUMPRODUCT(--($B$4:$K$4&lt;E$4),$B210:$K210-$L210:$U210))),2)</f>
        <v>0</v>
      </c>
      <c r="Z210" s="39" t="n">
        <f aca="false">ROUND(F210-P210-MIN(F210-P210,MAX(0,$AF210-SUMPRODUCT(--($B$4:$K$4&lt;F$4),$B210:$K210-$L210:$U210))),2)</f>
        <v>0</v>
      </c>
      <c r="AA210" s="39" t="n">
        <f aca="false">ROUND(G210-Q210-MIN(G210-Q210,MAX(0,$AF210-SUMPRODUCT(--($B$4:$K$4&lt;G$4),$B210:$K210-$L210:$U210))),2)</f>
        <v>0</v>
      </c>
      <c r="AB210" s="39" t="n">
        <f aca="false">ROUND(H210-R210-MIN(H210-R210,MAX(0,$AF210-SUMPRODUCT(--($B$4:$K$4&lt;H$4),$B210:$K210-$L210:$U210))),2)</f>
        <v>0</v>
      </c>
      <c r="AC210" s="39" t="n">
        <f aca="false">ROUND(I210-S210-MIN(I210-S210,MAX(0,$AF210-SUMPRODUCT(--($B$4:$K$4&lt;I$4),$B210:$K210-$L210:$U210))),2)</f>
        <v>0</v>
      </c>
      <c r="AD210" s="39" t="n">
        <f aca="false">ROUND(J210-T210-MIN(J210-T210,MAX(0,$AF210-SUMPRODUCT(--($B$4:$K$4&lt;J$4),$B210:$K210-$L210:$U210))),2)</f>
        <v>0</v>
      </c>
      <c r="AE210" s="39" t="n">
        <f aca="false">ROUND(K210-U210-MIN(K210-U210,MAX(0,$AF210-SUMPRODUCT(--($B$4:$K$4&lt;K$4),$B210:$K210-$L210:$U210))),2)</f>
        <v>0</v>
      </c>
      <c r="AF210" s="39" t="n">
        <f aca="false">MAX(0,'Start Here'!$C$5-SUM($L210:$U210))</f>
        <v>1200</v>
      </c>
      <c r="AG210" s="39" t="n">
        <f aca="false">SUM(V210:AE210)</f>
        <v>0</v>
      </c>
      <c r="AH210" s="39" t="n">
        <f aca="false">SUM(B210:K210)-AG209</f>
        <v>0</v>
      </c>
    </row>
    <row r="211" customFormat="false" ht="15" hidden="false" customHeight="false" outlineLevel="0" collapsed="false">
      <c r="A211" s="40" t="n">
        <f aca="false">DATE(YEAR('Start Here'!$C$6),MONTH('Start Here'!$C$6)+204,1)</f>
        <v>52505</v>
      </c>
      <c r="B211" s="39" t="n">
        <f aca="false">ROUND(V210*(1+N('My Debts'!$D$6)/12),2)</f>
        <v>0</v>
      </c>
      <c r="C211" s="39" t="n">
        <f aca="false">ROUND(W210*(1+N('My Debts'!$D$7)/12),2)</f>
        <v>0</v>
      </c>
      <c r="D211" s="39" t="n">
        <f aca="false">ROUND(X210*(1+N('My Debts'!$D$8)/12),2)</f>
        <v>0</v>
      </c>
      <c r="E211" s="39" t="n">
        <f aca="false">ROUND(Y210*(1+N('My Debts'!$D$9)/12),2)</f>
        <v>0</v>
      </c>
      <c r="F211" s="39" t="n">
        <f aca="false">ROUND(Z210*(1+N('My Debts'!$D$10)/12),2)</f>
        <v>0</v>
      </c>
      <c r="G211" s="39" t="n">
        <f aca="false">ROUND(AA210*(1+N('My Debts'!$D$11)/12),2)</f>
        <v>0</v>
      </c>
      <c r="H211" s="39" t="n">
        <f aca="false">ROUND(AB210*(1+N('My Debts'!$D$12)/12),2)</f>
        <v>0</v>
      </c>
      <c r="I211" s="39" t="n">
        <f aca="false">ROUND(AC210*(1+N('My Debts'!$D$13)/12),2)</f>
        <v>0</v>
      </c>
      <c r="J211" s="39" t="n">
        <f aca="false">ROUND(AD210*(1+N('My Debts'!$D$14)/12),2)</f>
        <v>0</v>
      </c>
      <c r="K211" s="39" t="n">
        <f aca="false">ROUND(AE210*(1+N('My Debts'!$D$15)/12),2)</f>
        <v>0</v>
      </c>
      <c r="L211" s="39" t="n">
        <f aca="false">MIN(N('My Debts'!$E$6),B211)</f>
        <v>0</v>
      </c>
      <c r="M211" s="39" t="n">
        <f aca="false">MIN(N('My Debts'!$E$7),C211)</f>
        <v>0</v>
      </c>
      <c r="N211" s="39" t="n">
        <f aca="false">MIN(N('My Debts'!$E$8),D211)</f>
        <v>0</v>
      </c>
      <c r="O211" s="39" t="n">
        <f aca="false">MIN(N('My Debts'!$E$9),E211)</f>
        <v>0</v>
      </c>
      <c r="P211" s="39" t="n">
        <f aca="false">MIN(N('My Debts'!$E$10),F211)</f>
        <v>0</v>
      </c>
      <c r="Q211" s="39" t="n">
        <f aca="false">MIN(N('My Debts'!$E$11),G211)</f>
        <v>0</v>
      </c>
      <c r="R211" s="39" t="n">
        <f aca="false">MIN(N('My Debts'!$E$12),H211)</f>
        <v>0</v>
      </c>
      <c r="S211" s="39" t="n">
        <f aca="false">MIN(N('My Debts'!$E$13),I211)</f>
        <v>0</v>
      </c>
      <c r="T211" s="39" t="n">
        <f aca="false">MIN(N('My Debts'!$E$14),J211)</f>
        <v>0</v>
      </c>
      <c r="U211" s="39" t="n">
        <f aca="false">MIN(N('My Debts'!$E$15),K211)</f>
        <v>0</v>
      </c>
      <c r="V211" s="39" t="n">
        <f aca="false">ROUND(B211-L211-MIN(B211-L211,MAX(0,$AF211-SUMPRODUCT(--($B$4:$K$4&lt;B$4),$B211:$K211-$L211:$U211))),2)</f>
        <v>0</v>
      </c>
      <c r="W211" s="39" t="n">
        <f aca="false">ROUND(C211-M211-MIN(C211-M211,MAX(0,$AF211-SUMPRODUCT(--($B$4:$K$4&lt;C$4),$B211:$K211-$L211:$U211))),2)</f>
        <v>0</v>
      </c>
      <c r="X211" s="39" t="n">
        <f aca="false">ROUND(D211-N211-MIN(D211-N211,MAX(0,$AF211-SUMPRODUCT(--($B$4:$K$4&lt;D$4),$B211:$K211-$L211:$U211))),2)</f>
        <v>0</v>
      </c>
      <c r="Y211" s="39" t="n">
        <f aca="false">ROUND(E211-O211-MIN(E211-O211,MAX(0,$AF211-SUMPRODUCT(--($B$4:$K$4&lt;E$4),$B211:$K211-$L211:$U211))),2)</f>
        <v>0</v>
      </c>
      <c r="Z211" s="39" t="n">
        <f aca="false">ROUND(F211-P211-MIN(F211-P211,MAX(0,$AF211-SUMPRODUCT(--($B$4:$K$4&lt;F$4),$B211:$K211-$L211:$U211))),2)</f>
        <v>0</v>
      </c>
      <c r="AA211" s="39" t="n">
        <f aca="false">ROUND(G211-Q211-MIN(G211-Q211,MAX(0,$AF211-SUMPRODUCT(--($B$4:$K$4&lt;G$4),$B211:$K211-$L211:$U211))),2)</f>
        <v>0</v>
      </c>
      <c r="AB211" s="39" t="n">
        <f aca="false">ROUND(H211-R211-MIN(H211-R211,MAX(0,$AF211-SUMPRODUCT(--($B$4:$K$4&lt;H$4),$B211:$K211-$L211:$U211))),2)</f>
        <v>0</v>
      </c>
      <c r="AC211" s="39" t="n">
        <f aca="false">ROUND(I211-S211-MIN(I211-S211,MAX(0,$AF211-SUMPRODUCT(--($B$4:$K$4&lt;I$4),$B211:$K211-$L211:$U211))),2)</f>
        <v>0</v>
      </c>
      <c r="AD211" s="39" t="n">
        <f aca="false">ROUND(J211-T211-MIN(J211-T211,MAX(0,$AF211-SUMPRODUCT(--($B$4:$K$4&lt;J$4),$B211:$K211-$L211:$U211))),2)</f>
        <v>0</v>
      </c>
      <c r="AE211" s="39" t="n">
        <f aca="false">ROUND(K211-U211-MIN(K211-U211,MAX(0,$AF211-SUMPRODUCT(--($B$4:$K$4&lt;K$4),$B211:$K211-$L211:$U211))),2)</f>
        <v>0</v>
      </c>
      <c r="AF211" s="39" t="n">
        <f aca="false">MAX(0,'Start Here'!$C$5-SUM($L211:$U211))</f>
        <v>1200</v>
      </c>
      <c r="AG211" s="39" t="n">
        <f aca="false">SUM(V211:AE211)</f>
        <v>0</v>
      </c>
      <c r="AH211" s="39" t="n">
        <f aca="false">SUM(B211:K211)-AG210</f>
        <v>0</v>
      </c>
    </row>
    <row r="212" customFormat="false" ht="15" hidden="false" customHeight="false" outlineLevel="0" collapsed="false">
      <c r="A212" s="40" t="n">
        <f aca="false">DATE(YEAR('Start Here'!$C$6),MONTH('Start Here'!$C$6)+205,1)</f>
        <v>52536</v>
      </c>
      <c r="B212" s="39" t="n">
        <f aca="false">ROUND(V211*(1+N('My Debts'!$D$6)/12),2)</f>
        <v>0</v>
      </c>
      <c r="C212" s="39" t="n">
        <f aca="false">ROUND(W211*(1+N('My Debts'!$D$7)/12),2)</f>
        <v>0</v>
      </c>
      <c r="D212" s="39" t="n">
        <f aca="false">ROUND(X211*(1+N('My Debts'!$D$8)/12),2)</f>
        <v>0</v>
      </c>
      <c r="E212" s="39" t="n">
        <f aca="false">ROUND(Y211*(1+N('My Debts'!$D$9)/12),2)</f>
        <v>0</v>
      </c>
      <c r="F212" s="39" t="n">
        <f aca="false">ROUND(Z211*(1+N('My Debts'!$D$10)/12),2)</f>
        <v>0</v>
      </c>
      <c r="G212" s="39" t="n">
        <f aca="false">ROUND(AA211*(1+N('My Debts'!$D$11)/12),2)</f>
        <v>0</v>
      </c>
      <c r="H212" s="39" t="n">
        <f aca="false">ROUND(AB211*(1+N('My Debts'!$D$12)/12),2)</f>
        <v>0</v>
      </c>
      <c r="I212" s="39" t="n">
        <f aca="false">ROUND(AC211*(1+N('My Debts'!$D$13)/12),2)</f>
        <v>0</v>
      </c>
      <c r="J212" s="39" t="n">
        <f aca="false">ROUND(AD211*(1+N('My Debts'!$D$14)/12),2)</f>
        <v>0</v>
      </c>
      <c r="K212" s="39" t="n">
        <f aca="false">ROUND(AE211*(1+N('My Debts'!$D$15)/12),2)</f>
        <v>0</v>
      </c>
      <c r="L212" s="39" t="n">
        <f aca="false">MIN(N('My Debts'!$E$6),B212)</f>
        <v>0</v>
      </c>
      <c r="M212" s="39" t="n">
        <f aca="false">MIN(N('My Debts'!$E$7),C212)</f>
        <v>0</v>
      </c>
      <c r="N212" s="39" t="n">
        <f aca="false">MIN(N('My Debts'!$E$8),D212)</f>
        <v>0</v>
      </c>
      <c r="O212" s="39" t="n">
        <f aca="false">MIN(N('My Debts'!$E$9),E212)</f>
        <v>0</v>
      </c>
      <c r="P212" s="39" t="n">
        <f aca="false">MIN(N('My Debts'!$E$10),F212)</f>
        <v>0</v>
      </c>
      <c r="Q212" s="39" t="n">
        <f aca="false">MIN(N('My Debts'!$E$11),G212)</f>
        <v>0</v>
      </c>
      <c r="R212" s="39" t="n">
        <f aca="false">MIN(N('My Debts'!$E$12),H212)</f>
        <v>0</v>
      </c>
      <c r="S212" s="39" t="n">
        <f aca="false">MIN(N('My Debts'!$E$13),I212)</f>
        <v>0</v>
      </c>
      <c r="T212" s="39" t="n">
        <f aca="false">MIN(N('My Debts'!$E$14),J212)</f>
        <v>0</v>
      </c>
      <c r="U212" s="39" t="n">
        <f aca="false">MIN(N('My Debts'!$E$15),K212)</f>
        <v>0</v>
      </c>
      <c r="V212" s="39" t="n">
        <f aca="false">ROUND(B212-L212-MIN(B212-L212,MAX(0,$AF212-SUMPRODUCT(--($B$4:$K$4&lt;B$4),$B212:$K212-$L212:$U212))),2)</f>
        <v>0</v>
      </c>
      <c r="W212" s="39" t="n">
        <f aca="false">ROUND(C212-M212-MIN(C212-M212,MAX(0,$AF212-SUMPRODUCT(--($B$4:$K$4&lt;C$4),$B212:$K212-$L212:$U212))),2)</f>
        <v>0</v>
      </c>
      <c r="X212" s="39" t="n">
        <f aca="false">ROUND(D212-N212-MIN(D212-N212,MAX(0,$AF212-SUMPRODUCT(--($B$4:$K$4&lt;D$4),$B212:$K212-$L212:$U212))),2)</f>
        <v>0</v>
      </c>
      <c r="Y212" s="39" t="n">
        <f aca="false">ROUND(E212-O212-MIN(E212-O212,MAX(0,$AF212-SUMPRODUCT(--($B$4:$K$4&lt;E$4),$B212:$K212-$L212:$U212))),2)</f>
        <v>0</v>
      </c>
      <c r="Z212" s="39" t="n">
        <f aca="false">ROUND(F212-P212-MIN(F212-P212,MAX(0,$AF212-SUMPRODUCT(--($B$4:$K$4&lt;F$4),$B212:$K212-$L212:$U212))),2)</f>
        <v>0</v>
      </c>
      <c r="AA212" s="39" t="n">
        <f aca="false">ROUND(G212-Q212-MIN(G212-Q212,MAX(0,$AF212-SUMPRODUCT(--($B$4:$K$4&lt;G$4),$B212:$K212-$L212:$U212))),2)</f>
        <v>0</v>
      </c>
      <c r="AB212" s="39" t="n">
        <f aca="false">ROUND(H212-R212-MIN(H212-R212,MAX(0,$AF212-SUMPRODUCT(--($B$4:$K$4&lt;H$4),$B212:$K212-$L212:$U212))),2)</f>
        <v>0</v>
      </c>
      <c r="AC212" s="39" t="n">
        <f aca="false">ROUND(I212-S212-MIN(I212-S212,MAX(0,$AF212-SUMPRODUCT(--($B$4:$K$4&lt;I$4),$B212:$K212-$L212:$U212))),2)</f>
        <v>0</v>
      </c>
      <c r="AD212" s="39" t="n">
        <f aca="false">ROUND(J212-T212-MIN(J212-T212,MAX(0,$AF212-SUMPRODUCT(--($B$4:$K$4&lt;J$4),$B212:$K212-$L212:$U212))),2)</f>
        <v>0</v>
      </c>
      <c r="AE212" s="39" t="n">
        <f aca="false">ROUND(K212-U212-MIN(K212-U212,MAX(0,$AF212-SUMPRODUCT(--($B$4:$K$4&lt;K$4),$B212:$K212-$L212:$U212))),2)</f>
        <v>0</v>
      </c>
      <c r="AF212" s="39" t="n">
        <f aca="false">MAX(0,'Start Here'!$C$5-SUM($L212:$U212))</f>
        <v>1200</v>
      </c>
      <c r="AG212" s="39" t="n">
        <f aca="false">SUM(V212:AE212)</f>
        <v>0</v>
      </c>
      <c r="AH212" s="39" t="n">
        <f aca="false">SUM(B212:K212)-AG211</f>
        <v>0</v>
      </c>
    </row>
    <row r="213" customFormat="false" ht="15" hidden="false" customHeight="false" outlineLevel="0" collapsed="false">
      <c r="A213" s="40" t="n">
        <f aca="false">DATE(YEAR('Start Here'!$C$6),MONTH('Start Here'!$C$6)+206,1)</f>
        <v>52566</v>
      </c>
      <c r="B213" s="39" t="n">
        <f aca="false">ROUND(V212*(1+N('My Debts'!$D$6)/12),2)</f>
        <v>0</v>
      </c>
      <c r="C213" s="39" t="n">
        <f aca="false">ROUND(W212*(1+N('My Debts'!$D$7)/12),2)</f>
        <v>0</v>
      </c>
      <c r="D213" s="39" t="n">
        <f aca="false">ROUND(X212*(1+N('My Debts'!$D$8)/12),2)</f>
        <v>0</v>
      </c>
      <c r="E213" s="39" t="n">
        <f aca="false">ROUND(Y212*(1+N('My Debts'!$D$9)/12),2)</f>
        <v>0</v>
      </c>
      <c r="F213" s="39" t="n">
        <f aca="false">ROUND(Z212*(1+N('My Debts'!$D$10)/12),2)</f>
        <v>0</v>
      </c>
      <c r="G213" s="39" t="n">
        <f aca="false">ROUND(AA212*(1+N('My Debts'!$D$11)/12),2)</f>
        <v>0</v>
      </c>
      <c r="H213" s="39" t="n">
        <f aca="false">ROUND(AB212*(1+N('My Debts'!$D$12)/12),2)</f>
        <v>0</v>
      </c>
      <c r="I213" s="39" t="n">
        <f aca="false">ROUND(AC212*(1+N('My Debts'!$D$13)/12),2)</f>
        <v>0</v>
      </c>
      <c r="J213" s="39" t="n">
        <f aca="false">ROUND(AD212*(1+N('My Debts'!$D$14)/12),2)</f>
        <v>0</v>
      </c>
      <c r="K213" s="39" t="n">
        <f aca="false">ROUND(AE212*(1+N('My Debts'!$D$15)/12),2)</f>
        <v>0</v>
      </c>
      <c r="L213" s="39" t="n">
        <f aca="false">MIN(N('My Debts'!$E$6),B213)</f>
        <v>0</v>
      </c>
      <c r="M213" s="39" t="n">
        <f aca="false">MIN(N('My Debts'!$E$7),C213)</f>
        <v>0</v>
      </c>
      <c r="N213" s="39" t="n">
        <f aca="false">MIN(N('My Debts'!$E$8),D213)</f>
        <v>0</v>
      </c>
      <c r="O213" s="39" t="n">
        <f aca="false">MIN(N('My Debts'!$E$9),E213)</f>
        <v>0</v>
      </c>
      <c r="P213" s="39" t="n">
        <f aca="false">MIN(N('My Debts'!$E$10),F213)</f>
        <v>0</v>
      </c>
      <c r="Q213" s="39" t="n">
        <f aca="false">MIN(N('My Debts'!$E$11),G213)</f>
        <v>0</v>
      </c>
      <c r="R213" s="39" t="n">
        <f aca="false">MIN(N('My Debts'!$E$12),H213)</f>
        <v>0</v>
      </c>
      <c r="S213" s="39" t="n">
        <f aca="false">MIN(N('My Debts'!$E$13),I213)</f>
        <v>0</v>
      </c>
      <c r="T213" s="39" t="n">
        <f aca="false">MIN(N('My Debts'!$E$14),J213)</f>
        <v>0</v>
      </c>
      <c r="U213" s="39" t="n">
        <f aca="false">MIN(N('My Debts'!$E$15),K213)</f>
        <v>0</v>
      </c>
      <c r="V213" s="39" t="n">
        <f aca="false">ROUND(B213-L213-MIN(B213-L213,MAX(0,$AF213-SUMPRODUCT(--($B$4:$K$4&lt;B$4),$B213:$K213-$L213:$U213))),2)</f>
        <v>0</v>
      </c>
      <c r="W213" s="39" t="n">
        <f aca="false">ROUND(C213-M213-MIN(C213-M213,MAX(0,$AF213-SUMPRODUCT(--($B$4:$K$4&lt;C$4),$B213:$K213-$L213:$U213))),2)</f>
        <v>0</v>
      </c>
      <c r="X213" s="39" t="n">
        <f aca="false">ROUND(D213-N213-MIN(D213-N213,MAX(0,$AF213-SUMPRODUCT(--($B$4:$K$4&lt;D$4),$B213:$K213-$L213:$U213))),2)</f>
        <v>0</v>
      </c>
      <c r="Y213" s="39" t="n">
        <f aca="false">ROUND(E213-O213-MIN(E213-O213,MAX(0,$AF213-SUMPRODUCT(--($B$4:$K$4&lt;E$4),$B213:$K213-$L213:$U213))),2)</f>
        <v>0</v>
      </c>
      <c r="Z213" s="39" t="n">
        <f aca="false">ROUND(F213-P213-MIN(F213-P213,MAX(0,$AF213-SUMPRODUCT(--($B$4:$K$4&lt;F$4),$B213:$K213-$L213:$U213))),2)</f>
        <v>0</v>
      </c>
      <c r="AA213" s="39" t="n">
        <f aca="false">ROUND(G213-Q213-MIN(G213-Q213,MAX(0,$AF213-SUMPRODUCT(--($B$4:$K$4&lt;G$4),$B213:$K213-$L213:$U213))),2)</f>
        <v>0</v>
      </c>
      <c r="AB213" s="39" t="n">
        <f aca="false">ROUND(H213-R213-MIN(H213-R213,MAX(0,$AF213-SUMPRODUCT(--($B$4:$K$4&lt;H$4),$B213:$K213-$L213:$U213))),2)</f>
        <v>0</v>
      </c>
      <c r="AC213" s="39" t="n">
        <f aca="false">ROUND(I213-S213-MIN(I213-S213,MAX(0,$AF213-SUMPRODUCT(--($B$4:$K$4&lt;I$4),$B213:$K213-$L213:$U213))),2)</f>
        <v>0</v>
      </c>
      <c r="AD213" s="39" t="n">
        <f aca="false">ROUND(J213-T213-MIN(J213-T213,MAX(0,$AF213-SUMPRODUCT(--($B$4:$K$4&lt;J$4),$B213:$K213-$L213:$U213))),2)</f>
        <v>0</v>
      </c>
      <c r="AE213" s="39" t="n">
        <f aca="false">ROUND(K213-U213-MIN(K213-U213,MAX(0,$AF213-SUMPRODUCT(--($B$4:$K$4&lt;K$4),$B213:$K213-$L213:$U213))),2)</f>
        <v>0</v>
      </c>
      <c r="AF213" s="39" t="n">
        <f aca="false">MAX(0,'Start Here'!$C$5-SUM($L213:$U213))</f>
        <v>1200</v>
      </c>
      <c r="AG213" s="39" t="n">
        <f aca="false">SUM(V213:AE213)</f>
        <v>0</v>
      </c>
      <c r="AH213" s="39" t="n">
        <f aca="false">SUM(B213:K213)-AG212</f>
        <v>0</v>
      </c>
    </row>
    <row r="214" customFormat="false" ht="15" hidden="false" customHeight="false" outlineLevel="0" collapsed="false">
      <c r="A214" s="40" t="n">
        <f aca="false">DATE(YEAR('Start Here'!$C$6),MONTH('Start Here'!$C$6)+207,1)</f>
        <v>52597</v>
      </c>
      <c r="B214" s="39" t="n">
        <f aca="false">ROUND(V213*(1+N('My Debts'!$D$6)/12),2)</f>
        <v>0</v>
      </c>
      <c r="C214" s="39" t="n">
        <f aca="false">ROUND(W213*(1+N('My Debts'!$D$7)/12),2)</f>
        <v>0</v>
      </c>
      <c r="D214" s="39" t="n">
        <f aca="false">ROUND(X213*(1+N('My Debts'!$D$8)/12),2)</f>
        <v>0</v>
      </c>
      <c r="E214" s="39" t="n">
        <f aca="false">ROUND(Y213*(1+N('My Debts'!$D$9)/12),2)</f>
        <v>0</v>
      </c>
      <c r="F214" s="39" t="n">
        <f aca="false">ROUND(Z213*(1+N('My Debts'!$D$10)/12),2)</f>
        <v>0</v>
      </c>
      <c r="G214" s="39" t="n">
        <f aca="false">ROUND(AA213*(1+N('My Debts'!$D$11)/12),2)</f>
        <v>0</v>
      </c>
      <c r="H214" s="39" t="n">
        <f aca="false">ROUND(AB213*(1+N('My Debts'!$D$12)/12),2)</f>
        <v>0</v>
      </c>
      <c r="I214" s="39" t="n">
        <f aca="false">ROUND(AC213*(1+N('My Debts'!$D$13)/12),2)</f>
        <v>0</v>
      </c>
      <c r="J214" s="39" t="n">
        <f aca="false">ROUND(AD213*(1+N('My Debts'!$D$14)/12),2)</f>
        <v>0</v>
      </c>
      <c r="K214" s="39" t="n">
        <f aca="false">ROUND(AE213*(1+N('My Debts'!$D$15)/12),2)</f>
        <v>0</v>
      </c>
      <c r="L214" s="39" t="n">
        <f aca="false">MIN(N('My Debts'!$E$6),B214)</f>
        <v>0</v>
      </c>
      <c r="M214" s="39" t="n">
        <f aca="false">MIN(N('My Debts'!$E$7),C214)</f>
        <v>0</v>
      </c>
      <c r="N214" s="39" t="n">
        <f aca="false">MIN(N('My Debts'!$E$8),D214)</f>
        <v>0</v>
      </c>
      <c r="O214" s="39" t="n">
        <f aca="false">MIN(N('My Debts'!$E$9),E214)</f>
        <v>0</v>
      </c>
      <c r="P214" s="39" t="n">
        <f aca="false">MIN(N('My Debts'!$E$10),F214)</f>
        <v>0</v>
      </c>
      <c r="Q214" s="39" t="n">
        <f aca="false">MIN(N('My Debts'!$E$11),G214)</f>
        <v>0</v>
      </c>
      <c r="R214" s="39" t="n">
        <f aca="false">MIN(N('My Debts'!$E$12),H214)</f>
        <v>0</v>
      </c>
      <c r="S214" s="39" t="n">
        <f aca="false">MIN(N('My Debts'!$E$13),I214)</f>
        <v>0</v>
      </c>
      <c r="T214" s="39" t="n">
        <f aca="false">MIN(N('My Debts'!$E$14),J214)</f>
        <v>0</v>
      </c>
      <c r="U214" s="39" t="n">
        <f aca="false">MIN(N('My Debts'!$E$15),K214)</f>
        <v>0</v>
      </c>
      <c r="V214" s="39" t="n">
        <f aca="false">ROUND(B214-L214-MIN(B214-L214,MAX(0,$AF214-SUMPRODUCT(--($B$4:$K$4&lt;B$4),$B214:$K214-$L214:$U214))),2)</f>
        <v>0</v>
      </c>
      <c r="W214" s="39" t="n">
        <f aca="false">ROUND(C214-M214-MIN(C214-M214,MAX(0,$AF214-SUMPRODUCT(--($B$4:$K$4&lt;C$4),$B214:$K214-$L214:$U214))),2)</f>
        <v>0</v>
      </c>
      <c r="X214" s="39" t="n">
        <f aca="false">ROUND(D214-N214-MIN(D214-N214,MAX(0,$AF214-SUMPRODUCT(--($B$4:$K$4&lt;D$4),$B214:$K214-$L214:$U214))),2)</f>
        <v>0</v>
      </c>
      <c r="Y214" s="39" t="n">
        <f aca="false">ROUND(E214-O214-MIN(E214-O214,MAX(0,$AF214-SUMPRODUCT(--($B$4:$K$4&lt;E$4),$B214:$K214-$L214:$U214))),2)</f>
        <v>0</v>
      </c>
      <c r="Z214" s="39" t="n">
        <f aca="false">ROUND(F214-P214-MIN(F214-P214,MAX(0,$AF214-SUMPRODUCT(--($B$4:$K$4&lt;F$4),$B214:$K214-$L214:$U214))),2)</f>
        <v>0</v>
      </c>
      <c r="AA214" s="39" t="n">
        <f aca="false">ROUND(G214-Q214-MIN(G214-Q214,MAX(0,$AF214-SUMPRODUCT(--($B$4:$K$4&lt;G$4),$B214:$K214-$L214:$U214))),2)</f>
        <v>0</v>
      </c>
      <c r="AB214" s="39" t="n">
        <f aca="false">ROUND(H214-R214-MIN(H214-R214,MAX(0,$AF214-SUMPRODUCT(--($B$4:$K$4&lt;H$4),$B214:$K214-$L214:$U214))),2)</f>
        <v>0</v>
      </c>
      <c r="AC214" s="39" t="n">
        <f aca="false">ROUND(I214-S214-MIN(I214-S214,MAX(0,$AF214-SUMPRODUCT(--($B$4:$K$4&lt;I$4),$B214:$K214-$L214:$U214))),2)</f>
        <v>0</v>
      </c>
      <c r="AD214" s="39" t="n">
        <f aca="false">ROUND(J214-T214-MIN(J214-T214,MAX(0,$AF214-SUMPRODUCT(--($B$4:$K$4&lt;J$4),$B214:$K214-$L214:$U214))),2)</f>
        <v>0</v>
      </c>
      <c r="AE214" s="39" t="n">
        <f aca="false">ROUND(K214-U214-MIN(K214-U214,MAX(0,$AF214-SUMPRODUCT(--($B$4:$K$4&lt;K$4),$B214:$K214-$L214:$U214))),2)</f>
        <v>0</v>
      </c>
      <c r="AF214" s="39" t="n">
        <f aca="false">MAX(0,'Start Here'!$C$5-SUM($L214:$U214))</f>
        <v>1200</v>
      </c>
      <c r="AG214" s="39" t="n">
        <f aca="false">SUM(V214:AE214)</f>
        <v>0</v>
      </c>
      <c r="AH214" s="39" t="n">
        <f aca="false">SUM(B214:K214)-AG213</f>
        <v>0</v>
      </c>
    </row>
    <row r="215" customFormat="false" ht="15" hidden="false" customHeight="false" outlineLevel="0" collapsed="false">
      <c r="A215" s="40" t="n">
        <f aca="false">DATE(YEAR('Start Here'!$C$6),MONTH('Start Here'!$C$6)+208,1)</f>
        <v>52628</v>
      </c>
      <c r="B215" s="39" t="n">
        <f aca="false">ROUND(V214*(1+N('My Debts'!$D$6)/12),2)</f>
        <v>0</v>
      </c>
      <c r="C215" s="39" t="n">
        <f aca="false">ROUND(W214*(1+N('My Debts'!$D$7)/12),2)</f>
        <v>0</v>
      </c>
      <c r="D215" s="39" t="n">
        <f aca="false">ROUND(X214*(1+N('My Debts'!$D$8)/12),2)</f>
        <v>0</v>
      </c>
      <c r="E215" s="39" t="n">
        <f aca="false">ROUND(Y214*(1+N('My Debts'!$D$9)/12),2)</f>
        <v>0</v>
      </c>
      <c r="F215" s="39" t="n">
        <f aca="false">ROUND(Z214*(1+N('My Debts'!$D$10)/12),2)</f>
        <v>0</v>
      </c>
      <c r="G215" s="39" t="n">
        <f aca="false">ROUND(AA214*(1+N('My Debts'!$D$11)/12),2)</f>
        <v>0</v>
      </c>
      <c r="H215" s="39" t="n">
        <f aca="false">ROUND(AB214*(1+N('My Debts'!$D$12)/12),2)</f>
        <v>0</v>
      </c>
      <c r="I215" s="39" t="n">
        <f aca="false">ROUND(AC214*(1+N('My Debts'!$D$13)/12),2)</f>
        <v>0</v>
      </c>
      <c r="J215" s="39" t="n">
        <f aca="false">ROUND(AD214*(1+N('My Debts'!$D$14)/12),2)</f>
        <v>0</v>
      </c>
      <c r="K215" s="39" t="n">
        <f aca="false">ROUND(AE214*(1+N('My Debts'!$D$15)/12),2)</f>
        <v>0</v>
      </c>
      <c r="L215" s="39" t="n">
        <f aca="false">MIN(N('My Debts'!$E$6),B215)</f>
        <v>0</v>
      </c>
      <c r="M215" s="39" t="n">
        <f aca="false">MIN(N('My Debts'!$E$7),C215)</f>
        <v>0</v>
      </c>
      <c r="N215" s="39" t="n">
        <f aca="false">MIN(N('My Debts'!$E$8),D215)</f>
        <v>0</v>
      </c>
      <c r="O215" s="39" t="n">
        <f aca="false">MIN(N('My Debts'!$E$9),E215)</f>
        <v>0</v>
      </c>
      <c r="P215" s="39" t="n">
        <f aca="false">MIN(N('My Debts'!$E$10),F215)</f>
        <v>0</v>
      </c>
      <c r="Q215" s="39" t="n">
        <f aca="false">MIN(N('My Debts'!$E$11),G215)</f>
        <v>0</v>
      </c>
      <c r="R215" s="39" t="n">
        <f aca="false">MIN(N('My Debts'!$E$12),H215)</f>
        <v>0</v>
      </c>
      <c r="S215" s="39" t="n">
        <f aca="false">MIN(N('My Debts'!$E$13),I215)</f>
        <v>0</v>
      </c>
      <c r="T215" s="39" t="n">
        <f aca="false">MIN(N('My Debts'!$E$14),J215)</f>
        <v>0</v>
      </c>
      <c r="U215" s="39" t="n">
        <f aca="false">MIN(N('My Debts'!$E$15),K215)</f>
        <v>0</v>
      </c>
      <c r="V215" s="39" t="n">
        <f aca="false">ROUND(B215-L215-MIN(B215-L215,MAX(0,$AF215-SUMPRODUCT(--($B$4:$K$4&lt;B$4),$B215:$K215-$L215:$U215))),2)</f>
        <v>0</v>
      </c>
      <c r="W215" s="39" t="n">
        <f aca="false">ROUND(C215-M215-MIN(C215-M215,MAX(0,$AF215-SUMPRODUCT(--($B$4:$K$4&lt;C$4),$B215:$K215-$L215:$U215))),2)</f>
        <v>0</v>
      </c>
      <c r="X215" s="39" t="n">
        <f aca="false">ROUND(D215-N215-MIN(D215-N215,MAX(0,$AF215-SUMPRODUCT(--($B$4:$K$4&lt;D$4),$B215:$K215-$L215:$U215))),2)</f>
        <v>0</v>
      </c>
      <c r="Y215" s="39" t="n">
        <f aca="false">ROUND(E215-O215-MIN(E215-O215,MAX(0,$AF215-SUMPRODUCT(--($B$4:$K$4&lt;E$4),$B215:$K215-$L215:$U215))),2)</f>
        <v>0</v>
      </c>
      <c r="Z215" s="39" t="n">
        <f aca="false">ROUND(F215-P215-MIN(F215-P215,MAX(0,$AF215-SUMPRODUCT(--($B$4:$K$4&lt;F$4),$B215:$K215-$L215:$U215))),2)</f>
        <v>0</v>
      </c>
      <c r="AA215" s="39" t="n">
        <f aca="false">ROUND(G215-Q215-MIN(G215-Q215,MAX(0,$AF215-SUMPRODUCT(--($B$4:$K$4&lt;G$4),$B215:$K215-$L215:$U215))),2)</f>
        <v>0</v>
      </c>
      <c r="AB215" s="39" t="n">
        <f aca="false">ROUND(H215-R215-MIN(H215-R215,MAX(0,$AF215-SUMPRODUCT(--($B$4:$K$4&lt;H$4),$B215:$K215-$L215:$U215))),2)</f>
        <v>0</v>
      </c>
      <c r="AC215" s="39" t="n">
        <f aca="false">ROUND(I215-S215-MIN(I215-S215,MAX(0,$AF215-SUMPRODUCT(--($B$4:$K$4&lt;I$4),$B215:$K215-$L215:$U215))),2)</f>
        <v>0</v>
      </c>
      <c r="AD215" s="39" t="n">
        <f aca="false">ROUND(J215-T215-MIN(J215-T215,MAX(0,$AF215-SUMPRODUCT(--($B$4:$K$4&lt;J$4),$B215:$K215-$L215:$U215))),2)</f>
        <v>0</v>
      </c>
      <c r="AE215" s="39" t="n">
        <f aca="false">ROUND(K215-U215-MIN(K215-U215,MAX(0,$AF215-SUMPRODUCT(--($B$4:$K$4&lt;K$4),$B215:$K215-$L215:$U215))),2)</f>
        <v>0</v>
      </c>
      <c r="AF215" s="39" t="n">
        <f aca="false">MAX(0,'Start Here'!$C$5-SUM($L215:$U215))</f>
        <v>1200</v>
      </c>
      <c r="AG215" s="39" t="n">
        <f aca="false">SUM(V215:AE215)</f>
        <v>0</v>
      </c>
      <c r="AH215" s="39" t="n">
        <f aca="false">SUM(B215:K215)-AG214</f>
        <v>0</v>
      </c>
    </row>
    <row r="216" customFormat="false" ht="15" hidden="false" customHeight="false" outlineLevel="0" collapsed="false">
      <c r="A216" s="40" t="n">
        <f aca="false">DATE(YEAR('Start Here'!$C$6),MONTH('Start Here'!$C$6)+209,1)</f>
        <v>52657</v>
      </c>
      <c r="B216" s="39" t="n">
        <f aca="false">ROUND(V215*(1+N('My Debts'!$D$6)/12),2)</f>
        <v>0</v>
      </c>
      <c r="C216" s="39" t="n">
        <f aca="false">ROUND(W215*(1+N('My Debts'!$D$7)/12),2)</f>
        <v>0</v>
      </c>
      <c r="D216" s="39" t="n">
        <f aca="false">ROUND(X215*(1+N('My Debts'!$D$8)/12),2)</f>
        <v>0</v>
      </c>
      <c r="E216" s="39" t="n">
        <f aca="false">ROUND(Y215*(1+N('My Debts'!$D$9)/12),2)</f>
        <v>0</v>
      </c>
      <c r="F216" s="39" t="n">
        <f aca="false">ROUND(Z215*(1+N('My Debts'!$D$10)/12),2)</f>
        <v>0</v>
      </c>
      <c r="G216" s="39" t="n">
        <f aca="false">ROUND(AA215*(1+N('My Debts'!$D$11)/12),2)</f>
        <v>0</v>
      </c>
      <c r="H216" s="39" t="n">
        <f aca="false">ROUND(AB215*(1+N('My Debts'!$D$12)/12),2)</f>
        <v>0</v>
      </c>
      <c r="I216" s="39" t="n">
        <f aca="false">ROUND(AC215*(1+N('My Debts'!$D$13)/12),2)</f>
        <v>0</v>
      </c>
      <c r="J216" s="39" t="n">
        <f aca="false">ROUND(AD215*(1+N('My Debts'!$D$14)/12),2)</f>
        <v>0</v>
      </c>
      <c r="K216" s="39" t="n">
        <f aca="false">ROUND(AE215*(1+N('My Debts'!$D$15)/12),2)</f>
        <v>0</v>
      </c>
      <c r="L216" s="39" t="n">
        <f aca="false">MIN(N('My Debts'!$E$6),B216)</f>
        <v>0</v>
      </c>
      <c r="M216" s="39" t="n">
        <f aca="false">MIN(N('My Debts'!$E$7),C216)</f>
        <v>0</v>
      </c>
      <c r="N216" s="39" t="n">
        <f aca="false">MIN(N('My Debts'!$E$8),D216)</f>
        <v>0</v>
      </c>
      <c r="O216" s="39" t="n">
        <f aca="false">MIN(N('My Debts'!$E$9),E216)</f>
        <v>0</v>
      </c>
      <c r="P216" s="39" t="n">
        <f aca="false">MIN(N('My Debts'!$E$10),F216)</f>
        <v>0</v>
      </c>
      <c r="Q216" s="39" t="n">
        <f aca="false">MIN(N('My Debts'!$E$11),G216)</f>
        <v>0</v>
      </c>
      <c r="R216" s="39" t="n">
        <f aca="false">MIN(N('My Debts'!$E$12),H216)</f>
        <v>0</v>
      </c>
      <c r="S216" s="39" t="n">
        <f aca="false">MIN(N('My Debts'!$E$13),I216)</f>
        <v>0</v>
      </c>
      <c r="T216" s="39" t="n">
        <f aca="false">MIN(N('My Debts'!$E$14),J216)</f>
        <v>0</v>
      </c>
      <c r="U216" s="39" t="n">
        <f aca="false">MIN(N('My Debts'!$E$15),K216)</f>
        <v>0</v>
      </c>
      <c r="V216" s="39" t="n">
        <f aca="false">ROUND(B216-L216-MIN(B216-L216,MAX(0,$AF216-SUMPRODUCT(--($B$4:$K$4&lt;B$4),$B216:$K216-$L216:$U216))),2)</f>
        <v>0</v>
      </c>
      <c r="W216" s="39" t="n">
        <f aca="false">ROUND(C216-M216-MIN(C216-M216,MAX(0,$AF216-SUMPRODUCT(--($B$4:$K$4&lt;C$4),$B216:$K216-$L216:$U216))),2)</f>
        <v>0</v>
      </c>
      <c r="X216" s="39" t="n">
        <f aca="false">ROUND(D216-N216-MIN(D216-N216,MAX(0,$AF216-SUMPRODUCT(--($B$4:$K$4&lt;D$4),$B216:$K216-$L216:$U216))),2)</f>
        <v>0</v>
      </c>
      <c r="Y216" s="39" t="n">
        <f aca="false">ROUND(E216-O216-MIN(E216-O216,MAX(0,$AF216-SUMPRODUCT(--($B$4:$K$4&lt;E$4),$B216:$K216-$L216:$U216))),2)</f>
        <v>0</v>
      </c>
      <c r="Z216" s="39" t="n">
        <f aca="false">ROUND(F216-P216-MIN(F216-P216,MAX(0,$AF216-SUMPRODUCT(--($B$4:$K$4&lt;F$4),$B216:$K216-$L216:$U216))),2)</f>
        <v>0</v>
      </c>
      <c r="AA216" s="39" t="n">
        <f aca="false">ROUND(G216-Q216-MIN(G216-Q216,MAX(0,$AF216-SUMPRODUCT(--($B$4:$K$4&lt;G$4),$B216:$K216-$L216:$U216))),2)</f>
        <v>0</v>
      </c>
      <c r="AB216" s="39" t="n">
        <f aca="false">ROUND(H216-R216-MIN(H216-R216,MAX(0,$AF216-SUMPRODUCT(--($B$4:$K$4&lt;H$4),$B216:$K216-$L216:$U216))),2)</f>
        <v>0</v>
      </c>
      <c r="AC216" s="39" t="n">
        <f aca="false">ROUND(I216-S216-MIN(I216-S216,MAX(0,$AF216-SUMPRODUCT(--($B$4:$K$4&lt;I$4),$B216:$K216-$L216:$U216))),2)</f>
        <v>0</v>
      </c>
      <c r="AD216" s="39" t="n">
        <f aca="false">ROUND(J216-T216-MIN(J216-T216,MAX(0,$AF216-SUMPRODUCT(--($B$4:$K$4&lt;J$4),$B216:$K216-$L216:$U216))),2)</f>
        <v>0</v>
      </c>
      <c r="AE216" s="39" t="n">
        <f aca="false">ROUND(K216-U216-MIN(K216-U216,MAX(0,$AF216-SUMPRODUCT(--($B$4:$K$4&lt;K$4),$B216:$K216-$L216:$U216))),2)</f>
        <v>0</v>
      </c>
      <c r="AF216" s="39" t="n">
        <f aca="false">MAX(0,'Start Here'!$C$5-SUM($L216:$U216))</f>
        <v>1200</v>
      </c>
      <c r="AG216" s="39" t="n">
        <f aca="false">SUM(V216:AE216)</f>
        <v>0</v>
      </c>
      <c r="AH216" s="39" t="n">
        <f aca="false">SUM(B216:K216)-AG215</f>
        <v>0</v>
      </c>
    </row>
    <row r="217" customFormat="false" ht="15" hidden="false" customHeight="false" outlineLevel="0" collapsed="false">
      <c r="A217" s="40" t="n">
        <f aca="false">DATE(YEAR('Start Here'!$C$6),MONTH('Start Here'!$C$6)+210,1)</f>
        <v>52688</v>
      </c>
      <c r="B217" s="39" t="n">
        <f aca="false">ROUND(V216*(1+N('My Debts'!$D$6)/12),2)</f>
        <v>0</v>
      </c>
      <c r="C217" s="39" t="n">
        <f aca="false">ROUND(W216*(1+N('My Debts'!$D$7)/12),2)</f>
        <v>0</v>
      </c>
      <c r="D217" s="39" t="n">
        <f aca="false">ROUND(X216*(1+N('My Debts'!$D$8)/12),2)</f>
        <v>0</v>
      </c>
      <c r="E217" s="39" t="n">
        <f aca="false">ROUND(Y216*(1+N('My Debts'!$D$9)/12),2)</f>
        <v>0</v>
      </c>
      <c r="F217" s="39" t="n">
        <f aca="false">ROUND(Z216*(1+N('My Debts'!$D$10)/12),2)</f>
        <v>0</v>
      </c>
      <c r="G217" s="39" t="n">
        <f aca="false">ROUND(AA216*(1+N('My Debts'!$D$11)/12),2)</f>
        <v>0</v>
      </c>
      <c r="H217" s="39" t="n">
        <f aca="false">ROUND(AB216*(1+N('My Debts'!$D$12)/12),2)</f>
        <v>0</v>
      </c>
      <c r="I217" s="39" t="n">
        <f aca="false">ROUND(AC216*(1+N('My Debts'!$D$13)/12),2)</f>
        <v>0</v>
      </c>
      <c r="J217" s="39" t="n">
        <f aca="false">ROUND(AD216*(1+N('My Debts'!$D$14)/12),2)</f>
        <v>0</v>
      </c>
      <c r="K217" s="39" t="n">
        <f aca="false">ROUND(AE216*(1+N('My Debts'!$D$15)/12),2)</f>
        <v>0</v>
      </c>
      <c r="L217" s="39" t="n">
        <f aca="false">MIN(N('My Debts'!$E$6),B217)</f>
        <v>0</v>
      </c>
      <c r="M217" s="39" t="n">
        <f aca="false">MIN(N('My Debts'!$E$7),C217)</f>
        <v>0</v>
      </c>
      <c r="N217" s="39" t="n">
        <f aca="false">MIN(N('My Debts'!$E$8),D217)</f>
        <v>0</v>
      </c>
      <c r="O217" s="39" t="n">
        <f aca="false">MIN(N('My Debts'!$E$9),E217)</f>
        <v>0</v>
      </c>
      <c r="P217" s="39" t="n">
        <f aca="false">MIN(N('My Debts'!$E$10),F217)</f>
        <v>0</v>
      </c>
      <c r="Q217" s="39" t="n">
        <f aca="false">MIN(N('My Debts'!$E$11),G217)</f>
        <v>0</v>
      </c>
      <c r="R217" s="39" t="n">
        <f aca="false">MIN(N('My Debts'!$E$12),H217)</f>
        <v>0</v>
      </c>
      <c r="S217" s="39" t="n">
        <f aca="false">MIN(N('My Debts'!$E$13),I217)</f>
        <v>0</v>
      </c>
      <c r="T217" s="39" t="n">
        <f aca="false">MIN(N('My Debts'!$E$14),J217)</f>
        <v>0</v>
      </c>
      <c r="U217" s="39" t="n">
        <f aca="false">MIN(N('My Debts'!$E$15),K217)</f>
        <v>0</v>
      </c>
      <c r="V217" s="39" t="n">
        <f aca="false">ROUND(B217-L217-MIN(B217-L217,MAX(0,$AF217-SUMPRODUCT(--($B$4:$K$4&lt;B$4),$B217:$K217-$L217:$U217))),2)</f>
        <v>0</v>
      </c>
      <c r="W217" s="39" t="n">
        <f aca="false">ROUND(C217-M217-MIN(C217-M217,MAX(0,$AF217-SUMPRODUCT(--($B$4:$K$4&lt;C$4),$B217:$K217-$L217:$U217))),2)</f>
        <v>0</v>
      </c>
      <c r="X217" s="39" t="n">
        <f aca="false">ROUND(D217-N217-MIN(D217-N217,MAX(0,$AF217-SUMPRODUCT(--($B$4:$K$4&lt;D$4),$B217:$K217-$L217:$U217))),2)</f>
        <v>0</v>
      </c>
      <c r="Y217" s="39" t="n">
        <f aca="false">ROUND(E217-O217-MIN(E217-O217,MAX(0,$AF217-SUMPRODUCT(--($B$4:$K$4&lt;E$4),$B217:$K217-$L217:$U217))),2)</f>
        <v>0</v>
      </c>
      <c r="Z217" s="39" t="n">
        <f aca="false">ROUND(F217-P217-MIN(F217-P217,MAX(0,$AF217-SUMPRODUCT(--($B$4:$K$4&lt;F$4),$B217:$K217-$L217:$U217))),2)</f>
        <v>0</v>
      </c>
      <c r="AA217" s="39" t="n">
        <f aca="false">ROUND(G217-Q217-MIN(G217-Q217,MAX(0,$AF217-SUMPRODUCT(--($B$4:$K$4&lt;G$4),$B217:$K217-$L217:$U217))),2)</f>
        <v>0</v>
      </c>
      <c r="AB217" s="39" t="n">
        <f aca="false">ROUND(H217-R217-MIN(H217-R217,MAX(0,$AF217-SUMPRODUCT(--($B$4:$K$4&lt;H$4),$B217:$K217-$L217:$U217))),2)</f>
        <v>0</v>
      </c>
      <c r="AC217" s="39" t="n">
        <f aca="false">ROUND(I217-S217-MIN(I217-S217,MAX(0,$AF217-SUMPRODUCT(--($B$4:$K$4&lt;I$4),$B217:$K217-$L217:$U217))),2)</f>
        <v>0</v>
      </c>
      <c r="AD217" s="39" t="n">
        <f aca="false">ROUND(J217-T217-MIN(J217-T217,MAX(0,$AF217-SUMPRODUCT(--($B$4:$K$4&lt;J$4),$B217:$K217-$L217:$U217))),2)</f>
        <v>0</v>
      </c>
      <c r="AE217" s="39" t="n">
        <f aca="false">ROUND(K217-U217-MIN(K217-U217,MAX(0,$AF217-SUMPRODUCT(--($B$4:$K$4&lt;K$4),$B217:$K217-$L217:$U217))),2)</f>
        <v>0</v>
      </c>
      <c r="AF217" s="39" t="n">
        <f aca="false">MAX(0,'Start Here'!$C$5-SUM($L217:$U217))</f>
        <v>1200</v>
      </c>
      <c r="AG217" s="39" t="n">
        <f aca="false">SUM(V217:AE217)</f>
        <v>0</v>
      </c>
      <c r="AH217" s="39" t="n">
        <f aca="false">SUM(B217:K217)-AG216</f>
        <v>0</v>
      </c>
    </row>
    <row r="218" customFormat="false" ht="15" hidden="false" customHeight="false" outlineLevel="0" collapsed="false">
      <c r="A218" s="40" t="n">
        <f aca="false">DATE(YEAR('Start Here'!$C$6),MONTH('Start Here'!$C$6)+211,1)</f>
        <v>52718</v>
      </c>
      <c r="B218" s="39" t="n">
        <f aca="false">ROUND(V217*(1+N('My Debts'!$D$6)/12),2)</f>
        <v>0</v>
      </c>
      <c r="C218" s="39" t="n">
        <f aca="false">ROUND(W217*(1+N('My Debts'!$D$7)/12),2)</f>
        <v>0</v>
      </c>
      <c r="D218" s="39" t="n">
        <f aca="false">ROUND(X217*(1+N('My Debts'!$D$8)/12),2)</f>
        <v>0</v>
      </c>
      <c r="E218" s="39" t="n">
        <f aca="false">ROUND(Y217*(1+N('My Debts'!$D$9)/12),2)</f>
        <v>0</v>
      </c>
      <c r="F218" s="39" t="n">
        <f aca="false">ROUND(Z217*(1+N('My Debts'!$D$10)/12),2)</f>
        <v>0</v>
      </c>
      <c r="G218" s="39" t="n">
        <f aca="false">ROUND(AA217*(1+N('My Debts'!$D$11)/12),2)</f>
        <v>0</v>
      </c>
      <c r="H218" s="39" t="n">
        <f aca="false">ROUND(AB217*(1+N('My Debts'!$D$12)/12),2)</f>
        <v>0</v>
      </c>
      <c r="I218" s="39" t="n">
        <f aca="false">ROUND(AC217*(1+N('My Debts'!$D$13)/12),2)</f>
        <v>0</v>
      </c>
      <c r="J218" s="39" t="n">
        <f aca="false">ROUND(AD217*(1+N('My Debts'!$D$14)/12),2)</f>
        <v>0</v>
      </c>
      <c r="K218" s="39" t="n">
        <f aca="false">ROUND(AE217*(1+N('My Debts'!$D$15)/12),2)</f>
        <v>0</v>
      </c>
      <c r="L218" s="39" t="n">
        <f aca="false">MIN(N('My Debts'!$E$6),B218)</f>
        <v>0</v>
      </c>
      <c r="M218" s="39" t="n">
        <f aca="false">MIN(N('My Debts'!$E$7),C218)</f>
        <v>0</v>
      </c>
      <c r="N218" s="39" t="n">
        <f aca="false">MIN(N('My Debts'!$E$8),D218)</f>
        <v>0</v>
      </c>
      <c r="O218" s="39" t="n">
        <f aca="false">MIN(N('My Debts'!$E$9),E218)</f>
        <v>0</v>
      </c>
      <c r="P218" s="39" t="n">
        <f aca="false">MIN(N('My Debts'!$E$10),F218)</f>
        <v>0</v>
      </c>
      <c r="Q218" s="39" t="n">
        <f aca="false">MIN(N('My Debts'!$E$11),G218)</f>
        <v>0</v>
      </c>
      <c r="R218" s="39" t="n">
        <f aca="false">MIN(N('My Debts'!$E$12),H218)</f>
        <v>0</v>
      </c>
      <c r="S218" s="39" t="n">
        <f aca="false">MIN(N('My Debts'!$E$13),I218)</f>
        <v>0</v>
      </c>
      <c r="T218" s="39" t="n">
        <f aca="false">MIN(N('My Debts'!$E$14),J218)</f>
        <v>0</v>
      </c>
      <c r="U218" s="39" t="n">
        <f aca="false">MIN(N('My Debts'!$E$15),K218)</f>
        <v>0</v>
      </c>
      <c r="V218" s="39" t="n">
        <f aca="false">ROUND(B218-L218-MIN(B218-L218,MAX(0,$AF218-SUMPRODUCT(--($B$4:$K$4&lt;B$4),$B218:$K218-$L218:$U218))),2)</f>
        <v>0</v>
      </c>
      <c r="W218" s="39" t="n">
        <f aca="false">ROUND(C218-M218-MIN(C218-M218,MAX(0,$AF218-SUMPRODUCT(--($B$4:$K$4&lt;C$4),$B218:$K218-$L218:$U218))),2)</f>
        <v>0</v>
      </c>
      <c r="X218" s="39" t="n">
        <f aca="false">ROUND(D218-N218-MIN(D218-N218,MAX(0,$AF218-SUMPRODUCT(--($B$4:$K$4&lt;D$4),$B218:$K218-$L218:$U218))),2)</f>
        <v>0</v>
      </c>
      <c r="Y218" s="39" t="n">
        <f aca="false">ROUND(E218-O218-MIN(E218-O218,MAX(0,$AF218-SUMPRODUCT(--($B$4:$K$4&lt;E$4),$B218:$K218-$L218:$U218))),2)</f>
        <v>0</v>
      </c>
      <c r="Z218" s="39" t="n">
        <f aca="false">ROUND(F218-P218-MIN(F218-P218,MAX(0,$AF218-SUMPRODUCT(--($B$4:$K$4&lt;F$4),$B218:$K218-$L218:$U218))),2)</f>
        <v>0</v>
      </c>
      <c r="AA218" s="39" t="n">
        <f aca="false">ROUND(G218-Q218-MIN(G218-Q218,MAX(0,$AF218-SUMPRODUCT(--($B$4:$K$4&lt;G$4),$B218:$K218-$L218:$U218))),2)</f>
        <v>0</v>
      </c>
      <c r="AB218" s="39" t="n">
        <f aca="false">ROUND(H218-R218-MIN(H218-R218,MAX(0,$AF218-SUMPRODUCT(--($B$4:$K$4&lt;H$4),$B218:$K218-$L218:$U218))),2)</f>
        <v>0</v>
      </c>
      <c r="AC218" s="39" t="n">
        <f aca="false">ROUND(I218-S218-MIN(I218-S218,MAX(0,$AF218-SUMPRODUCT(--($B$4:$K$4&lt;I$4),$B218:$K218-$L218:$U218))),2)</f>
        <v>0</v>
      </c>
      <c r="AD218" s="39" t="n">
        <f aca="false">ROUND(J218-T218-MIN(J218-T218,MAX(0,$AF218-SUMPRODUCT(--($B$4:$K$4&lt;J$4),$B218:$K218-$L218:$U218))),2)</f>
        <v>0</v>
      </c>
      <c r="AE218" s="39" t="n">
        <f aca="false">ROUND(K218-U218-MIN(K218-U218,MAX(0,$AF218-SUMPRODUCT(--($B$4:$K$4&lt;K$4),$B218:$K218-$L218:$U218))),2)</f>
        <v>0</v>
      </c>
      <c r="AF218" s="39" t="n">
        <f aca="false">MAX(0,'Start Here'!$C$5-SUM($L218:$U218))</f>
        <v>1200</v>
      </c>
      <c r="AG218" s="39" t="n">
        <f aca="false">SUM(V218:AE218)</f>
        <v>0</v>
      </c>
      <c r="AH218" s="39" t="n">
        <f aca="false">SUM(B218:K218)-AG217</f>
        <v>0</v>
      </c>
    </row>
    <row r="219" customFormat="false" ht="15" hidden="false" customHeight="false" outlineLevel="0" collapsed="false">
      <c r="A219" s="40" t="n">
        <f aca="false">DATE(YEAR('Start Here'!$C$6),MONTH('Start Here'!$C$6)+212,1)</f>
        <v>52749</v>
      </c>
      <c r="B219" s="39" t="n">
        <f aca="false">ROUND(V218*(1+N('My Debts'!$D$6)/12),2)</f>
        <v>0</v>
      </c>
      <c r="C219" s="39" t="n">
        <f aca="false">ROUND(W218*(1+N('My Debts'!$D$7)/12),2)</f>
        <v>0</v>
      </c>
      <c r="D219" s="39" t="n">
        <f aca="false">ROUND(X218*(1+N('My Debts'!$D$8)/12),2)</f>
        <v>0</v>
      </c>
      <c r="E219" s="39" t="n">
        <f aca="false">ROUND(Y218*(1+N('My Debts'!$D$9)/12),2)</f>
        <v>0</v>
      </c>
      <c r="F219" s="39" t="n">
        <f aca="false">ROUND(Z218*(1+N('My Debts'!$D$10)/12),2)</f>
        <v>0</v>
      </c>
      <c r="G219" s="39" t="n">
        <f aca="false">ROUND(AA218*(1+N('My Debts'!$D$11)/12),2)</f>
        <v>0</v>
      </c>
      <c r="H219" s="39" t="n">
        <f aca="false">ROUND(AB218*(1+N('My Debts'!$D$12)/12),2)</f>
        <v>0</v>
      </c>
      <c r="I219" s="39" t="n">
        <f aca="false">ROUND(AC218*(1+N('My Debts'!$D$13)/12),2)</f>
        <v>0</v>
      </c>
      <c r="J219" s="39" t="n">
        <f aca="false">ROUND(AD218*(1+N('My Debts'!$D$14)/12),2)</f>
        <v>0</v>
      </c>
      <c r="K219" s="39" t="n">
        <f aca="false">ROUND(AE218*(1+N('My Debts'!$D$15)/12),2)</f>
        <v>0</v>
      </c>
      <c r="L219" s="39" t="n">
        <f aca="false">MIN(N('My Debts'!$E$6),B219)</f>
        <v>0</v>
      </c>
      <c r="M219" s="39" t="n">
        <f aca="false">MIN(N('My Debts'!$E$7),C219)</f>
        <v>0</v>
      </c>
      <c r="N219" s="39" t="n">
        <f aca="false">MIN(N('My Debts'!$E$8),D219)</f>
        <v>0</v>
      </c>
      <c r="O219" s="39" t="n">
        <f aca="false">MIN(N('My Debts'!$E$9),E219)</f>
        <v>0</v>
      </c>
      <c r="P219" s="39" t="n">
        <f aca="false">MIN(N('My Debts'!$E$10),F219)</f>
        <v>0</v>
      </c>
      <c r="Q219" s="39" t="n">
        <f aca="false">MIN(N('My Debts'!$E$11),G219)</f>
        <v>0</v>
      </c>
      <c r="R219" s="39" t="n">
        <f aca="false">MIN(N('My Debts'!$E$12),H219)</f>
        <v>0</v>
      </c>
      <c r="S219" s="39" t="n">
        <f aca="false">MIN(N('My Debts'!$E$13),I219)</f>
        <v>0</v>
      </c>
      <c r="T219" s="39" t="n">
        <f aca="false">MIN(N('My Debts'!$E$14),J219)</f>
        <v>0</v>
      </c>
      <c r="U219" s="39" t="n">
        <f aca="false">MIN(N('My Debts'!$E$15),K219)</f>
        <v>0</v>
      </c>
      <c r="V219" s="39" t="n">
        <f aca="false">ROUND(B219-L219-MIN(B219-L219,MAX(0,$AF219-SUMPRODUCT(--($B$4:$K$4&lt;B$4),$B219:$K219-$L219:$U219))),2)</f>
        <v>0</v>
      </c>
      <c r="W219" s="39" t="n">
        <f aca="false">ROUND(C219-M219-MIN(C219-M219,MAX(0,$AF219-SUMPRODUCT(--($B$4:$K$4&lt;C$4),$B219:$K219-$L219:$U219))),2)</f>
        <v>0</v>
      </c>
      <c r="X219" s="39" t="n">
        <f aca="false">ROUND(D219-N219-MIN(D219-N219,MAX(0,$AF219-SUMPRODUCT(--($B$4:$K$4&lt;D$4),$B219:$K219-$L219:$U219))),2)</f>
        <v>0</v>
      </c>
      <c r="Y219" s="39" t="n">
        <f aca="false">ROUND(E219-O219-MIN(E219-O219,MAX(0,$AF219-SUMPRODUCT(--($B$4:$K$4&lt;E$4),$B219:$K219-$L219:$U219))),2)</f>
        <v>0</v>
      </c>
      <c r="Z219" s="39" t="n">
        <f aca="false">ROUND(F219-P219-MIN(F219-P219,MAX(0,$AF219-SUMPRODUCT(--($B$4:$K$4&lt;F$4),$B219:$K219-$L219:$U219))),2)</f>
        <v>0</v>
      </c>
      <c r="AA219" s="39" t="n">
        <f aca="false">ROUND(G219-Q219-MIN(G219-Q219,MAX(0,$AF219-SUMPRODUCT(--($B$4:$K$4&lt;G$4),$B219:$K219-$L219:$U219))),2)</f>
        <v>0</v>
      </c>
      <c r="AB219" s="39" t="n">
        <f aca="false">ROUND(H219-R219-MIN(H219-R219,MAX(0,$AF219-SUMPRODUCT(--($B$4:$K$4&lt;H$4),$B219:$K219-$L219:$U219))),2)</f>
        <v>0</v>
      </c>
      <c r="AC219" s="39" t="n">
        <f aca="false">ROUND(I219-S219-MIN(I219-S219,MAX(0,$AF219-SUMPRODUCT(--($B$4:$K$4&lt;I$4),$B219:$K219-$L219:$U219))),2)</f>
        <v>0</v>
      </c>
      <c r="AD219" s="39" t="n">
        <f aca="false">ROUND(J219-T219-MIN(J219-T219,MAX(0,$AF219-SUMPRODUCT(--($B$4:$K$4&lt;J$4),$B219:$K219-$L219:$U219))),2)</f>
        <v>0</v>
      </c>
      <c r="AE219" s="39" t="n">
        <f aca="false">ROUND(K219-U219-MIN(K219-U219,MAX(0,$AF219-SUMPRODUCT(--($B$4:$K$4&lt;K$4),$B219:$K219-$L219:$U219))),2)</f>
        <v>0</v>
      </c>
      <c r="AF219" s="39" t="n">
        <f aca="false">MAX(0,'Start Here'!$C$5-SUM($L219:$U219))</f>
        <v>1200</v>
      </c>
      <c r="AG219" s="39" t="n">
        <f aca="false">SUM(V219:AE219)</f>
        <v>0</v>
      </c>
      <c r="AH219" s="39" t="n">
        <f aca="false">SUM(B219:K219)-AG218</f>
        <v>0</v>
      </c>
    </row>
    <row r="220" customFormat="false" ht="15" hidden="false" customHeight="false" outlineLevel="0" collapsed="false">
      <c r="A220" s="40" t="n">
        <f aca="false">DATE(YEAR('Start Here'!$C$6),MONTH('Start Here'!$C$6)+213,1)</f>
        <v>52779</v>
      </c>
      <c r="B220" s="39" t="n">
        <f aca="false">ROUND(V219*(1+N('My Debts'!$D$6)/12),2)</f>
        <v>0</v>
      </c>
      <c r="C220" s="39" t="n">
        <f aca="false">ROUND(W219*(1+N('My Debts'!$D$7)/12),2)</f>
        <v>0</v>
      </c>
      <c r="D220" s="39" t="n">
        <f aca="false">ROUND(X219*(1+N('My Debts'!$D$8)/12),2)</f>
        <v>0</v>
      </c>
      <c r="E220" s="39" t="n">
        <f aca="false">ROUND(Y219*(1+N('My Debts'!$D$9)/12),2)</f>
        <v>0</v>
      </c>
      <c r="F220" s="39" t="n">
        <f aca="false">ROUND(Z219*(1+N('My Debts'!$D$10)/12),2)</f>
        <v>0</v>
      </c>
      <c r="G220" s="39" t="n">
        <f aca="false">ROUND(AA219*(1+N('My Debts'!$D$11)/12),2)</f>
        <v>0</v>
      </c>
      <c r="H220" s="39" t="n">
        <f aca="false">ROUND(AB219*(1+N('My Debts'!$D$12)/12),2)</f>
        <v>0</v>
      </c>
      <c r="I220" s="39" t="n">
        <f aca="false">ROUND(AC219*(1+N('My Debts'!$D$13)/12),2)</f>
        <v>0</v>
      </c>
      <c r="J220" s="39" t="n">
        <f aca="false">ROUND(AD219*(1+N('My Debts'!$D$14)/12),2)</f>
        <v>0</v>
      </c>
      <c r="K220" s="39" t="n">
        <f aca="false">ROUND(AE219*(1+N('My Debts'!$D$15)/12),2)</f>
        <v>0</v>
      </c>
      <c r="L220" s="39" t="n">
        <f aca="false">MIN(N('My Debts'!$E$6),B220)</f>
        <v>0</v>
      </c>
      <c r="M220" s="39" t="n">
        <f aca="false">MIN(N('My Debts'!$E$7),C220)</f>
        <v>0</v>
      </c>
      <c r="N220" s="39" t="n">
        <f aca="false">MIN(N('My Debts'!$E$8),D220)</f>
        <v>0</v>
      </c>
      <c r="O220" s="39" t="n">
        <f aca="false">MIN(N('My Debts'!$E$9),E220)</f>
        <v>0</v>
      </c>
      <c r="P220" s="39" t="n">
        <f aca="false">MIN(N('My Debts'!$E$10),F220)</f>
        <v>0</v>
      </c>
      <c r="Q220" s="39" t="n">
        <f aca="false">MIN(N('My Debts'!$E$11),G220)</f>
        <v>0</v>
      </c>
      <c r="R220" s="39" t="n">
        <f aca="false">MIN(N('My Debts'!$E$12),H220)</f>
        <v>0</v>
      </c>
      <c r="S220" s="39" t="n">
        <f aca="false">MIN(N('My Debts'!$E$13),I220)</f>
        <v>0</v>
      </c>
      <c r="T220" s="39" t="n">
        <f aca="false">MIN(N('My Debts'!$E$14),J220)</f>
        <v>0</v>
      </c>
      <c r="U220" s="39" t="n">
        <f aca="false">MIN(N('My Debts'!$E$15),K220)</f>
        <v>0</v>
      </c>
      <c r="V220" s="39" t="n">
        <f aca="false">ROUND(B220-L220-MIN(B220-L220,MAX(0,$AF220-SUMPRODUCT(--($B$4:$K$4&lt;B$4),$B220:$K220-$L220:$U220))),2)</f>
        <v>0</v>
      </c>
      <c r="W220" s="39" t="n">
        <f aca="false">ROUND(C220-M220-MIN(C220-M220,MAX(0,$AF220-SUMPRODUCT(--($B$4:$K$4&lt;C$4),$B220:$K220-$L220:$U220))),2)</f>
        <v>0</v>
      </c>
      <c r="X220" s="39" t="n">
        <f aca="false">ROUND(D220-N220-MIN(D220-N220,MAX(0,$AF220-SUMPRODUCT(--($B$4:$K$4&lt;D$4),$B220:$K220-$L220:$U220))),2)</f>
        <v>0</v>
      </c>
      <c r="Y220" s="39" t="n">
        <f aca="false">ROUND(E220-O220-MIN(E220-O220,MAX(0,$AF220-SUMPRODUCT(--($B$4:$K$4&lt;E$4),$B220:$K220-$L220:$U220))),2)</f>
        <v>0</v>
      </c>
      <c r="Z220" s="39" t="n">
        <f aca="false">ROUND(F220-P220-MIN(F220-P220,MAX(0,$AF220-SUMPRODUCT(--($B$4:$K$4&lt;F$4),$B220:$K220-$L220:$U220))),2)</f>
        <v>0</v>
      </c>
      <c r="AA220" s="39" t="n">
        <f aca="false">ROUND(G220-Q220-MIN(G220-Q220,MAX(0,$AF220-SUMPRODUCT(--($B$4:$K$4&lt;G$4),$B220:$K220-$L220:$U220))),2)</f>
        <v>0</v>
      </c>
      <c r="AB220" s="39" t="n">
        <f aca="false">ROUND(H220-R220-MIN(H220-R220,MAX(0,$AF220-SUMPRODUCT(--($B$4:$K$4&lt;H$4),$B220:$K220-$L220:$U220))),2)</f>
        <v>0</v>
      </c>
      <c r="AC220" s="39" t="n">
        <f aca="false">ROUND(I220-S220-MIN(I220-S220,MAX(0,$AF220-SUMPRODUCT(--($B$4:$K$4&lt;I$4),$B220:$K220-$L220:$U220))),2)</f>
        <v>0</v>
      </c>
      <c r="AD220" s="39" t="n">
        <f aca="false">ROUND(J220-T220-MIN(J220-T220,MAX(0,$AF220-SUMPRODUCT(--($B$4:$K$4&lt;J$4),$B220:$K220-$L220:$U220))),2)</f>
        <v>0</v>
      </c>
      <c r="AE220" s="39" t="n">
        <f aca="false">ROUND(K220-U220-MIN(K220-U220,MAX(0,$AF220-SUMPRODUCT(--($B$4:$K$4&lt;K$4),$B220:$K220-$L220:$U220))),2)</f>
        <v>0</v>
      </c>
      <c r="AF220" s="39" t="n">
        <f aca="false">MAX(0,'Start Here'!$C$5-SUM($L220:$U220))</f>
        <v>1200</v>
      </c>
      <c r="AG220" s="39" t="n">
        <f aca="false">SUM(V220:AE220)</f>
        <v>0</v>
      </c>
      <c r="AH220" s="39" t="n">
        <f aca="false">SUM(B220:K220)-AG219</f>
        <v>0</v>
      </c>
    </row>
    <row r="221" customFormat="false" ht="15" hidden="false" customHeight="false" outlineLevel="0" collapsed="false">
      <c r="A221" s="40" t="n">
        <f aca="false">DATE(YEAR('Start Here'!$C$6),MONTH('Start Here'!$C$6)+214,1)</f>
        <v>52810</v>
      </c>
      <c r="B221" s="39" t="n">
        <f aca="false">ROUND(V220*(1+N('My Debts'!$D$6)/12),2)</f>
        <v>0</v>
      </c>
      <c r="C221" s="39" t="n">
        <f aca="false">ROUND(W220*(1+N('My Debts'!$D$7)/12),2)</f>
        <v>0</v>
      </c>
      <c r="D221" s="39" t="n">
        <f aca="false">ROUND(X220*(1+N('My Debts'!$D$8)/12),2)</f>
        <v>0</v>
      </c>
      <c r="E221" s="39" t="n">
        <f aca="false">ROUND(Y220*(1+N('My Debts'!$D$9)/12),2)</f>
        <v>0</v>
      </c>
      <c r="F221" s="39" t="n">
        <f aca="false">ROUND(Z220*(1+N('My Debts'!$D$10)/12),2)</f>
        <v>0</v>
      </c>
      <c r="G221" s="39" t="n">
        <f aca="false">ROUND(AA220*(1+N('My Debts'!$D$11)/12),2)</f>
        <v>0</v>
      </c>
      <c r="H221" s="39" t="n">
        <f aca="false">ROUND(AB220*(1+N('My Debts'!$D$12)/12),2)</f>
        <v>0</v>
      </c>
      <c r="I221" s="39" t="n">
        <f aca="false">ROUND(AC220*(1+N('My Debts'!$D$13)/12),2)</f>
        <v>0</v>
      </c>
      <c r="J221" s="39" t="n">
        <f aca="false">ROUND(AD220*(1+N('My Debts'!$D$14)/12),2)</f>
        <v>0</v>
      </c>
      <c r="K221" s="39" t="n">
        <f aca="false">ROUND(AE220*(1+N('My Debts'!$D$15)/12),2)</f>
        <v>0</v>
      </c>
      <c r="L221" s="39" t="n">
        <f aca="false">MIN(N('My Debts'!$E$6),B221)</f>
        <v>0</v>
      </c>
      <c r="M221" s="39" t="n">
        <f aca="false">MIN(N('My Debts'!$E$7),C221)</f>
        <v>0</v>
      </c>
      <c r="N221" s="39" t="n">
        <f aca="false">MIN(N('My Debts'!$E$8),D221)</f>
        <v>0</v>
      </c>
      <c r="O221" s="39" t="n">
        <f aca="false">MIN(N('My Debts'!$E$9),E221)</f>
        <v>0</v>
      </c>
      <c r="P221" s="39" t="n">
        <f aca="false">MIN(N('My Debts'!$E$10),F221)</f>
        <v>0</v>
      </c>
      <c r="Q221" s="39" t="n">
        <f aca="false">MIN(N('My Debts'!$E$11),G221)</f>
        <v>0</v>
      </c>
      <c r="R221" s="39" t="n">
        <f aca="false">MIN(N('My Debts'!$E$12),H221)</f>
        <v>0</v>
      </c>
      <c r="S221" s="39" t="n">
        <f aca="false">MIN(N('My Debts'!$E$13),I221)</f>
        <v>0</v>
      </c>
      <c r="T221" s="39" t="n">
        <f aca="false">MIN(N('My Debts'!$E$14),J221)</f>
        <v>0</v>
      </c>
      <c r="U221" s="39" t="n">
        <f aca="false">MIN(N('My Debts'!$E$15),K221)</f>
        <v>0</v>
      </c>
      <c r="V221" s="39" t="n">
        <f aca="false">ROUND(B221-L221-MIN(B221-L221,MAX(0,$AF221-SUMPRODUCT(--($B$4:$K$4&lt;B$4),$B221:$K221-$L221:$U221))),2)</f>
        <v>0</v>
      </c>
      <c r="W221" s="39" t="n">
        <f aca="false">ROUND(C221-M221-MIN(C221-M221,MAX(0,$AF221-SUMPRODUCT(--($B$4:$K$4&lt;C$4),$B221:$K221-$L221:$U221))),2)</f>
        <v>0</v>
      </c>
      <c r="X221" s="39" t="n">
        <f aca="false">ROUND(D221-N221-MIN(D221-N221,MAX(0,$AF221-SUMPRODUCT(--($B$4:$K$4&lt;D$4),$B221:$K221-$L221:$U221))),2)</f>
        <v>0</v>
      </c>
      <c r="Y221" s="39" t="n">
        <f aca="false">ROUND(E221-O221-MIN(E221-O221,MAX(0,$AF221-SUMPRODUCT(--($B$4:$K$4&lt;E$4),$B221:$K221-$L221:$U221))),2)</f>
        <v>0</v>
      </c>
      <c r="Z221" s="39" t="n">
        <f aca="false">ROUND(F221-P221-MIN(F221-P221,MAX(0,$AF221-SUMPRODUCT(--($B$4:$K$4&lt;F$4),$B221:$K221-$L221:$U221))),2)</f>
        <v>0</v>
      </c>
      <c r="AA221" s="39" t="n">
        <f aca="false">ROUND(G221-Q221-MIN(G221-Q221,MAX(0,$AF221-SUMPRODUCT(--($B$4:$K$4&lt;G$4),$B221:$K221-$L221:$U221))),2)</f>
        <v>0</v>
      </c>
      <c r="AB221" s="39" t="n">
        <f aca="false">ROUND(H221-R221-MIN(H221-R221,MAX(0,$AF221-SUMPRODUCT(--($B$4:$K$4&lt;H$4),$B221:$K221-$L221:$U221))),2)</f>
        <v>0</v>
      </c>
      <c r="AC221" s="39" t="n">
        <f aca="false">ROUND(I221-S221-MIN(I221-S221,MAX(0,$AF221-SUMPRODUCT(--($B$4:$K$4&lt;I$4),$B221:$K221-$L221:$U221))),2)</f>
        <v>0</v>
      </c>
      <c r="AD221" s="39" t="n">
        <f aca="false">ROUND(J221-T221-MIN(J221-T221,MAX(0,$AF221-SUMPRODUCT(--($B$4:$K$4&lt;J$4),$B221:$K221-$L221:$U221))),2)</f>
        <v>0</v>
      </c>
      <c r="AE221" s="39" t="n">
        <f aca="false">ROUND(K221-U221-MIN(K221-U221,MAX(0,$AF221-SUMPRODUCT(--($B$4:$K$4&lt;K$4),$B221:$K221-$L221:$U221))),2)</f>
        <v>0</v>
      </c>
      <c r="AF221" s="39" t="n">
        <f aca="false">MAX(0,'Start Here'!$C$5-SUM($L221:$U221))</f>
        <v>1200</v>
      </c>
      <c r="AG221" s="39" t="n">
        <f aca="false">SUM(V221:AE221)</f>
        <v>0</v>
      </c>
      <c r="AH221" s="39" t="n">
        <f aca="false">SUM(B221:K221)-AG220</f>
        <v>0</v>
      </c>
    </row>
    <row r="222" customFormat="false" ht="15" hidden="false" customHeight="false" outlineLevel="0" collapsed="false">
      <c r="A222" s="40" t="n">
        <f aca="false">DATE(YEAR('Start Here'!$C$6),MONTH('Start Here'!$C$6)+215,1)</f>
        <v>52841</v>
      </c>
      <c r="B222" s="39" t="n">
        <f aca="false">ROUND(V221*(1+N('My Debts'!$D$6)/12),2)</f>
        <v>0</v>
      </c>
      <c r="C222" s="39" t="n">
        <f aca="false">ROUND(W221*(1+N('My Debts'!$D$7)/12),2)</f>
        <v>0</v>
      </c>
      <c r="D222" s="39" t="n">
        <f aca="false">ROUND(X221*(1+N('My Debts'!$D$8)/12),2)</f>
        <v>0</v>
      </c>
      <c r="E222" s="39" t="n">
        <f aca="false">ROUND(Y221*(1+N('My Debts'!$D$9)/12),2)</f>
        <v>0</v>
      </c>
      <c r="F222" s="39" t="n">
        <f aca="false">ROUND(Z221*(1+N('My Debts'!$D$10)/12),2)</f>
        <v>0</v>
      </c>
      <c r="G222" s="39" t="n">
        <f aca="false">ROUND(AA221*(1+N('My Debts'!$D$11)/12),2)</f>
        <v>0</v>
      </c>
      <c r="H222" s="39" t="n">
        <f aca="false">ROUND(AB221*(1+N('My Debts'!$D$12)/12),2)</f>
        <v>0</v>
      </c>
      <c r="I222" s="39" t="n">
        <f aca="false">ROUND(AC221*(1+N('My Debts'!$D$13)/12),2)</f>
        <v>0</v>
      </c>
      <c r="J222" s="39" t="n">
        <f aca="false">ROUND(AD221*(1+N('My Debts'!$D$14)/12),2)</f>
        <v>0</v>
      </c>
      <c r="K222" s="39" t="n">
        <f aca="false">ROUND(AE221*(1+N('My Debts'!$D$15)/12),2)</f>
        <v>0</v>
      </c>
      <c r="L222" s="39" t="n">
        <f aca="false">MIN(N('My Debts'!$E$6),B222)</f>
        <v>0</v>
      </c>
      <c r="M222" s="39" t="n">
        <f aca="false">MIN(N('My Debts'!$E$7),C222)</f>
        <v>0</v>
      </c>
      <c r="N222" s="39" t="n">
        <f aca="false">MIN(N('My Debts'!$E$8),D222)</f>
        <v>0</v>
      </c>
      <c r="O222" s="39" t="n">
        <f aca="false">MIN(N('My Debts'!$E$9),E222)</f>
        <v>0</v>
      </c>
      <c r="P222" s="39" t="n">
        <f aca="false">MIN(N('My Debts'!$E$10),F222)</f>
        <v>0</v>
      </c>
      <c r="Q222" s="39" t="n">
        <f aca="false">MIN(N('My Debts'!$E$11),G222)</f>
        <v>0</v>
      </c>
      <c r="R222" s="39" t="n">
        <f aca="false">MIN(N('My Debts'!$E$12),H222)</f>
        <v>0</v>
      </c>
      <c r="S222" s="39" t="n">
        <f aca="false">MIN(N('My Debts'!$E$13),I222)</f>
        <v>0</v>
      </c>
      <c r="T222" s="39" t="n">
        <f aca="false">MIN(N('My Debts'!$E$14),J222)</f>
        <v>0</v>
      </c>
      <c r="U222" s="39" t="n">
        <f aca="false">MIN(N('My Debts'!$E$15),K222)</f>
        <v>0</v>
      </c>
      <c r="V222" s="39" t="n">
        <f aca="false">ROUND(B222-L222-MIN(B222-L222,MAX(0,$AF222-SUMPRODUCT(--($B$4:$K$4&lt;B$4),$B222:$K222-$L222:$U222))),2)</f>
        <v>0</v>
      </c>
      <c r="W222" s="39" t="n">
        <f aca="false">ROUND(C222-M222-MIN(C222-M222,MAX(0,$AF222-SUMPRODUCT(--($B$4:$K$4&lt;C$4),$B222:$K222-$L222:$U222))),2)</f>
        <v>0</v>
      </c>
      <c r="X222" s="39" t="n">
        <f aca="false">ROUND(D222-N222-MIN(D222-N222,MAX(0,$AF222-SUMPRODUCT(--($B$4:$K$4&lt;D$4),$B222:$K222-$L222:$U222))),2)</f>
        <v>0</v>
      </c>
      <c r="Y222" s="39" t="n">
        <f aca="false">ROUND(E222-O222-MIN(E222-O222,MAX(0,$AF222-SUMPRODUCT(--($B$4:$K$4&lt;E$4),$B222:$K222-$L222:$U222))),2)</f>
        <v>0</v>
      </c>
      <c r="Z222" s="39" t="n">
        <f aca="false">ROUND(F222-P222-MIN(F222-P222,MAX(0,$AF222-SUMPRODUCT(--($B$4:$K$4&lt;F$4),$B222:$K222-$L222:$U222))),2)</f>
        <v>0</v>
      </c>
      <c r="AA222" s="39" t="n">
        <f aca="false">ROUND(G222-Q222-MIN(G222-Q222,MAX(0,$AF222-SUMPRODUCT(--($B$4:$K$4&lt;G$4),$B222:$K222-$L222:$U222))),2)</f>
        <v>0</v>
      </c>
      <c r="AB222" s="39" t="n">
        <f aca="false">ROUND(H222-R222-MIN(H222-R222,MAX(0,$AF222-SUMPRODUCT(--($B$4:$K$4&lt;H$4),$B222:$K222-$L222:$U222))),2)</f>
        <v>0</v>
      </c>
      <c r="AC222" s="39" t="n">
        <f aca="false">ROUND(I222-S222-MIN(I222-S222,MAX(0,$AF222-SUMPRODUCT(--($B$4:$K$4&lt;I$4),$B222:$K222-$L222:$U222))),2)</f>
        <v>0</v>
      </c>
      <c r="AD222" s="39" t="n">
        <f aca="false">ROUND(J222-T222-MIN(J222-T222,MAX(0,$AF222-SUMPRODUCT(--($B$4:$K$4&lt;J$4),$B222:$K222-$L222:$U222))),2)</f>
        <v>0</v>
      </c>
      <c r="AE222" s="39" t="n">
        <f aca="false">ROUND(K222-U222-MIN(K222-U222,MAX(0,$AF222-SUMPRODUCT(--($B$4:$K$4&lt;K$4),$B222:$K222-$L222:$U222))),2)</f>
        <v>0</v>
      </c>
      <c r="AF222" s="39" t="n">
        <f aca="false">MAX(0,'Start Here'!$C$5-SUM($L222:$U222))</f>
        <v>1200</v>
      </c>
      <c r="AG222" s="39" t="n">
        <f aca="false">SUM(V222:AE222)</f>
        <v>0</v>
      </c>
      <c r="AH222" s="39" t="n">
        <f aca="false">SUM(B222:K222)-AG221</f>
        <v>0</v>
      </c>
    </row>
    <row r="223" customFormat="false" ht="15" hidden="false" customHeight="false" outlineLevel="0" collapsed="false">
      <c r="A223" s="40" t="n">
        <f aca="false">DATE(YEAR('Start Here'!$C$6),MONTH('Start Here'!$C$6)+216,1)</f>
        <v>52871</v>
      </c>
      <c r="B223" s="39" t="n">
        <f aca="false">ROUND(V222*(1+N('My Debts'!$D$6)/12),2)</f>
        <v>0</v>
      </c>
      <c r="C223" s="39" t="n">
        <f aca="false">ROUND(W222*(1+N('My Debts'!$D$7)/12),2)</f>
        <v>0</v>
      </c>
      <c r="D223" s="39" t="n">
        <f aca="false">ROUND(X222*(1+N('My Debts'!$D$8)/12),2)</f>
        <v>0</v>
      </c>
      <c r="E223" s="39" t="n">
        <f aca="false">ROUND(Y222*(1+N('My Debts'!$D$9)/12),2)</f>
        <v>0</v>
      </c>
      <c r="F223" s="39" t="n">
        <f aca="false">ROUND(Z222*(1+N('My Debts'!$D$10)/12),2)</f>
        <v>0</v>
      </c>
      <c r="G223" s="39" t="n">
        <f aca="false">ROUND(AA222*(1+N('My Debts'!$D$11)/12),2)</f>
        <v>0</v>
      </c>
      <c r="H223" s="39" t="n">
        <f aca="false">ROUND(AB222*(1+N('My Debts'!$D$12)/12),2)</f>
        <v>0</v>
      </c>
      <c r="I223" s="39" t="n">
        <f aca="false">ROUND(AC222*(1+N('My Debts'!$D$13)/12),2)</f>
        <v>0</v>
      </c>
      <c r="J223" s="39" t="n">
        <f aca="false">ROUND(AD222*(1+N('My Debts'!$D$14)/12),2)</f>
        <v>0</v>
      </c>
      <c r="K223" s="39" t="n">
        <f aca="false">ROUND(AE222*(1+N('My Debts'!$D$15)/12),2)</f>
        <v>0</v>
      </c>
      <c r="L223" s="39" t="n">
        <f aca="false">MIN(N('My Debts'!$E$6),B223)</f>
        <v>0</v>
      </c>
      <c r="M223" s="39" t="n">
        <f aca="false">MIN(N('My Debts'!$E$7),C223)</f>
        <v>0</v>
      </c>
      <c r="N223" s="39" t="n">
        <f aca="false">MIN(N('My Debts'!$E$8),D223)</f>
        <v>0</v>
      </c>
      <c r="O223" s="39" t="n">
        <f aca="false">MIN(N('My Debts'!$E$9),E223)</f>
        <v>0</v>
      </c>
      <c r="P223" s="39" t="n">
        <f aca="false">MIN(N('My Debts'!$E$10),F223)</f>
        <v>0</v>
      </c>
      <c r="Q223" s="39" t="n">
        <f aca="false">MIN(N('My Debts'!$E$11),G223)</f>
        <v>0</v>
      </c>
      <c r="R223" s="39" t="n">
        <f aca="false">MIN(N('My Debts'!$E$12),H223)</f>
        <v>0</v>
      </c>
      <c r="S223" s="39" t="n">
        <f aca="false">MIN(N('My Debts'!$E$13),I223)</f>
        <v>0</v>
      </c>
      <c r="T223" s="39" t="n">
        <f aca="false">MIN(N('My Debts'!$E$14),J223)</f>
        <v>0</v>
      </c>
      <c r="U223" s="39" t="n">
        <f aca="false">MIN(N('My Debts'!$E$15),K223)</f>
        <v>0</v>
      </c>
      <c r="V223" s="39" t="n">
        <f aca="false">ROUND(B223-L223-MIN(B223-L223,MAX(0,$AF223-SUMPRODUCT(--($B$4:$K$4&lt;B$4),$B223:$K223-$L223:$U223))),2)</f>
        <v>0</v>
      </c>
      <c r="W223" s="39" t="n">
        <f aca="false">ROUND(C223-M223-MIN(C223-M223,MAX(0,$AF223-SUMPRODUCT(--($B$4:$K$4&lt;C$4),$B223:$K223-$L223:$U223))),2)</f>
        <v>0</v>
      </c>
      <c r="X223" s="39" t="n">
        <f aca="false">ROUND(D223-N223-MIN(D223-N223,MAX(0,$AF223-SUMPRODUCT(--($B$4:$K$4&lt;D$4),$B223:$K223-$L223:$U223))),2)</f>
        <v>0</v>
      </c>
      <c r="Y223" s="39" t="n">
        <f aca="false">ROUND(E223-O223-MIN(E223-O223,MAX(0,$AF223-SUMPRODUCT(--($B$4:$K$4&lt;E$4),$B223:$K223-$L223:$U223))),2)</f>
        <v>0</v>
      </c>
      <c r="Z223" s="39" t="n">
        <f aca="false">ROUND(F223-P223-MIN(F223-P223,MAX(0,$AF223-SUMPRODUCT(--($B$4:$K$4&lt;F$4),$B223:$K223-$L223:$U223))),2)</f>
        <v>0</v>
      </c>
      <c r="AA223" s="39" t="n">
        <f aca="false">ROUND(G223-Q223-MIN(G223-Q223,MAX(0,$AF223-SUMPRODUCT(--($B$4:$K$4&lt;G$4),$B223:$K223-$L223:$U223))),2)</f>
        <v>0</v>
      </c>
      <c r="AB223" s="39" t="n">
        <f aca="false">ROUND(H223-R223-MIN(H223-R223,MAX(0,$AF223-SUMPRODUCT(--($B$4:$K$4&lt;H$4),$B223:$K223-$L223:$U223))),2)</f>
        <v>0</v>
      </c>
      <c r="AC223" s="39" t="n">
        <f aca="false">ROUND(I223-S223-MIN(I223-S223,MAX(0,$AF223-SUMPRODUCT(--($B$4:$K$4&lt;I$4),$B223:$K223-$L223:$U223))),2)</f>
        <v>0</v>
      </c>
      <c r="AD223" s="39" t="n">
        <f aca="false">ROUND(J223-T223-MIN(J223-T223,MAX(0,$AF223-SUMPRODUCT(--($B$4:$K$4&lt;J$4),$B223:$K223-$L223:$U223))),2)</f>
        <v>0</v>
      </c>
      <c r="AE223" s="39" t="n">
        <f aca="false">ROUND(K223-U223-MIN(K223-U223,MAX(0,$AF223-SUMPRODUCT(--($B$4:$K$4&lt;K$4),$B223:$K223-$L223:$U223))),2)</f>
        <v>0</v>
      </c>
      <c r="AF223" s="39" t="n">
        <f aca="false">MAX(0,'Start Here'!$C$5-SUM($L223:$U223))</f>
        <v>1200</v>
      </c>
      <c r="AG223" s="39" t="n">
        <f aca="false">SUM(V223:AE223)</f>
        <v>0</v>
      </c>
      <c r="AH223" s="39" t="n">
        <f aca="false">SUM(B223:K223)-AG222</f>
        <v>0</v>
      </c>
    </row>
    <row r="224" customFormat="false" ht="15" hidden="false" customHeight="false" outlineLevel="0" collapsed="false">
      <c r="A224" s="40" t="n">
        <f aca="false">DATE(YEAR('Start Here'!$C$6),MONTH('Start Here'!$C$6)+217,1)</f>
        <v>52902</v>
      </c>
      <c r="B224" s="39" t="n">
        <f aca="false">ROUND(V223*(1+N('My Debts'!$D$6)/12),2)</f>
        <v>0</v>
      </c>
      <c r="C224" s="39" t="n">
        <f aca="false">ROUND(W223*(1+N('My Debts'!$D$7)/12),2)</f>
        <v>0</v>
      </c>
      <c r="D224" s="39" t="n">
        <f aca="false">ROUND(X223*(1+N('My Debts'!$D$8)/12),2)</f>
        <v>0</v>
      </c>
      <c r="E224" s="39" t="n">
        <f aca="false">ROUND(Y223*(1+N('My Debts'!$D$9)/12),2)</f>
        <v>0</v>
      </c>
      <c r="F224" s="39" t="n">
        <f aca="false">ROUND(Z223*(1+N('My Debts'!$D$10)/12),2)</f>
        <v>0</v>
      </c>
      <c r="G224" s="39" t="n">
        <f aca="false">ROUND(AA223*(1+N('My Debts'!$D$11)/12),2)</f>
        <v>0</v>
      </c>
      <c r="H224" s="39" t="n">
        <f aca="false">ROUND(AB223*(1+N('My Debts'!$D$12)/12),2)</f>
        <v>0</v>
      </c>
      <c r="I224" s="39" t="n">
        <f aca="false">ROUND(AC223*(1+N('My Debts'!$D$13)/12),2)</f>
        <v>0</v>
      </c>
      <c r="J224" s="39" t="n">
        <f aca="false">ROUND(AD223*(1+N('My Debts'!$D$14)/12),2)</f>
        <v>0</v>
      </c>
      <c r="K224" s="39" t="n">
        <f aca="false">ROUND(AE223*(1+N('My Debts'!$D$15)/12),2)</f>
        <v>0</v>
      </c>
      <c r="L224" s="39" t="n">
        <f aca="false">MIN(N('My Debts'!$E$6),B224)</f>
        <v>0</v>
      </c>
      <c r="M224" s="39" t="n">
        <f aca="false">MIN(N('My Debts'!$E$7),C224)</f>
        <v>0</v>
      </c>
      <c r="N224" s="39" t="n">
        <f aca="false">MIN(N('My Debts'!$E$8),D224)</f>
        <v>0</v>
      </c>
      <c r="O224" s="39" t="n">
        <f aca="false">MIN(N('My Debts'!$E$9),E224)</f>
        <v>0</v>
      </c>
      <c r="P224" s="39" t="n">
        <f aca="false">MIN(N('My Debts'!$E$10),F224)</f>
        <v>0</v>
      </c>
      <c r="Q224" s="39" t="n">
        <f aca="false">MIN(N('My Debts'!$E$11),G224)</f>
        <v>0</v>
      </c>
      <c r="R224" s="39" t="n">
        <f aca="false">MIN(N('My Debts'!$E$12),H224)</f>
        <v>0</v>
      </c>
      <c r="S224" s="39" t="n">
        <f aca="false">MIN(N('My Debts'!$E$13),I224)</f>
        <v>0</v>
      </c>
      <c r="T224" s="39" t="n">
        <f aca="false">MIN(N('My Debts'!$E$14),J224)</f>
        <v>0</v>
      </c>
      <c r="U224" s="39" t="n">
        <f aca="false">MIN(N('My Debts'!$E$15),K224)</f>
        <v>0</v>
      </c>
      <c r="V224" s="39" t="n">
        <f aca="false">ROUND(B224-L224-MIN(B224-L224,MAX(0,$AF224-SUMPRODUCT(--($B$4:$K$4&lt;B$4),$B224:$K224-$L224:$U224))),2)</f>
        <v>0</v>
      </c>
      <c r="W224" s="39" t="n">
        <f aca="false">ROUND(C224-M224-MIN(C224-M224,MAX(0,$AF224-SUMPRODUCT(--($B$4:$K$4&lt;C$4),$B224:$K224-$L224:$U224))),2)</f>
        <v>0</v>
      </c>
      <c r="X224" s="39" t="n">
        <f aca="false">ROUND(D224-N224-MIN(D224-N224,MAX(0,$AF224-SUMPRODUCT(--($B$4:$K$4&lt;D$4),$B224:$K224-$L224:$U224))),2)</f>
        <v>0</v>
      </c>
      <c r="Y224" s="39" t="n">
        <f aca="false">ROUND(E224-O224-MIN(E224-O224,MAX(0,$AF224-SUMPRODUCT(--($B$4:$K$4&lt;E$4),$B224:$K224-$L224:$U224))),2)</f>
        <v>0</v>
      </c>
      <c r="Z224" s="39" t="n">
        <f aca="false">ROUND(F224-P224-MIN(F224-P224,MAX(0,$AF224-SUMPRODUCT(--($B$4:$K$4&lt;F$4),$B224:$K224-$L224:$U224))),2)</f>
        <v>0</v>
      </c>
      <c r="AA224" s="39" t="n">
        <f aca="false">ROUND(G224-Q224-MIN(G224-Q224,MAX(0,$AF224-SUMPRODUCT(--($B$4:$K$4&lt;G$4),$B224:$K224-$L224:$U224))),2)</f>
        <v>0</v>
      </c>
      <c r="AB224" s="39" t="n">
        <f aca="false">ROUND(H224-R224-MIN(H224-R224,MAX(0,$AF224-SUMPRODUCT(--($B$4:$K$4&lt;H$4),$B224:$K224-$L224:$U224))),2)</f>
        <v>0</v>
      </c>
      <c r="AC224" s="39" t="n">
        <f aca="false">ROUND(I224-S224-MIN(I224-S224,MAX(0,$AF224-SUMPRODUCT(--($B$4:$K$4&lt;I$4),$B224:$K224-$L224:$U224))),2)</f>
        <v>0</v>
      </c>
      <c r="AD224" s="39" t="n">
        <f aca="false">ROUND(J224-T224-MIN(J224-T224,MAX(0,$AF224-SUMPRODUCT(--($B$4:$K$4&lt;J$4),$B224:$K224-$L224:$U224))),2)</f>
        <v>0</v>
      </c>
      <c r="AE224" s="39" t="n">
        <f aca="false">ROUND(K224-U224-MIN(K224-U224,MAX(0,$AF224-SUMPRODUCT(--($B$4:$K$4&lt;K$4),$B224:$K224-$L224:$U224))),2)</f>
        <v>0</v>
      </c>
      <c r="AF224" s="39" t="n">
        <f aca="false">MAX(0,'Start Here'!$C$5-SUM($L224:$U224))</f>
        <v>1200</v>
      </c>
      <c r="AG224" s="39" t="n">
        <f aca="false">SUM(V224:AE224)</f>
        <v>0</v>
      </c>
      <c r="AH224" s="39" t="n">
        <f aca="false">SUM(B224:K224)-AG223</f>
        <v>0</v>
      </c>
    </row>
    <row r="225" customFormat="false" ht="15" hidden="false" customHeight="false" outlineLevel="0" collapsed="false">
      <c r="A225" s="40" t="n">
        <f aca="false">DATE(YEAR('Start Here'!$C$6),MONTH('Start Here'!$C$6)+218,1)</f>
        <v>52932</v>
      </c>
      <c r="B225" s="39" t="n">
        <f aca="false">ROUND(V224*(1+N('My Debts'!$D$6)/12),2)</f>
        <v>0</v>
      </c>
      <c r="C225" s="39" t="n">
        <f aca="false">ROUND(W224*(1+N('My Debts'!$D$7)/12),2)</f>
        <v>0</v>
      </c>
      <c r="D225" s="39" t="n">
        <f aca="false">ROUND(X224*(1+N('My Debts'!$D$8)/12),2)</f>
        <v>0</v>
      </c>
      <c r="E225" s="39" t="n">
        <f aca="false">ROUND(Y224*(1+N('My Debts'!$D$9)/12),2)</f>
        <v>0</v>
      </c>
      <c r="F225" s="39" t="n">
        <f aca="false">ROUND(Z224*(1+N('My Debts'!$D$10)/12),2)</f>
        <v>0</v>
      </c>
      <c r="G225" s="39" t="n">
        <f aca="false">ROUND(AA224*(1+N('My Debts'!$D$11)/12),2)</f>
        <v>0</v>
      </c>
      <c r="H225" s="39" t="n">
        <f aca="false">ROUND(AB224*(1+N('My Debts'!$D$12)/12),2)</f>
        <v>0</v>
      </c>
      <c r="I225" s="39" t="n">
        <f aca="false">ROUND(AC224*(1+N('My Debts'!$D$13)/12),2)</f>
        <v>0</v>
      </c>
      <c r="J225" s="39" t="n">
        <f aca="false">ROUND(AD224*(1+N('My Debts'!$D$14)/12),2)</f>
        <v>0</v>
      </c>
      <c r="K225" s="39" t="n">
        <f aca="false">ROUND(AE224*(1+N('My Debts'!$D$15)/12),2)</f>
        <v>0</v>
      </c>
      <c r="L225" s="39" t="n">
        <f aca="false">MIN(N('My Debts'!$E$6),B225)</f>
        <v>0</v>
      </c>
      <c r="M225" s="39" t="n">
        <f aca="false">MIN(N('My Debts'!$E$7),C225)</f>
        <v>0</v>
      </c>
      <c r="N225" s="39" t="n">
        <f aca="false">MIN(N('My Debts'!$E$8),D225)</f>
        <v>0</v>
      </c>
      <c r="O225" s="39" t="n">
        <f aca="false">MIN(N('My Debts'!$E$9),E225)</f>
        <v>0</v>
      </c>
      <c r="P225" s="39" t="n">
        <f aca="false">MIN(N('My Debts'!$E$10),F225)</f>
        <v>0</v>
      </c>
      <c r="Q225" s="39" t="n">
        <f aca="false">MIN(N('My Debts'!$E$11),G225)</f>
        <v>0</v>
      </c>
      <c r="R225" s="39" t="n">
        <f aca="false">MIN(N('My Debts'!$E$12),H225)</f>
        <v>0</v>
      </c>
      <c r="S225" s="39" t="n">
        <f aca="false">MIN(N('My Debts'!$E$13),I225)</f>
        <v>0</v>
      </c>
      <c r="T225" s="39" t="n">
        <f aca="false">MIN(N('My Debts'!$E$14),J225)</f>
        <v>0</v>
      </c>
      <c r="U225" s="39" t="n">
        <f aca="false">MIN(N('My Debts'!$E$15),K225)</f>
        <v>0</v>
      </c>
      <c r="V225" s="39" t="n">
        <f aca="false">ROUND(B225-L225-MIN(B225-L225,MAX(0,$AF225-SUMPRODUCT(--($B$4:$K$4&lt;B$4),$B225:$K225-$L225:$U225))),2)</f>
        <v>0</v>
      </c>
      <c r="W225" s="39" t="n">
        <f aca="false">ROUND(C225-M225-MIN(C225-M225,MAX(0,$AF225-SUMPRODUCT(--($B$4:$K$4&lt;C$4),$B225:$K225-$L225:$U225))),2)</f>
        <v>0</v>
      </c>
      <c r="X225" s="39" t="n">
        <f aca="false">ROUND(D225-N225-MIN(D225-N225,MAX(0,$AF225-SUMPRODUCT(--($B$4:$K$4&lt;D$4),$B225:$K225-$L225:$U225))),2)</f>
        <v>0</v>
      </c>
      <c r="Y225" s="39" t="n">
        <f aca="false">ROUND(E225-O225-MIN(E225-O225,MAX(0,$AF225-SUMPRODUCT(--($B$4:$K$4&lt;E$4),$B225:$K225-$L225:$U225))),2)</f>
        <v>0</v>
      </c>
      <c r="Z225" s="39" t="n">
        <f aca="false">ROUND(F225-P225-MIN(F225-P225,MAX(0,$AF225-SUMPRODUCT(--($B$4:$K$4&lt;F$4),$B225:$K225-$L225:$U225))),2)</f>
        <v>0</v>
      </c>
      <c r="AA225" s="39" t="n">
        <f aca="false">ROUND(G225-Q225-MIN(G225-Q225,MAX(0,$AF225-SUMPRODUCT(--($B$4:$K$4&lt;G$4),$B225:$K225-$L225:$U225))),2)</f>
        <v>0</v>
      </c>
      <c r="AB225" s="39" t="n">
        <f aca="false">ROUND(H225-R225-MIN(H225-R225,MAX(0,$AF225-SUMPRODUCT(--($B$4:$K$4&lt;H$4),$B225:$K225-$L225:$U225))),2)</f>
        <v>0</v>
      </c>
      <c r="AC225" s="39" t="n">
        <f aca="false">ROUND(I225-S225-MIN(I225-S225,MAX(0,$AF225-SUMPRODUCT(--($B$4:$K$4&lt;I$4),$B225:$K225-$L225:$U225))),2)</f>
        <v>0</v>
      </c>
      <c r="AD225" s="39" t="n">
        <f aca="false">ROUND(J225-T225-MIN(J225-T225,MAX(0,$AF225-SUMPRODUCT(--($B$4:$K$4&lt;J$4),$B225:$K225-$L225:$U225))),2)</f>
        <v>0</v>
      </c>
      <c r="AE225" s="39" t="n">
        <f aca="false">ROUND(K225-U225-MIN(K225-U225,MAX(0,$AF225-SUMPRODUCT(--($B$4:$K$4&lt;K$4),$B225:$K225-$L225:$U225))),2)</f>
        <v>0</v>
      </c>
      <c r="AF225" s="39" t="n">
        <f aca="false">MAX(0,'Start Here'!$C$5-SUM($L225:$U225))</f>
        <v>1200</v>
      </c>
      <c r="AG225" s="39" t="n">
        <f aca="false">SUM(V225:AE225)</f>
        <v>0</v>
      </c>
      <c r="AH225" s="39" t="n">
        <f aca="false">SUM(B225:K225)-AG224</f>
        <v>0</v>
      </c>
    </row>
    <row r="226" customFormat="false" ht="15" hidden="false" customHeight="false" outlineLevel="0" collapsed="false">
      <c r="A226" s="40" t="n">
        <f aca="false">DATE(YEAR('Start Here'!$C$6),MONTH('Start Here'!$C$6)+219,1)</f>
        <v>52963</v>
      </c>
      <c r="B226" s="39" t="n">
        <f aca="false">ROUND(V225*(1+N('My Debts'!$D$6)/12),2)</f>
        <v>0</v>
      </c>
      <c r="C226" s="39" t="n">
        <f aca="false">ROUND(W225*(1+N('My Debts'!$D$7)/12),2)</f>
        <v>0</v>
      </c>
      <c r="D226" s="39" t="n">
        <f aca="false">ROUND(X225*(1+N('My Debts'!$D$8)/12),2)</f>
        <v>0</v>
      </c>
      <c r="E226" s="39" t="n">
        <f aca="false">ROUND(Y225*(1+N('My Debts'!$D$9)/12),2)</f>
        <v>0</v>
      </c>
      <c r="F226" s="39" t="n">
        <f aca="false">ROUND(Z225*(1+N('My Debts'!$D$10)/12),2)</f>
        <v>0</v>
      </c>
      <c r="G226" s="39" t="n">
        <f aca="false">ROUND(AA225*(1+N('My Debts'!$D$11)/12),2)</f>
        <v>0</v>
      </c>
      <c r="H226" s="39" t="n">
        <f aca="false">ROUND(AB225*(1+N('My Debts'!$D$12)/12),2)</f>
        <v>0</v>
      </c>
      <c r="I226" s="39" t="n">
        <f aca="false">ROUND(AC225*(1+N('My Debts'!$D$13)/12),2)</f>
        <v>0</v>
      </c>
      <c r="J226" s="39" t="n">
        <f aca="false">ROUND(AD225*(1+N('My Debts'!$D$14)/12),2)</f>
        <v>0</v>
      </c>
      <c r="K226" s="39" t="n">
        <f aca="false">ROUND(AE225*(1+N('My Debts'!$D$15)/12),2)</f>
        <v>0</v>
      </c>
      <c r="L226" s="39" t="n">
        <f aca="false">MIN(N('My Debts'!$E$6),B226)</f>
        <v>0</v>
      </c>
      <c r="M226" s="39" t="n">
        <f aca="false">MIN(N('My Debts'!$E$7),C226)</f>
        <v>0</v>
      </c>
      <c r="N226" s="39" t="n">
        <f aca="false">MIN(N('My Debts'!$E$8),D226)</f>
        <v>0</v>
      </c>
      <c r="O226" s="39" t="n">
        <f aca="false">MIN(N('My Debts'!$E$9),E226)</f>
        <v>0</v>
      </c>
      <c r="P226" s="39" t="n">
        <f aca="false">MIN(N('My Debts'!$E$10),F226)</f>
        <v>0</v>
      </c>
      <c r="Q226" s="39" t="n">
        <f aca="false">MIN(N('My Debts'!$E$11),G226)</f>
        <v>0</v>
      </c>
      <c r="R226" s="39" t="n">
        <f aca="false">MIN(N('My Debts'!$E$12),H226)</f>
        <v>0</v>
      </c>
      <c r="S226" s="39" t="n">
        <f aca="false">MIN(N('My Debts'!$E$13),I226)</f>
        <v>0</v>
      </c>
      <c r="T226" s="39" t="n">
        <f aca="false">MIN(N('My Debts'!$E$14),J226)</f>
        <v>0</v>
      </c>
      <c r="U226" s="39" t="n">
        <f aca="false">MIN(N('My Debts'!$E$15),K226)</f>
        <v>0</v>
      </c>
      <c r="V226" s="39" t="n">
        <f aca="false">ROUND(B226-L226-MIN(B226-L226,MAX(0,$AF226-SUMPRODUCT(--($B$4:$K$4&lt;B$4),$B226:$K226-$L226:$U226))),2)</f>
        <v>0</v>
      </c>
      <c r="W226" s="39" t="n">
        <f aca="false">ROUND(C226-M226-MIN(C226-M226,MAX(0,$AF226-SUMPRODUCT(--($B$4:$K$4&lt;C$4),$B226:$K226-$L226:$U226))),2)</f>
        <v>0</v>
      </c>
      <c r="X226" s="39" t="n">
        <f aca="false">ROUND(D226-N226-MIN(D226-N226,MAX(0,$AF226-SUMPRODUCT(--($B$4:$K$4&lt;D$4),$B226:$K226-$L226:$U226))),2)</f>
        <v>0</v>
      </c>
      <c r="Y226" s="39" t="n">
        <f aca="false">ROUND(E226-O226-MIN(E226-O226,MAX(0,$AF226-SUMPRODUCT(--($B$4:$K$4&lt;E$4),$B226:$K226-$L226:$U226))),2)</f>
        <v>0</v>
      </c>
      <c r="Z226" s="39" t="n">
        <f aca="false">ROUND(F226-P226-MIN(F226-P226,MAX(0,$AF226-SUMPRODUCT(--($B$4:$K$4&lt;F$4),$B226:$K226-$L226:$U226))),2)</f>
        <v>0</v>
      </c>
      <c r="AA226" s="39" t="n">
        <f aca="false">ROUND(G226-Q226-MIN(G226-Q226,MAX(0,$AF226-SUMPRODUCT(--($B$4:$K$4&lt;G$4),$B226:$K226-$L226:$U226))),2)</f>
        <v>0</v>
      </c>
      <c r="AB226" s="39" t="n">
        <f aca="false">ROUND(H226-R226-MIN(H226-R226,MAX(0,$AF226-SUMPRODUCT(--($B$4:$K$4&lt;H$4),$B226:$K226-$L226:$U226))),2)</f>
        <v>0</v>
      </c>
      <c r="AC226" s="39" t="n">
        <f aca="false">ROUND(I226-S226-MIN(I226-S226,MAX(0,$AF226-SUMPRODUCT(--($B$4:$K$4&lt;I$4),$B226:$K226-$L226:$U226))),2)</f>
        <v>0</v>
      </c>
      <c r="AD226" s="39" t="n">
        <f aca="false">ROUND(J226-T226-MIN(J226-T226,MAX(0,$AF226-SUMPRODUCT(--($B$4:$K$4&lt;J$4),$B226:$K226-$L226:$U226))),2)</f>
        <v>0</v>
      </c>
      <c r="AE226" s="39" t="n">
        <f aca="false">ROUND(K226-U226-MIN(K226-U226,MAX(0,$AF226-SUMPRODUCT(--($B$4:$K$4&lt;K$4),$B226:$K226-$L226:$U226))),2)</f>
        <v>0</v>
      </c>
      <c r="AF226" s="39" t="n">
        <f aca="false">MAX(0,'Start Here'!$C$5-SUM($L226:$U226))</f>
        <v>1200</v>
      </c>
      <c r="AG226" s="39" t="n">
        <f aca="false">SUM(V226:AE226)</f>
        <v>0</v>
      </c>
      <c r="AH226" s="39" t="n">
        <f aca="false">SUM(B226:K226)-AG225</f>
        <v>0</v>
      </c>
    </row>
    <row r="227" customFormat="false" ht="15" hidden="false" customHeight="false" outlineLevel="0" collapsed="false">
      <c r="A227" s="40" t="n">
        <f aca="false">DATE(YEAR('Start Here'!$C$6),MONTH('Start Here'!$C$6)+220,1)</f>
        <v>52994</v>
      </c>
      <c r="B227" s="39" t="n">
        <f aca="false">ROUND(V226*(1+N('My Debts'!$D$6)/12),2)</f>
        <v>0</v>
      </c>
      <c r="C227" s="39" t="n">
        <f aca="false">ROUND(W226*(1+N('My Debts'!$D$7)/12),2)</f>
        <v>0</v>
      </c>
      <c r="D227" s="39" t="n">
        <f aca="false">ROUND(X226*(1+N('My Debts'!$D$8)/12),2)</f>
        <v>0</v>
      </c>
      <c r="E227" s="39" t="n">
        <f aca="false">ROUND(Y226*(1+N('My Debts'!$D$9)/12),2)</f>
        <v>0</v>
      </c>
      <c r="F227" s="39" t="n">
        <f aca="false">ROUND(Z226*(1+N('My Debts'!$D$10)/12),2)</f>
        <v>0</v>
      </c>
      <c r="G227" s="39" t="n">
        <f aca="false">ROUND(AA226*(1+N('My Debts'!$D$11)/12),2)</f>
        <v>0</v>
      </c>
      <c r="H227" s="39" t="n">
        <f aca="false">ROUND(AB226*(1+N('My Debts'!$D$12)/12),2)</f>
        <v>0</v>
      </c>
      <c r="I227" s="39" t="n">
        <f aca="false">ROUND(AC226*(1+N('My Debts'!$D$13)/12),2)</f>
        <v>0</v>
      </c>
      <c r="J227" s="39" t="n">
        <f aca="false">ROUND(AD226*(1+N('My Debts'!$D$14)/12),2)</f>
        <v>0</v>
      </c>
      <c r="K227" s="39" t="n">
        <f aca="false">ROUND(AE226*(1+N('My Debts'!$D$15)/12),2)</f>
        <v>0</v>
      </c>
      <c r="L227" s="39" t="n">
        <f aca="false">MIN(N('My Debts'!$E$6),B227)</f>
        <v>0</v>
      </c>
      <c r="M227" s="39" t="n">
        <f aca="false">MIN(N('My Debts'!$E$7),C227)</f>
        <v>0</v>
      </c>
      <c r="N227" s="39" t="n">
        <f aca="false">MIN(N('My Debts'!$E$8),D227)</f>
        <v>0</v>
      </c>
      <c r="O227" s="39" t="n">
        <f aca="false">MIN(N('My Debts'!$E$9),E227)</f>
        <v>0</v>
      </c>
      <c r="P227" s="39" t="n">
        <f aca="false">MIN(N('My Debts'!$E$10),F227)</f>
        <v>0</v>
      </c>
      <c r="Q227" s="39" t="n">
        <f aca="false">MIN(N('My Debts'!$E$11),G227)</f>
        <v>0</v>
      </c>
      <c r="R227" s="39" t="n">
        <f aca="false">MIN(N('My Debts'!$E$12),H227)</f>
        <v>0</v>
      </c>
      <c r="S227" s="39" t="n">
        <f aca="false">MIN(N('My Debts'!$E$13),I227)</f>
        <v>0</v>
      </c>
      <c r="T227" s="39" t="n">
        <f aca="false">MIN(N('My Debts'!$E$14),J227)</f>
        <v>0</v>
      </c>
      <c r="U227" s="39" t="n">
        <f aca="false">MIN(N('My Debts'!$E$15),K227)</f>
        <v>0</v>
      </c>
      <c r="V227" s="39" t="n">
        <f aca="false">ROUND(B227-L227-MIN(B227-L227,MAX(0,$AF227-SUMPRODUCT(--($B$4:$K$4&lt;B$4),$B227:$K227-$L227:$U227))),2)</f>
        <v>0</v>
      </c>
      <c r="W227" s="39" t="n">
        <f aca="false">ROUND(C227-M227-MIN(C227-M227,MAX(0,$AF227-SUMPRODUCT(--($B$4:$K$4&lt;C$4),$B227:$K227-$L227:$U227))),2)</f>
        <v>0</v>
      </c>
      <c r="X227" s="39" t="n">
        <f aca="false">ROUND(D227-N227-MIN(D227-N227,MAX(0,$AF227-SUMPRODUCT(--($B$4:$K$4&lt;D$4),$B227:$K227-$L227:$U227))),2)</f>
        <v>0</v>
      </c>
      <c r="Y227" s="39" t="n">
        <f aca="false">ROUND(E227-O227-MIN(E227-O227,MAX(0,$AF227-SUMPRODUCT(--($B$4:$K$4&lt;E$4),$B227:$K227-$L227:$U227))),2)</f>
        <v>0</v>
      </c>
      <c r="Z227" s="39" t="n">
        <f aca="false">ROUND(F227-P227-MIN(F227-P227,MAX(0,$AF227-SUMPRODUCT(--($B$4:$K$4&lt;F$4),$B227:$K227-$L227:$U227))),2)</f>
        <v>0</v>
      </c>
      <c r="AA227" s="39" t="n">
        <f aca="false">ROUND(G227-Q227-MIN(G227-Q227,MAX(0,$AF227-SUMPRODUCT(--($B$4:$K$4&lt;G$4),$B227:$K227-$L227:$U227))),2)</f>
        <v>0</v>
      </c>
      <c r="AB227" s="39" t="n">
        <f aca="false">ROUND(H227-R227-MIN(H227-R227,MAX(0,$AF227-SUMPRODUCT(--($B$4:$K$4&lt;H$4),$B227:$K227-$L227:$U227))),2)</f>
        <v>0</v>
      </c>
      <c r="AC227" s="39" t="n">
        <f aca="false">ROUND(I227-S227-MIN(I227-S227,MAX(0,$AF227-SUMPRODUCT(--($B$4:$K$4&lt;I$4),$B227:$K227-$L227:$U227))),2)</f>
        <v>0</v>
      </c>
      <c r="AD227" s="39" t="n">
        <f aca="false">ROUND(J227-T227-MIN(J227-T227,MAX(0,$AF227-SUMPRODUCT(--($B$4:$K$4&lt;J$4),$B227:$K227-$L227:$U227))),2)</f>
        <v>0</v>
      </c>
      <c r="AE227" s="39" t="n">
        <f aca="false">ROUND(K227-U227-MIN(K227-U227,MAX(0,$AF227-SUMPRODUCT(--($B$4:$K$4&lt;K$4),$B227:$K227-$L227:$U227))),2)</f>
        <v>0</v>
      </c>
      <c r="AF227" s="39" t="n">
        <f aca="false">MAX(0,'Start Here'!$C$5-SUM($L227:$U227))</f>
        <v>1200</v>
      </c>
      <c r="AG227" s="39" t="n">
        <f aca="false">SUM(V227:AE227)</f>
        <v>0</v>
      </c>
      <c r="AH227" s="39" t="n">
        <f aca="false">SUM(B227:K227)-AG226</f>
        <v>0</v>
      </c>
    </row>
    <row r="228" customFormat="false" ht="15" hidden="false" customHeight="false" outlineLevel="0" collapsed="false">
      <c r="A228" s="40" t="n">
        <f aca="false">DATE(YEAR('Start Here'!$C$6),MONTH('Start Here'!$C$6)+221,1)</f>
        <v>53022</v>
      </c>
      <c r="B228" s="39" t="n">
        <f aca="false">ROUND(V227*(1+N('My Debts'!$D$6)/12),2)</f>
        <v>0</v>
      </c>
      <c r="C228" s="39" t="n">
        <f aca="false">ROUND(W227*(1+N('My Debts'!$D$7)/12),2)</f>
        <v>0</v>
      </c>
      <c r="D228" s="39" t="n">
        <f aca="false">ROUND(X227*(1+N('My Debts'!$D$8)/12),2)</f>
        <v>0</v>
      </c>
      <c r="E228" s="39" t="n">
        <f aca="false">ROUND(Y227*(1+N('My Debts'!$D$9)/12),2)</f>
        <v>0</v>
      </c>
      <c r="F228" s="39" t="n">
        <f aca="false">ROUND(Z227*(1+N('My Debts'!$D$10)/12),2)</f>
        <v>0</v>
      </c>
      <c r="G228" s="39" t="n">
        <f aca="false">ROUND(AA227*(1+N('My Debts'!$D$11)/12),2)</f>
        <v>0</v>
      </c>
      <c r="H228" s="39" t="n">
        <f aca="false">ROUND(AB227*(1+N('My Debts'!$D$12)/12),2)</f>
        <v>0</v>
      </c>
      <c r="I228" s="39" t="n">
        <f aca="false">ROUND(AC227*(1+N('My Debts'!$D$13)/12),2)</f>
        <v>0</v>
      </c>
      <c r="J228" s="39" t="n">
        <f aca="false">ROUND(AD227*(1+N('My Debts'!$D$14)/12),2)</f>
        <v>0</v>
      </c>
      <c r="K228" s="39" t="n">
        <f aca="false">ROUND(AE227*(1+N('My Debts'!$D$15)/12),2)</f>
        <v>0</v>
      </c>
      <c r="L228" s="39" t="n">
        <f aca="false">MIN(N('My Debts'!$E$6),B228)</f>
        <v>0</v>
      </c>
      <c r="M228" s="39" t="n">
        <f aca="false">MIN(N('My Debts'!$E$7),C228)</f>
        <v>0</v>
      </c>
      <c r="N228" s="39" t="n">
        <f aca="false">MIN(N('My Debts'!$E$8),D228)</f>
        <v>0</v>
      </c>
      <c r="O228" s="39" t="n">
        <f aca="false">MIN(N('My Debts'!$E$9),E228)</f>
        <v>0</v>
      </c>
      <c r="P228" s="39" t="n">
        <f aca="false">MIN(N('My Debts'!$E$10),F228)</f>
        <v>0</v>
      </c>
      <c r="Q228" s="39" t="n">
        <f aca="false">MIN(N('My Debts'!$E$11),G228)</f>
        <v>0</v>
      </c>
      <c r="R228" s="39" t="n">
        <f aca="false">MIN(N('My Debts'!$E$12),H228)</f>
        <v>0</v>
      </c>
      <c r="S228" s="39" t="n">
        <f aca="false">MIN(N('My Debts'!$E$13),I228)</f>
        <v>0</v>
      </c>
      <c r="T228" s="39" t="n">
        <f aca="false">MIN(N('My Debts'!$E$14),J228)</f>
        <v>0</v>
      </c>
      <c r="U228" s="39" t="n">
        <f aca="false">MIN(N('My Debts'!$E$15),K228)</f>
        <v>0</v>
      </c>
      <c r="V228" s="39" t="n">
        <f aca="false">ROUND(B228-L228-MIN(B228-L228,MAX(0,$AF228-SUMPRODUCT(--($B$4:$K$4&lt;B$4),$B228:$K228-$L228:$U228))),2)</f>
        <v>0</v>
      </c>
      <c r="W228" s="39" t="n">
        <f aca="false">ROUND(C228-M228-MIN(C228-M228,MAX(0,$AF228-SUMPRODUCT(--($B$4:$K$4&lt;C$4),$B228:$K228-$L228:$U228))),2)</f>
        <v>0</v>
      </c>
      <c r="X228" s="39" t="n">
        <f aca="false">ROUND(D228-N228-MIN(D228-N228,MAX(0,$AF228-SUMPRODUCT(--($B$4:$K$4&lt;D$4),$B228:$K228-$L228:$U228))),2)</f>
        <v>0</v>
      </c>
      <c r="Y228" s="39" t="n">
        <f aca="false">ROUND(E228-O228-MIN(E228-O228,MAX(0,$AF228-SUMPRODUCT(--($B$4:$K$4&lt;E$4),$B228:$K228-$L228:$U228))),2)</f>
        <v>0</v>
      </c>
      <c r="Z228" s="39" t="n">
        <f aca="false">ROUND(F228-P228-MIN(F228-P228,MAX(0,$AF228-SUMPRODUCT(--($B$4:$K$4&lt;F$4),$B228:$K228-$L228:$U228))),2)</f>
        <v>0</v>
      </c>
      <c r="AA228" s="39" t="n">
        <f aca="false">ROUND(G228-Q228-MIN(G228-Q228,MAX(0,$AF228-SUMPRODUCT(--($B$4:$K$4&lt;G$4),$B228:$K228-$L228:$U228))),2)</f>
        <v>0</v>
      </c>
      <c r="AB228" s="39" t="n">
        <f aca="false">ROUND(H228-R228-MIN(H228-R228,MAX(0,$AF228-SUMPRODUCT(--($B$4:$K$4&lt;H$4),$B228:$K228-$L228:$U228))),2)</f>
        <v>0</v>
      </c>
      <c r="AC228" s="39" t="n">
        <f aca="false">ROUND(I228-S228-MIN(I228-S228,MAX(0,$AF228-SUMPRODUCT(--($B$4:$K$4&lt;I$4),$B228:$K228-$L228:$U228))),2)</f>
        <v>0</v>
      </c>
      <c r="AD228" s="39" t="n">
        <f aca="false">ROUND(J228-T228-MIN(J228-T228,MAX(0,$AF228-SUMPRODUCT(--($B$4:$K$4&lt;J$4),$B228:$K228-$L228:$U228))),2)</f>
        <v>0</v>
      </c>
      <c r="AE228" s="39" t="n">
        <f aca="false">ROUND(K228-U228-MIN(K228-U228,MAX(0,$AF228-SUMPRODUCT(--($B$4:$K$4&lt;K$4),$B228:$K228-$L228:$U228))),2)</f>
        <v>0</v>
      </c>
      <c r="AF228" s="39" t="n">
        <f aca="false">MAX(0,'Start Here'!$C$5-SUM($L228:$U228))</f>
        <v>1200</v>
      </c>
      <c r="AG228" s="39" t="n">
        <f aca="false">SUM(V228:AE228)</f>
        <v>0</v>
      </c>
      <c r="AH228" s="39" t="n">
        <f aca="false">SUM(B228:K228)-AG227</f>
        <v>0</v>
      </c>
    </row>
    <row r="229" customFormat="false" ht="15" hidden="false" customHeight="false" outlineLevel="0" collapsed="false">
      <c r="A229" s="40" t="n">
        <f aca="false">DATE(YEAR('Start Here'!$C$6),MONTH('Start Here'!$C$6)+222,1)</f>
        <v>53053</v>
      </c>
      <c r="B229" s="39" t="n">
        <f aca="false">ROUND(V228*(1+N('My Debts'!$D$6)/12),2)</f>
        <v>0</v>
      </c>
      <c r="C229" s="39" t="n">
        <f aca="false">ROUND(W228*(1+N('My Debts'!$D$7)/12),2)</f>
        <v>0</v>
      </c>
      <c r="D229" s="39" t="n">
        <f aca="false">ROUND(X228*(1+N('My Debts'!$D$8)/12),2)</f>
        <v>0</v>
      </c>
      <c r="E229" s="39" t="n">
        <f aca="false">ROUND(Y228*(1+N('My Debts'!$D$9)/12),2)</f>
        <v>0</v>
      </c>
      <c r="F229" s="39" t="n">
        <f aca="false">ROUND(Z228*(1+N('My Debts'!$D$10)/12),2)</f>
        <v>0</v>
      </c>
      <c r="G229" s="39" t="n">
        <f aca="false">ROUND(AA228*(1+N('My Debts'!$D$11)/12),2)</f>
        <v>0</v>
      </c>
      <c r="H229" s="39" t="n">
        <f aca="false">ROUND(AB228*(1+N('My Debts'!$D$12)/12),2)</f>
        <v>0</v>
      </c>
      <c r="I229" s="39" t="n">
        <f aca="false">ROUND(AC228*(1+N('My Debts'!$D$13)/12),2)</f>
        <v>0</v>
      </c>
      <c r="J229" s="39" t="n">
        <f aca="false">ROUND(AD228*(1+N('My Debts'!$D$14)/12),2)</f>
        <v>0</v>
      </c>
      <c r="K229" s="39" t="n">
        <f aca="false">ROUND(AE228*(1+N('My Debts'!$D$15)/12),2)</f>
        <v>0</v>
      </c>
      <c r="L229" s="39" t="n">
        <f aca="false">MIN(N('My Debts'!$E$6),B229)</f>
        <v>0</v>
      </c>
      <c r="M229" s="39" t="n">
        <f aca="false">MIN(N('My Debts'!$E$7),C229)</f>
        <v>0</v>
      </c>
      <c r="N229" s="39" t="n">
        <f aca="false">MIN(N('My Debts'!$E$8),D229)</f>
        <v>0</v>
      </c>
      <c r="O229" s="39" t="n">
        <f aca="false">MIN(N('My Debts'!$E$9),E229)</f>
        <v>0</v>
      </c>
      <c r="P229" s="39" t="n">
        <f aca="false">MIN(N('My Debts'!$E$10),F229)</f>
        <v>0</v>
      </c>
      <c r="Q229" s="39" t="n">
        <f aca="false">MIN(N('My Debts'!$E$11),G229)</f>
        <v>0</v>
      </c>
      <c r="R229" s="39" t="n">
        <f aca="false">MIN(N('My Debts'!$E$12),H229)</f>
        <v>0</v>
      </c>
      <c r="S229" s="39" t="n">
        <f aca="false">MIN(N('My Debts'!$E$13),I229)</f>
        <v>0</v>
      </c>
      <c r="T229" s="39" t="n">
        <f aca="false">MIN(N('My Debts'!$E$14),J229)</f>
        <v>0</v>
      </c>
      <c r="U229" s="39" t="n">
        <f aca="false">MIN(N('My Debts'!$E$15),K229)</f>
        <v>0</v>
      </c>
      <c r="V229" s="39" t="n">
        <f aca="false">ROUND(B229-L229-MIN(B229-L229,MAX(0,$AF229-SUMPRODUCT(--($B$4:$K$4&lt;B$4),$B229:$K229-$L229:$U229))),2)</f>
        <v>0</v>
      </c>
      <c r="W229" s="39" t="n">
        <f aca="false">ROUND(C229-M229-MIN(C229-M229,MAX(0,$AF229-SUMPRODUCT(--($B$4:$K$4&lt;C$4),$B229:$K229-$L229:$U229))),2)</f>
        <v>0</v>
      </c>
      <c r="X229" s="39" t="n">
        <f aca="false">ROUND(D229-N229-MIN(D229-N229,MAX(0,$AF229-SUMPRODUCT(--($B$4:$K$4&lt;D$4),$B229:$K229-$L229:$U229))),2)</f>
        <v>0</v>
      </c>
      <c r="Y229" s="39" t="n">
        <f aca="false">ROUND(E229-O229-MIN(E229-O229,MAX(0,$AF229-SUMPRODUCT(--($B$4:$K$4&lt;E$4),$B229:$K229-$L229:$U229))),2)</f>
        <v>0</v>
      </c>
      <c r="Z229" s="39" t="n">
        <f aca="false">ROUND(F229-P229-MIN(F229-P229,MAX(0,$AF229-SUMPRODUCT(--($B$4:$K$4&lt;F$4),$B229:$K229-$L229:$U229))),2)</f>
        <v>0</v>
      </c>
      <c r="AA229" s="39" t="n">
        <f aca="false">ROUND(G229-Q229-MIN(G229-Q229,MAX(0,$AF229-SUMPRODUCT(--($B$4:$K$4&lt;G$4),$B229:$K229-$L229:$U229))),2)</f>
        <v>0</v>
      </c>
      <c r="AB229" s="39" t="n">
        <f aca="false">ROUND(H229-R229-MIN(H229-R229,MAX(0,$AF229-SUMPRODUCT(--($B$4:$K$4&lt;H$4),$B229:$K229-$L229:$U229))),2)</f>
        <v>0</v>
      </c>
      <c r="AC229" s="39" t="n">
        <f aca="false">ROUND(I229-S229-MIN(I229-S229,MAX(0,$AF229-SUMPRODUCT(--($B$4:$K$4&lt;I$4),$B229:$K229-$L229:$U229))),2)</f>
        <v>0</v>
      </c>
      <c r="AD229" s="39" t="n">
        <f aca="false">ROUND(J229-T229-MIN(J229-T229,MAX(0,$AF229-SUMPRODUCT(--($B$4:$K$4&lt;J$4),$B229:$K229-$L229:$U229))),2)</f>
        <v>0</v>
      </c>
      <c r="AE229" s="39" t="n">
        <f aca="false">ROUND(K229-U229-MIN(K229-U229,MAX(0,$AF229-SUMPRODUCT(--($B$4:$K$4&lt;K$4),$B229:$K229-$L229:$U229))),2)</f>
        <v>0</v>
      </c>
      <c r="AF229" s="39" t="n">
        <f aca="false">MAX(0,'Start Here'!$C$5-SUM($L229:$U229))</f>
        <v>1200</v>
      </c>
      <c r="AG229" s="39" t="n">
        <f aca="false">SUM(V229:AE229)</f>
        <v>0</v>
      </c>
      <c r="AH229" s="39" t="n">
        <f aca="false">SUM(B229:K229)-AG228</f>
        <v>0</v>
      </c>
    </row>
    <row r="230" customFormat="false" ht="15" hidden="false" customHeight="false" outlineLevel="0" collapsed="false">
      <c r="A230" s="40" t="n">
        <f aca="false">DATE(YEAR('Start Here'!$C$6),MONTH('Start Here'!$C$6)+223,1)</f>
        <v>53083</v>
      </c>
      <c r="B230" s="39" t="n">
        <f aca="false">ROUND(V229*(1+N('My Debts'!$D$6)/12),2)</f>
        <v>0</v>
      </c>
      <c r="C230" s="39" t="n">
        <f aca="false">ROUND(W229*(1+N('My Debts'!$D$7)/12),2)</f>
        <v>0</v>
      </c>
      <c r="D230" s="39" t="n">
        <f aca="false">ROUND(X229*(1+N('My Debts'!$D$8)/12),2)</f>
        <v>0</v>
      </c>
      <c r="E230" s="39" t="n">
        <f aca="false">ROUND(Y229*(1+N('My Debts'!$D$9)/12),2)</f>
        <v>0</v>
      </c>
      <c r="F230" s="39" t="n">
        <f aca="false">ROUND(Z229*(1+N('My Debts'!$D$10)/12),2)</f>
        <v>0</v>
      </c>
      <c r="G230" s="39" t="n">
        <f aca="false">ROUND(AA229*(1+N('My Debts'!$D$11)/12),2)</f>
        <v>0</v>
      </c>
      <c r="H230" s="39" t="n">
        <f aca="false">ROUND(AB229*(1+N('My Debts'!$D$12)/12),2)</f>
        <v>0</v>
      </c>
      <c r="I230" s="39" t="n">
        <f aca="false">ROUND(AC229*(1+N('My Debts'!$D$13)/12),2)</f>
        <v>0</v>
      </c>
      <c r="J230" s="39" t="n">
        <f aca="false">ROUND(AD229*(1+N('My Debts'!$D$14)/12),2)</f>
        <v>0</v>
      </c>
      <c r="K230" s="39" t="n">
        <f aca="false">ROUND(AE229*(1+N('My Debts'!$D$15)/12),2)</f>
        <v>0</v>
      </c>
      <c r="L230" s="39" t="n">
        <f aca="false">MIN(N('My Debts'!$E$6),B230)</f>
        <v>0</v>
      </c>
      <c r="M230" s="39" t="n">
        <f aca="false">MIN(N('My Debts'!$E$7),C230)</f>
        <v>0</v>
      </c>
      <c r="N230" s="39" t="n">
        <f aca="false">MIN(N('My Debts'!$E$8),D230)</f>
        <v>0</v>
      </c>
      <c r="O230" s="39" t="n">
        <f aca="false">MIN(N('My Debts'!$E$9),E230)</f>
        <v>0</v>
      </c>
      <c r="P230" s="39" t="n">
        <f aca="false">MIN(N('My Debts'!$E$10),F230)</f>
        <v>0</v>
      </c>
      <c r="Q230" s="39" t="n">
        <f aca="false">MIN(N('My Debts'!$E$11),G230)</f>
        <v>0</v>
      </c>
      <c r="R230" s="39" t="n">
        <f aca="false">MIN(N('My Debts'!$E$12),H230)</f>
        <v>0</v>
      </c>
      <c r="S230" s="39" t="n">
        <f aca="false">MIN(N('My Debts'!$E$13),I230)</f>
        <v>0</v>
      </c>
      <c r="T230" s="39" t="n">
        <f aca="false">MIN(N('My Debts'!$E$14),J230)</f>
        <v>0</v>
      </c>
      <c r="U230" s="39" t="n">
        <f aca="false">MIN(N('My Debts'!$E$15),K230)</f>
        <v>0</v>
      </c>
      <c r="V230" s="39" t="n">
        <f aca="false">ROUND(B230-L230-MIN(B230-L230,MAX(0,$AF230-SUMPRODUCT(--($B$4:$K$4&lt;B$4),$B230:$K230-$L230:$U230))),2)</f>
        <v>0</v>
      </c>
      <c r="W230" s="39" t="n">
        <f aca="false">ROUND(C230-M230-MIN(C230-M230,MAX(0,$AF230-SUMPRODUCT(--($B$4:$K$4&lt;C$4),$B230:$K230-$L230:$U230))),2)</f>
        <v>0</v>
      </c>
      <c r="X230" s="39" t="n">
        <f aca="false">ROUND(D230-N230-MIN(D230-N230,MAX(0,$AF230-SUMPRODUCT(--($B$4:$K$4&lt;D$4),$B230:$K230-$L230:$U230))),2)</f>
        <v>0</v>
      </c>
      <c r="Y230" s="39" t="n">
        <f aca="false">ROUND(E230-O230-MIN(E230-O230,MAX(0,$AF230-SUMPRODUCT(--($B$4:$K$4&lt;E$4),$B230:$K230-$L230:$U230))),2)</f>
        <v>0</v>
      </c>
      <c r="Z230" s="39" t="n">
        <f aca="false">ROUND(F230-P230-MIN(F230-P230,MAX(0,$AF230-SUMPRODUCT(--($B$4:$K$4&lt;F$4),$B230:$K230-$L230:$U230))),2)</f>
        <v>0</v>
      </c>
      <c r="AA230" s="39" t="n">
        <f aca="false">ROUND(G230-Q230-MIN(G230-Q230,MAX(0,$AF230-SUMPRODUCT(--($B$4:$K$4&lt;G$4),$B230:$K230-$L230:$U230))),2)</f>
        <v>0</v>
      </c>
      <c r="AB230" s="39" t="n">
        <f aca="false">ROUND(H230-R230-MIN(H230-R230,MAX(0,$AF230-SUMPRODUCT(--($B$4:$K$4&lt;H$4),$B230:$K230-$L230:$U230))),2)</f>
        <v>0</v>
      </c>
      <c r="AC230" s="39" t="n">
        <f aca="false">ROUND(I230-S230-MIN(I230-S230,MAX(0,$AF230-SUMPRODUCT(--($B$4:$K$4&lt;I$4),$B230:$K230-$L230:$U230))),2)</f>
        <v>0</v>
      </c>
      <c r="AD230" s="39" t="n">
        <f aca="false">ROUND(J230-T230-MIN(J230-T230,MAX(0,$AF230-SUMPRODUCT(--($B$4:$K$4&lt;J$4),$B230:$K230-$L230:$U230))),2)</f>
        <v>0</v>
      </c>
      <c r="AE230" s="39" t="n">
        <f aca="false">ROUND(K230-U230-MIN(K230-U230,MAX(0,$AF230-SUMPRODUCT(--($B$4:$K$4&lt;K$4),$B230:$K230-$L230:$U230))),2)</f>
        <v>0</v>
      </c>
      <c r="AF230" s="39" t="n">
        <f aca="false">MAX(0,'Start Here'!$C$5-SUM($L230:$U230))</f>
        <v>1200</v>
      </c>
      <c r="AG230" s="39" t="n">
        <f aca="false">SUM(V230:AE230)</f>
        <v>0</v>
      </c>
      <c r="AH230" s="39" t="n">
        <f aca="false">SUM(B230:K230)-AG229</f>
        <v>0</v>
      </c>
    </row>
    <row r="231" customFormat="false" ht="15" hidden="false" customHeight="false" outlineLevel="0" collapsed="false">
      <c r="A231" s="40" t="n">
        <f aca="false">DATE(YEAR('Start Here'!$C$6),MONTH('Start Here'!$C$6)+224,1)</f>
        <v>53114</v>
      </c>
      <c r="B231" s="39" t="n">
        <f aca="false">ROUND(V230*(1+N('My Debts'!$D$6)/12),2)</f>
        <v>0</v>
      </c>
      <c r="C231" s="39" t="n">
        <f aca="false">ROUND(W230*(1+N('My Debts'!$D$7)/12),2)</f>
        <v>0</v>
      </c>
      <c r="D231" s="39" t="n">
        <f aca="false">ROUND(X230*(1+N('My Debts'!$D$8)/12),2)</f>
        <v>0</v>
      </c>
      <c r="E231" s="39" t="n">
        <f aca="false">ROUND(Y230*(1+N('My Debts'!$D$9)/12),2)</f>
        <v>0</v>
      </c>
      <c r="F231" s="39" t="n">
        <f aca="false">ROUND(Z230*(1+N('My Debts'!$D$10)/12),2)</f>
        <v>0</v>
      </c>
      <c r="G231" s="39" t="n">
        <f aca="false">ROUND(AA230*(1+N('My Debts'!$D$11)/12),2)</f>
        <v>0</v>
      </c>
      <c r="H231" s="39" t="n">
        <f aca="false">ROUND(AB230*(1+N('My Debts'!$D$12)/12),2)</f>
        <v>0</v>
      </c>
      <c r="I231" s="39" t="n">
        <f aca="false">ROUND(AC230*(1+N('My Debts'!$D$13)/12),2)</f>
        <v>0</v>
      </c>
      <c r="J231" s="39" t="n">
        <f aca="false">ROUND(AD230*(1+N('My Debts'!$D$14)/12),2)</f>
        <v>0</v>
      </c>
      <c r="K231" s="39" t="n">
        <f aca="false">ROUND(AE230*(1+N('My Debts'!$D$15)/12),2)</f>
        <v>0</v>
      </c>
      <c r="L231" s="39" t="n">
        <f aca="false">MIN(N('My Debts'!$E$6),B231)</f>
        <v>0</v>
      </c>
      <c r="M231" s="39" t="n">
        <f aca="false">MIN(N('My Debts'!$E$7),C231)</f>
        <v>0</v>
      </c>
      <c r="N231" s="39" t="n">
        <f aca="false">MIN(N('My Debts'!$E$8),D231)</f>
        <v>0</v>
      </c>
      <c r="O231" s="39" t="n">
        <f aca="false">MIN(N('My Debts'!$E$9),E231)</f>
        <v>0</v>
      </c>
      <c r="P231" s="39" t="n">
        <f aca="false">MIN(N('My Debts'!$E$10),F231)</f>
        <v>0</v>
      </c>
      <c r="Q231" s="39" t="n">
        <f aca="false">MIN(N('My Debts'!$E$11),G231)</f>
        <v>0</v>
      </c>
      <c r="R231" s="39" t="n">
        <f aca="false">MIN(N('My Debts'!$E$12),H231)</f>
        <v>0</v>
      </c>
      <c r="S231" s="39" t="n">
        <f aca="false">MIN(N('My Debts'!$E$13),I231)</f>
        <v>0</v>
      </c>
      <c r="T231" s="39" t="n">
        <f aca="false">MIN(N('My Debts'!$E$14),J231)</f>
        <v>0</v>
      </c>
      <c r="U231" s="39" t="n">
        <f aca="false">MIN(N('My Debts'!$E$15),K231)</f>
        <v>0</v>
      </c>
      <c r="V231" s="39" t="n">
        <f aca="false">ROUND(B231-L231-MIN(B231-L231,MAX(0,$AF231-SUMPRODUCT(--($B$4:$K$4&lt;B$4),$B231:$K231-$L231:$U231))),2)</f>
        <v>0</v>
      </c>
      <c r="W231" s="39" t="n">
        <f aca="false">ROUND(C231-M231-MIN(C231-M231,MAX(0,$AF231-SUMPRODUCT(--($B$4:$K$4&lt;C$4),$B231:$K231-$L231:$U231))),2)</f>
        <v>0</v>
      </c>
      <c r="X231" s="39" t="n">
        <f aca="false">ROUND(D231-N231-MIN(D231-N231,MAX(0,$AF231-SUMPRODUCT(--($B$4:$K$4&lt;D$4),$B231:$K231-$L231:$U231))),2)</f>
        <v>0</v>
      </c>
      <c r="Y231" s="39" t="n">
        <f aca="false">ROUND(E231-O231-MIN(E231-O231,MAX(0,$AF231-SUMPRODUCT(--($B$4:$K$4&lt;E$4),$B231:$K231-$L231:$U231))),2)</f>
        <v>0</v>
      </c>
      <c r="Z231" s="39" t="n">
        <f aca="false">ROUND(F231-P231-MIN(F231-P231,MAX(0,$AF231-SUMPRODUCT(--($B$4:$K$4&lt;F$4),$B231:$K231-$L231:$U231))),2)</f>
        <v>0</v>
      </c>
      <c r="AA231" s="39" t="n">
        <f aca="false">ROUND(G231-Q231-MIN(G231-Q231,MAX(0,$AF231-SUMPRODUCT(--($B$4:$K$4&lt;G$4),$B231:$K231-$L231:$U231))),2)</f>
        <v>0</v>
      </c>
      <c r="AB231" s="39" t="n">
        <f aca="false">ROUND(H231-R231-MIN(H231-R231,MAX(0,$AF231-SUMPRODUCT(--($B$4:$K$4&lt;H$4),$B231:$K231-$L231:$U231))),2)</f>
        <v>0</v>
      </c>
      <c r="AC231" s="39" t="n">
        <f aca="false">ROUND(I231-S231-MIN(I231-S231,MAX(0,$AF231-SUMPRODUCT(--($B$4:$K$4&lt;I$4),$B231:$K231-$L231:$U231))),2)</f>
        <v>0</v>
      </c>
      <c r="AD231" s="39" t="n">
        <f aca="false">ROUND(J231-T231-MIN(J231-T231,MAX(0,$AF231-SUMPRODUCT(--($B$4:$K$4&lt;J$4),$B231:$K231-$L231:$U231))),2)</f>
        <v>0</v>
      </c>
      <c r="AE231" s="39" t="n">
        <f aca="false">ROUND(K231-U231-MIN(K231-U231,MAX(0,$AF231-SUMPRODUCT(--($B$4:$K$4&lt;K$4),$B231:$K231-$L231:$U231))),2)</f>
        <v>0</v>
      </c>
      <c r="AF231" s="39" t="n">
        <f aca="false">MAX(0,'Start Here'!$C$5-SUM($L231:$U231))</f>
        <v>1200</v>
      </c>
      <c r="AG231" s="39" t="n">
        <f aca="false">SUM(V231:AE231)</f>
        <v>0</v>
      </c>
      <c r="AH231" s="39" t="n">
        <f aca="false">SUM(B231:K231)-AG230</f>
        <v>0</v>
      </c>
    </row>
    <row r="232" customFormat="false" ht="15" hidden="false" customHeight="false" outlineLevel="0" collapsed="false">
      <c r="A232" s="40" t="n">
        <f aca="false">DATE(YEAR('Start Here'!$C$6),MONTH('Start Here'!$C$6)+225,1)</f>
        <v>53144</v>
      </c>
      <c r="B232" s="39" t="n">
        <f aca="false">ROUND(V231*(1+N('My Debts'!$D$6)/12),2)</f>
        <v>0</v>
      </c>
      <c r="C232" s="39" t="n">
        <f aca="false">ROUND(W231*(1+N('My Debts'!$D$7)/12),2)</f>
        <v>0</v>
      </c>
      <c r="D232" s="39" t="n">
        <f aca="false">ROUND(X231*(1+N('My Debts'!$D$8)/12),2)</f>
        <v>0</v>
      </c>
      <c r="E232" s="39" t="n">
        <f aca="false">ROUND(Y231*(1+N('My Debts'!$D$9)/12),2)</f>
        <v>0</v>
      </c>
      <c r="F232" s="39" t="n">
        <f aca="false">ROUND(Z231*(1+N('My Debts'!$D$10)/12),2)</f>
        <v>0</v>
      </c>
      <c r="G232" s="39" t="n">
        <f aca="false">ROUND(AA231*(1+N('My Debts'!$D$11)/12),2)</f>
        <v>0</v>
      </c>
      <c r="H232" s="39" t="n">
        <f aca="false">ROUND(AB231*(1+N('My Debts'!$D$12)/12),2)</f>
        <v>0</v>
      </c>
      <c r="I232" s="39" t="n">
        <f aca="false">ROUND(AC231*(1+N('My Debts'!$D$13)/12),2)</f>
        <v>0</v>
      </c>
      <c r="J232" s="39" t="n">
        <f aca="false">ROUND(AD231*(1+N('My Debts'!$D$14)/12),2)</f>
        <v>0</v>
      </c>
      <c r="K232" s="39" t="n">
        <f aca="false">ROUND(AE231*(1+N('My Debts'!$D$15)/12),2)</f>
        <v>0</v>
      </c>
      <c r="L232" s="39" t="n">
        <f aca="false">MIN(N('My Debts'!$E$6),B232)</f>
        <v>0</v>
      </c>
      <c r="M232" s="39" t="n">
        <f aca="false">MIN(N('My Debts'!$E$7),C232)</f>
        <v>0</v>
      </c>
      <c r="N232" s="39" t="n">
        <f aca="false">MIN(N('My Debts'!$E$8),D232)</f>
        <v>0</v>
      </c>
      <c r="O232" s="39" t="n">
        <f aca="false">MIN(N('My Debts'!$E$9),E232)</f>
        <v>0</v>
      </c>
      <c r="P232" s="39" t="n">
        <f aca="false">MIN(N('My Debts'!$E$10),F232)</f>
        <v>0</v>
      </c>
      <c r="Q232" s="39" t="n">
        <f aca="false">MIN(N('My Debts'!$E$11),G232)</f>
        <v>0</v>
      </c>
      <c r="R232" s="39" t="n">
        <f aca="false">MIN(N('My Debts'!$E$12),H232)</f>
        <v>0</v>
      </c>
      <c r="S232" s="39" t="n">
        <f aca="false">MIN(N('My Debts'!$E$13),I232)</f>
        <v>0</v>
      </c>
      <c r="T232" s="39" t="n">
        <f aca="false">MIN(N('My Debts'!$E$14),J232)</f>
        <v>0</v>
      </c>
      <c r="U232" s="39" t="n">
        <f aca="false">MIN(N('My Debts'!$E$15),K232)</f>
        <v>0</v>
      </c>
      <c r="V232" s="39" t="n">
        <f aca="false">ROUND(B232-L232-MIN(B232-L232,MAX(0,$AF232-SUMPRODUCT(--($B$4:$K$4&lt;B$4),$B232:$K232-$L232:$U232))),2)</f>
        <v>0</v>
      </c>
      <c r="W232" s="39" t="n">
        <f aca="false">ROUND(C232-M232-MIN(C232-M232,MAX(0,$AF232-SUMPRODUCT(--($B$4:$K$4&lt;C$4),$B232:$K232-$L232:$U232))),2)</f>
        <v>0</v>
      </c>
      <c r="X232" s="39" t="n">
        <f aca="false">ROUND(D232-N232-MIN(D232-N232,MAX(0,$AF232-SUMPRODUCT(--($B$4:$K$4&lt;D$4),$B232:$K232-$L232:$U232))),2)</f>
        <v>0</v>
      </c>
      <c r="Y232" s="39" t="n">
        <f aca="false">ROUND(E232-O232-MIN(E232-O232,MAX(0,$AF232-SUMPRODUCT(--($B$4:$K$4&lt;E$4),$B232:$K232-$L232:$U232))),2)</f>
        <v>0</v>
      </c>
      <c r="Z232" s="39" t="n">
        <f aca="false">ROUND(F232-P232-MIN(F232-P232,MAX(0,$AF232-SUMPRODUCT(--($B$4:$K$4&lt;F$4),$B232:$K232-$L232:$U232))),2)</f>
        <v>0</v>
      </c>
      <c r="AA232" s="39" t="n">
        <f aca="false">ROUND(G232-Q232-MIN(G232-Q232,MAX(0,$AF232-SUMPRODUCT(--($B$4:$K$4&lt;G$4),$B232:$K232-$L232:$U232))),2)</f>
        <v>0</v>
      </c>
      <c r="AB232" s="39" t="n">
        <f aca="false">ROUND(H232-R232-MIN(H232-R232,MAX(0,$AF232-SUMPRODUCT(--($B$4:$K$4&lt;H$4),$B232:$K232-$L232:$U232))),2)</f>
        <v>0</v>
      </c>
      <c r="AC232" s="39" t="n">
        <f aca="false">ROUND(I232-S232-MIN(I232-S232,MAX(0,$AF232-SUMPRODUCT(--($B$4:$K$4&lt;I$4),$B232:$K232-$L232:$U232))),2)</f>
        <v>0</v>
      </c>
      <c r="AD232" s="39" t="n">
        <f aca="false">ROUND(J232-T232-MIN(J232-T232,MAX(0,$AF232-SUMPRODUCT(--($B$4:$K$4&lt;J$4),$B232:$K232-$L232:$U232))),2)</f>
        <v>0</v>
      </c>
      <c r="AE232" s="39" t="n">
        <f aca="false">ROUND(K232-U232-MIN(K232-U232,MAX(0,$AF232-SUMPRODUCT(--($B$4:$K$4&lt;K$4),$B232:$K232-$L232:$U232))),2)</f>
        <v>0</v>
      </c>
      <c r="AF232" s="39" t="n">
        <f aca="false">MAX(0,'Start Here'!$C$5-SUM($L232:$U232))</f>
        <v>1200</v>
      </c>
      <c r="AG232" s="39" t="n">
        <f aca="false">SUM(V232:AE232)</f>
        <v>0</v>
      </c>
      <c r="AH232" s="39" t="n">
        <f aca="false">SUM(B232:K232)-AG231</f>
        <v>0</v>
      </c>
    </row>
    <row r="233" customFormat="false" ht="15" hidden="false" customHeight="false" outlineLevel="0" collapsed="false">
      <c r="A233" s="40" t="n">
        <f aca="false">DATE(YEAR('Start Here'!$C$6),MONTH('Start Here'!$C$6)+226,1)</f>
        <v>53175</v>
      </c>
      <c r="B233" s="39" t="n">
        <f aca="false">ROUND(V232*(1+N('My Debts'!$D$6)/12),2)</f>
        <v>0</v>
      </c>
      <c r="C233" s="39" t="n">
        <f aca="false">ROUND(W232*(1+N('My Debts'!$D$7)/12),2)</f>
        <v>0</v>
      </c>
      <c r="D233" s="39" t="n">
        <f aca="false">ROUND(X232*(1+N('My Debts'!$D$8)/12),2)</f>
        <v>0</v>
      </c>
      <c r="E233" s="39" t="n">
        <f aca="false">ROUND(Y232*(1+N('My Debts'!$D$9)/12),2)</f>
        <v>0</v>
      </c>
      <c r="F233" s="39" t="n">
        <f aca="false">ROUND(Z232*(1+N('My Debts'!$D$10)/12),2)</f>
        <v>0</v>
      </c>
      <c r="G233" s="39" t="n">
        <f aca="false">ROUND(AA232*(1+N('My Debts'!$D$11)/12),2)</f>
        <v>0</v>
      </c>
      <c r="H233" s="39" t="n">
        <f aca="false">ROUND(AB232*(1+N('My Debts'!$D$12)/12),2)</f>
        <v>0</v>
      </c>
      <c r="I233" s="39" t="n">
        <f aca="false">ROUND(AC232*(1+N('My Debts'!$D$13)/12),2)</f>
        <v>0</v>
      </c>
      <c r="J233" s="39" t="n">
        <f aca="false">ROUND(AD232*(1+N('My Debts'!$D$14)/12),2)</f>
        <v>0</v>
      </c>
      <c r="K233" s="39" t="n">
        <f aca="false">ROUND(AE232*(1+N('My Debts'!$D$15)/12),2)</f>
        <v>0</v>
      </c>
      <c r="L233" s="39" t="n">
        <f aca="false">MIN(N('My Debts'!$E$6),B233)</f>
        <v>0</v>
      </c>
      <c r="M233" s="39" t="n">
        <f aca="false">MIN(N('My Debts'!$E$7),C233)</f>
        <v>0</v>
      </c>
      <c r="N233" s="39" t="n">
        <f aca="false">MIN(N('My Debts'!$E$8),D233)</f>
        <v>0</v>
      </c>
      <c r="O233" s="39" t="n">
        <f aca="false">MIN(N('My Debts'!$E$9),E233)</f>
        <v>0</v>
      </c>
      <c r="P233" s="39" t="n">
        <f aca="false">MIN(N('My Debts'!$E$10),F233)</f>
        <v>0</v>
      </c>
      <c r="Q233" s="39" t="n">
        <f aca="false">MIN(N('My Debts'!$E$11),G233)</f>
        <v>0</v>
      </c>
      <c r="R233" s="39" t="n">
        <f aca="false">MIN(N('My Debts'!$E$12),H233)</f>
        <v>0</v>
      </c>
      <c r="S233" s="39" t="n">
        <f aca="false">MIN(N('My Debts'!$E$13),I233)</f>
        <v>0</v>
      </c>
      <c r="T233" s="39" t="n">
        <f aca="false">MIN(N('My Debts'!$E$14),J233)</f>
        <v>0</v>
      </c>
      <c r="U233" s="39" t="n">
        <f aca="false">MIN(N('My Debts'!$E$15),K233)</f>
        <v>0</v>
      </c>
      <c r="V233" s="39" t="n">
        <f aca="false">ROUND(B233-L233-MIN(B233-L233,MAX(0,$AF233-SUMPRODUCT(--($B$4:$K$4&lt;B$4),$B233:$K233-$L233:$U233))),2)</f>
        <v>0</v>
      </c>
      <c r="W233" s="39" t="n">
        <f aca="false">ROUND(C233-M233-MIN(C233-M233,MAX(0,$AF233-SUMPRODUCT(--($B$4:$K$4&lt;C$4),$B233:$K233-$L233:$U233))),2)</f>
        <v>0</v>
      </c>
      <c r="X233" s="39" t="n">
        <f aca="false">ROUND(D233-N233-MIN(D233-N233,MAX(0,$AF233-SUMPRODUCT(--($B$4:$K$4&lt;D$4),$B233:$K233-$L233:$U233))),2)</f>
        <v>0</v>
      </c>
      <c r="Y233" s="39" t="n">
        <f aca="false">ROUND(E233-O233-MIN(E233-O233,MAX(0,$AF233-SUMPRODUCT(--($B$4:$K$4&lt;E$4),$B233:$K233-$L233:$U233))),2)</f>
        <v>0</v>
      </c>
      <c r="Z233" s="39" t="n">
        <f aca="false">ROUND(F233-P233-MIN(F233-P233,MAX(0,$AF233-SUMPRODUCT(--($B$4:$K$4&lt;F$4),$B233:$K233-$L233:$U233))),2)</f>
        <v>0</v>
      </c>
      <c r="AA233" s="39" t="n">
        <f aca="false">ROUND(G233-Q233-MIN(G233-Q233,MAX(0,$AF233-SUMPRODUCT(--($B$4:$K$4&lt;G$4),$B233:$K233-$L233:$U233))),2)</f>
        <v>0</v>
      </c>
      <c r="AB233" s="39" t="n">
        <f aca="false">ROUND(H233-R233-MIN(H233-R233,MAX(0,$AF233-SUMPRODUCT(--($B$4:$K$4&lt;H$4),$B233:$K233-$L233:$U233))),2)</f>
        <v>0</v>
      </c>
      <c r="AC233" s="39" t="n">
        <f aca="false">ROUND(I233-S233-MIN(I233-S233,MAX(0,$AF233-SUMPRODUCT(--($B$4:$K$4&lt;I$4),$B233:$K233-$L233:$U233))),2)</f>
        <v>0</v>
      </c>
      <c r="AD233" s="39" t="n">
        <f aca="false">ROUND(J233-T233-MIN(J233-T233,MAX(0,$AF233-SUMPRODUCT(--($B$4:$K$4&lt;J$4),$B233:$K233-$L233:$U233))),2)</f>
        <v>0</v>
      </c>
      <c r="AE233" s="39" t="n">
        <f aca="false">ROUND(K233-U233-MIN(K233-U233,MAX(0,$AF233-SUMPRODUCT(--($B$4:$K$4&lt;K$4),$B233:$K233-$L233:$U233))),2)</f>
        <v>0</v>
      </c>
      <c r="AF233" s="39" t="n">
        <f aca="false">MAX(0,'Start Here'!$C$5-SUM($L233:$U233))</f>
        <v>1200</v>
      </c>
      <c r="AG233" s="39" t="n">
        <f aca="false">SUM(V233:AE233)</f>
        <v>0</v>
      </c>
      <c r="AH233" s="39" t="n">
        <f aca="false">SUM(B233:K233)-AG232</f>
        <v>0</v>
      </c>
    </row>
    <row r="234" customFormat="false" ht="15" hidden="false" customHeight="false" outlineLevel="0" collapsed="false">
      <c r="A234" s="40" t="n">
        <f aca="false">DATE(YEAR('Start Here'!$C$6),MONTH('Start Here'!$C$6)+227,1)</f>
        <v>53206</v>
      </c>
      <c r="B234" s="39" t="n">
        <f aca="false">ROUND(V233*(1+N('My Debts'!$D$6)/12),2)</f>
        <v>0</v>
      </c>
      <c r="C234" s="39" t="n">
        <f aca="false">ROUND(W233*(1+N('My Debts'!$D$7)/12),2)</f>
        <v>0</v>
      </c>
      <c r="D234" s="39" t="n">
        <f aca="false">ROUND(X233*(1+N('My Debts'!$D$8)/12),2)</f>
        <v>0</v>
      </c>
      <c r="E234" s="39" t="n">
        <f aca="false">ROUND(Y233*(1+N('My Debts'!$D$9)/12),2)</f>
        <v>0</v>
      </c>
      <c r="F234" s="39" t="n">
        <f aca="false">ROUND(Z233*(1+N('My Debts'!$D$10)/12),2)</f>
        <v>0</v>
      </c>
      <c r="G234" s="39" t="n">
        <f aca="false">ROUND(AA233*(1+N('My Debts'!$D$11)/12),2)</f>
        <v>0</v>
      </c>
      <c r="H234" s="39" t="n">
        <f aca="false">ROUND(AB233*(1+N('My Debts'!$D$12)/12),2)</f>
        <v>0</v>
      </c>
      <c r="I234" s="39" t="n">
        <f aca="false">ROUND(AC233*(1+N('My Debts'!$D$13)/12),2)</f>
        <v>0</v>
      </c>
      <c r="J234" s="39" t="n">
        <f aca="false">ROUND(AD233*(1+N('My Debts'!$D$14)/12),2)</f>
        <v>0</v>
      </c>
      <c r="K234" s="39" t="n">
        <f aca="false">ROUND(AE233*(1+N('My Debts'!$D$15)/12),2)</f>
        <v>0</v>
      </c>
      <c r="L234" s="39" t="n">
        <f aca="false">MIN(N('My Debts'!$E$6),B234)</f>
        <v>0</v>
      </c>
      <c r="M234" s="39" t="n">
        <f aca="false">MIN(N('My Debts'!$E$7),C234)</f>
        <v>0</v>
      </c>
      <c r="N234" s="39" t="n">
        <f aca="false">MIN(N('My Debts'!$E$8),D234)</f>
        <v>0</v>
      </c>
      <c r="O234" s="39" t="n">
        <f aca="false">MIN(N('My Debts'!$E$9),E234)</f>
        <v>0</v>
      </c>
      <c r="P234" s="39" t="n">
        <f aca="false">MIN(N('My Debts'!$E$10),F234)</f>
        <v>0</v>
      </c>
      <c r="Q234" s="39" t="n">
        <f aca="false">MIN(N('My Debts'!$E$11),G234)</f>
        <v>0</v>
      </c>
      <c r="R234" s="39" t="n">
        <f aca="false">MIN(N('My Debts'!$E$12),H234)</f>
        <v>0</v>
      </c>
      <c r="S234" s="39" t="n">
        <f aca="false">MIN(N('My Debts'!$E$13),I234)</f>
        <v>0</v>
      </c>
      <c r="T234" s="39" t="n">
        <f aca="false">MIN(N('My Debts'!$E$14),J234)</f>
        <v>0</v>
      </c>
      <c r="U234" s="39" t="n">
        <f aca="false">MIN(N('My Debts'!$E$15),K234)</f>
        <v>0</v>
      </c>
      <c r="V234" s="39" t="n">
        <f aca="false">ROUND(B234-L234-MIN(B234-L234,MAX(0,$AF234-SUMPRODUCT(--($B$4:$K$4&lt;B$4),$B234:$K234-$L234:$U234))),2)</f>
        <v>0</v>
      </c>
      <c r="W234" s="39" t="n">
        <f aca="false">ROUND(C234-M234-MIN(C234-M234,MAX(0,$AF234-SUMPRODUCT(--($B$4:$K$4&lt;C$4),$B234:$K234-$L234:$U234))),2)</f>
        <v>0</v>
      </c>
      <c r="X234" s="39" t="n">
        <f aca="false">ROUND(D234-N234-MIN(D234-N234,MAX(0,$AF234-SUMPRODUCT(--($B$4:$K$4&lt;D$4),$B234:$K234-$L234:$U234))),2)</f>
        <v>0</v>
      </c>
      <c r="Y234" s="39" t="n">
        <f aca="false">ROUND(E234-O234-MIN(E234-O234,MAX(0,$AF234-SUMPRODUCT(--($B$4:$K$4&lt;E$4),$B234:$K234-$L234:$U234))),2)</f>
        <v>0</v>
      </c>
      <c r="Z234" s="39" t="n">
        <f aca="false">ROUND(F234-P234-MIN(F234-P234,MAX(0,$AF234-SUMPRODUCT(--($B$4:$K$4&lt;F$4),$B234:$K234-$L234:$U234))),2)</f>
        <v>0</v>
      </c>
      <c r="AA234" s="39" t="n">
        <f aca="false">ROUND(G234-Q234-MIN(G234-Q234,MAX(0,$AF234-SUMPRODUCT(--($B$4:$K$4&lt;G$4),$B234:$K234-$L234:$U234))),2)</f>
        <v>0</v>
      </c>
      <c r="AB234" s="39" t="n">
        <f aca="false">ROUND(H234-R234-MIN(H234-R234,MAX(0,$AF234-SUMPRODUCT(--($B$4:$K$4&lt;H$4),$B234:$K234-$L234:$U234))),2)</f>
        <v>0</v>
      </c>
      <c r="AC234" s="39" t="n">
        <f aca="false">ROUND(I234-S234-MIN(I234-S234,MAX(0,$AF234-SUMPRODUCT(--($B$4:$K$4&lt;I$4),$B234:$K234-$L234:$U234))),2)</f>
        <v>0</v>
      </c>
      <c r="AD234" s="39" t="n">
        <f aca="false">ROUND(J234-T234-MIN(J234-T234,MAX(0,$AF234-SUMPRODUCT(--($B$4:$K$4&lt;J$4),$B234:$K234-$L234:$U234))),2)</f>
        <v>0</v>
      </c>
      <c r="AE234" s="39" t="n">
        <f aca="false">ROUND(K234-U234-MIN(K234-U234,MAX(0,$AF234-SUMPRODUCT(--($B$4:$K$4&lt;K$4),$B234:$K234-$L234:$U234))),2)</f>
        <v>0</v>
      </c>
      <c r="AF234" s="39" t="n">
        <f aca="false">MAX(0,'Start Here'!$C$5-SUM($L234:$U234))</f>
        <v>1200</v>
      </c>
      <c r="AG234" s="39" t="n">
        <f aca="false">SUM(V234:AE234)</f>
        <v>0</v>
      </c>
      <c r="AH234" s="39" t="n">
        <f aca="false">SUM(B234:K234)-AG233</f>
        <v>0</v>
      </c>
    </row>
    <row r="235" customFormat="false" ht="15" hidden="false" customHeight="false" outlineLevel="0" collapsed="false">
      <c r="A235" s="40" t="n">
        <f aca="false">DATE(YEAR('Start Here'!$C$6),MONTH('Start Here'!$C$6)+228,1)</f>
        <v>53236</v>
      </c>
      <c r="B235" s="39" t="n">
        <f aca="false">ROUND(V234*(1+N('My Debts'!$D$6)/12),2)</f>
        <v>0</v>
      </c>
      <c r="C235" s="39" t="n">
        <f aca="false">ROUND(W234*(1+N('My Debts'!$D$7)/12),2)</f>
        <v>0</v>
      </c>
      <c r="D235" s="39" t="n">
        <f aca="false">ROUND(X234*(1+N('My Debts'!$D$8)/12),2)</f>
        <v>0</v>
      </c>
      <c r="E235" s="39" t="n">
        <f aca="false">ROUND(Y234*(1+N('My Debts'!$D$9)/12),2)</f>
        <v>0</v>
      </c>
      <c r="F235" s="39" t="n">
        <f aca="false">ROUND(Z234*(1+N('My Debts'!$D$10)/12),2)</f>
        <v>0</v>
      </c>
      <c r="G235" s="39" t="n">
        <f aca="false">ROUND(AA234*(1+N('My Debts'!$D$11)/12),2)</f>
        <v>0</v>
      </c>
      <c r="H235" s="39" t="n">
        <f aca="false">ROUND(AB234*(1+N('My Debts'!$D$12)/12),2)</f>
        <v>0</v>
      </c>
      <c r="I235" s="39" t="n">
        <f aca="false">ROUND(AC234*(1+N('My Debts'!$D$13)/12),2)</f>
        <v>0</v>
      </c>
      <c r="J235" s="39" t="n">
        <f aca="false">ROUND(AD234*(1+N('My Debts'!$D$14)/12),2)</f>
        <v>0</v>
      </c>
      <c r="K235" s="39" t="n">
        <f aca="false">ROUND(AE234*(1+N('My Debts'!$D$15)/12),2)</f>
        <v>0</v>
      </c>
      <c r="L235" s="39" t="n">
        <f aca="false">MIN(N('My Debts'!$E$6),B235)</f>
        <v>0</v>
      </c>
      <c r="M235" s="39" t="n">
        <f aca="false">MIN(N('My Debts'!$E$7),C235)</f>
        <v>0</v>
      </c>
      <c r="N235" s="39" t="n">
        <f aca="false">MIN(N('My Debts'!$E$8),D235)</f>
        <v>0</v>
      </c>
      <c r="O235" s="39" t="n">
        <f aca="false">MIN(N('My Debts'!$E$9),E235)</f>
        <v>0</v>
      </c>
      <c r="P235" s="39" t="n">
        <f aca="false">MIN(N('My Debts'!$E$10),F235)</f>
        <v>0</v>
      </c>
      <c r="Q235" s="39" t="n">
        <f aca="false">MIN(N('My Debts'!$E$11),G235)</f>
        <v>0</v>
      </c>
      <c r="R235" s="39" t="n">
        <f aca="false">MIN(N('My Debts'!$E$12),H235)</f>
        <v>0</v>
      </c>
      <c r="S235" s="39" t="n">
        <f aca="false">MIN(N('My Debts'!$E$13),I235)</f>
        <v>0</v>
      </c>
      <c r="T235" s="39" t="n">
        <f aca="false">MIN(N('My Debts'!$E$14),J235)</f>
        <v>0</v>
      </c>
      <c r="U235" s="39" t="n">
        <f aca="false">MIN(N('My Debts'!$E$15),K235)</f>
        <v>0</v>
      </c>
      <c r="V235" s="39" t="n">
        <f aca="false">ROUND(B235-L235-MIN(B235-L235,MAX(0,$AF235-SUMPRODUCT(--($B$4:$K$4&lt;B$4),$B235:$K235-$L235:$U235))),2)</f>
        <v>0</v>
      </c>
      <c r="W235" s="39" t="n">
        <f aca="false">ROUND(C235-M235-MIN(C235-M235,MAX(0,$AF235-SUMPRODUCT(--($B$4:$K$4&lt;C$4),$B235:$K235-$L235:$U235))),2)</f>
        <v>0</v>
      </c>
      <c r="X235" s="39" t="n">
        <f aca="false">ROUND(D235-N235-MIN(D235-N235,MAX(0,$AF235-SUMPRODUCT(--($B$4:$K$4&lt;D$4),$B235:$K235-$L235:$U235))),2)</f>
        <v>0</v>
      </c>
      <c r="Y235" s="39" t="n">
        <f aca="false">ROUND(E235-O235-MIN(E235-O235,MAX(0,$AF235-SUMPRODUCT(--($B$4:$K$4&lt;E$4),$B235:$K235-$L235:$U235))),2)</f>
        <v>0</v>
      </c>
      <c r="Z235" s="39" t="n">
        <f aca="false">ROUND(F235-P235-MIN(F235-P235,MAX(0,$AF235-SUMPRODUCT(--($B$4:$K$4&lt;F$4),$B235:$K235-$L235:$U235))),2)</f>
        <v>0</v>
      </c>
      <c r="AA235" s="39" t="n">
        <f aca="false">ROUND(G235-Q235-MIN(G235-Q235,MAX(0,$AF235-SUMPRODUCT(--($B$4:$K$4&lt;G$4),$B235:$K235-$L235:$U235))),2)</f>
        <v>0</v>
      </c>
      <c r="AB235" s="39" t="n">
        <f aca="false">ROUND(H235-R235-MIN(H235-R235,MAX(0,$AF235-SUMPRODUCT(--($B$4:$K$4&lt;H$4),$B235:$K235-$L235:$U235))),2)</f>
        <v>0</v>
      </c>
      <c r="AC235" s="39" t="n">
        <f aca="false">ROUND(I235-S235-MIN(I235-S235,MAX(0,$AF235-SUMPRODUCT(--($B$4:$K$4&lt;I$4),$B235:$K235-$L235:$U235))),2)</f>
        <v>0</v>
      </c>
      <c r="AD235" s="39" t="n">
        <f aca="false">ROUND(J235-T235-MIN(J235-T235,MAX(0,$AF235-SUMPRODUCT(--($B$4:$K$4&lt;J$4),$B235:$K235-$L235:$U235))),2)</f>
        <v>0</v>
      </c>
      <c r="AE235" s="39" t="n">
        <f aca="false">ROUND(K235-U235-MIN(K235-U235,MAX(0,$AF235-SUMPRODUCT(--($B$4:$K$4&lt;K$4),$B235:$K235-$L235:$U235))),2)</f>
        <v>0</v>
      </c>
      <c r="AF235" s="39" t="n">
        <f aca="false">MAX(0,'Start Here'!$C$5-SUM($L235:$U235))</f>
        <v>1200</v>
      </c>
      <c r="AG235" s="39" t="n">
        <f aca="false">SUM(V235:AE235)</f>
        <v>0</v>
      </c>
      <c r="AH235" s="39" t="n">
        <f aca="false">SUM(B235:K235)-AG234</f>
        <v>0</v>
      </c>
    </row>
    <row r="236" customFormat="false" ht="15" hidden="false" customHeight="false" outlineLevel="0" collapsed="false">
      <c r="A236" s="40" t="n">
        <f aca="false">DATE(YEAR('Start Here'!$C$6),MONTH('Start Here'!$C$6)+229,1)</f>
        <v>53267</v>
      </c>
      <c r="B236" s="39" t="n">
        <f aca="false">ROUND(V235*(1+N('My Debts'!$D$6)/12),2)</f>
        <v>0</v>
      </c>
      <c r="C236" s="39" t="n">
        <f aca="false">ROUND(W235*(1+N('My Debts'!$D$7)/12),2)</f>
        <v>0</v>
      </c>
      <c r="D236" s="39" t="n">
        <f aca="false">ROUND(X235*(1+N('My Debts'!$D$8)/12),2)</f>
        <v>0</v>
      </c>
      <c r="E236" s="39" t="n">
        <f aca="false">ROUND(Y235*(1+N('My Debts'!$D$9)/12),2)</f>
        <v>0</v>
      </c>
      <c r="F236" s="39" t="n">
        <f aca="false">ROUND(Z235*(1+N('My Debts'!$D$10)/12),2)</f>
        <v>0</v>
      </c>
      <c r="G236" s="39" t="n">
        <f aca="false">ROUND(AA235*(1+N('My Debts'!$D$11)/12),2)</f>
        <v>0</v>
      </c>
      <c r="H236" s="39" t="n">
        <f aca="false">ROUND(AB235*(1+N('My Debts'!$D$12)/12),2)</f>
        <v>0</v>
      </c>
      <c r="I236" s="39" t="n">
        <f aca="false">ROUND(AC235*(1+N('My Debts'!$D$13)/12),2)</f>
        <v>0</v>
      </c>
      <c r="J236" s="39" t="n">
        <f aca="false">ROUND(AD235*(1+N('My Debts'!$D$14)/12),2)</f>
        <v>0</v>
      </c>
      <c r="K236" s="39" t="n">
        <f aca="false">ROUND(AE235*(1+N('My Debts'!$D$15)/12),2)</f>
        <v>0</v>
      </c>
      <c r="L236" s="39" t="n">
        <f aca="false">MIN(N('My Debts'!$E$6),B236)</f>
        <v>0</v>
      </c>
      <c r="M236" s="39" t="n">
        <f aca="false">MIN(N('My Debts'!$E$7),C236)</f>
        <v>0</v>
      </c>
      <c r="N236" s="39" t="n">
        <f aca="false">MIN(N('My Debts'!$E$8),D236)</f>
        <v>0</v>
      </c>
      <c r="O236" s="39" t="n">
        <f aca="false">MIN(N('My Debts'!$E$9),E236)</f>
        <v>0</v>
      </c>
      <c r="P236" s="39" t="n">
        <f aca="false">MIN(N('My Debts'!$E$10),F236)</f>
        <v>0</v>
      </c>
      <c r="Q236" s="39" t="n">
        <f aca="false">MIN(N('My Debts'!$E$11),G236)</f>
        <v>0</v>
      </c>
      <c r="R236" s="39" t="n">
        <f aca="false">MIN(N('My Debts'!$E$12),H236)</f>
        <v>0</v>
      </c>
      <c r="S236" s="39" t="n">
        <f aca="false">MIN(N('My Debts'!$E$13),I236)</f>
        <v>0</v>
      </c>
      <c r="T236" s="39" t="n">
        <f aca="false">MIN(N('My Debts'!$E$14),J236)</f>
        <v>0</v>
      </c>
      <c r="U236" s="39" t="n">
        <f aca="false">MIN(N('My Debts'!$E$15),K236)</f>
        <v>0</v>
      </c>
      <c r="V236" s="39" t="n">
        <f aca="false">ROUND(B236-L236-MIN(B236-L236,MAX(0,$AF236-SUMPRODUCT(--($B$4:$K$4&lt;B$4),$B236:$K236-$L236:$U236))),2)</f>
        <v>0</v>
      </c>
      <c r="W236" s="39" t="n">
        <f aca="false">ROUND(C236-M236-MIN(C236-M236,MAX(0,$AF236-SUMPRODUCT(--($B$4:$K$4&lt;C$4),$B236:$K236-$L236:$U236))),2)</f>
        <v>0</v>
      </c>
      <c r="X236" s="39" t="n">
        <f aca="false">ROUND(D236-N236-MIN(D236-N236,MAX(0,$AF236-SUMPRODUCT(--($B$4:$K$4&lt;D$4),$B236:$K236-$L236:$U236))),2)</f>
        <v>0</v>
      </c>
      <c r="Y236" s="39" t="n">
        <f aca="false">ROUND(E236-O236-MIN(E236-O236,MAX(0,$AF236-SUMPRODUCT(--($B$4:$K$4&lt;E$4),$B236:$K236-$L236:$U236))),2)</f>
        <v>0</v>
      </c>
      <c r="Z236" s="39" t="n">
        <f aca="false">ROUND(F236-P236-MIN(F236-P236,MAX(0,$AF236-SUMPRODUCT(--($B$4:$K$4&lt;F$4),$B236:$K236-$L236:$U236))),2)</f>
        <v>0</v>
      </c>
      <c r="AA236" s="39" t="n">
        <f aca="false">ROUND(G236-Q236-MIN(G236-Q236,MAX(0,$AF236-SUMPRODUCT(--($B$4:$K$4&lt;G$4),$B236:$K236-$L236:$U236))),2)</f>
        <v>0</v>
      </c>
      <c r="AB236" s="39" t="n">
        <f aca="false">ROUND(H236-R236-MIN(H236-R236,MAX(0,$AF236-SUMPRODUCT(--($B$4:$K$4&lt;H$4),$B236:$K236-$L236:$U236))),2)</f>
        <v>0</v>
      </c>
      <c r="AC236" s="39" t="n">
        <f aca="false">ROUND(I236-S236-MIN(I236-S236,MAX(0,$AF236-SUMPRODUCT(--($B$4:$K$4&lt;I$4),$B236:$K236-$L236:$U236))),2)</f>
        <v>0</v>
      </c>
      <c r="AD236" s="39" t="n">
        <f aca="false">ROUND(J236-T236-MIN(J236-T236,MAX(0,$AF236-SUMPRODUCT(--($B$4:$K$4&lt;J$4),$B236:$K236-$L236:$U236))),2)</f>
        <v>0</v>
      </c>
      <c r="AE236" s="39" t="n">
        <f aca="false">ROUND(K236-U236-MIN(K236-U236,MAX(0,$AF236-SUMPRODUCT(--($B$4:$K$4&lt;K$4),$B236:$K236-$L236:$U236))),2)</f>
        <v>0</v>
      </c>
      <c r="AF236" s="39" t="n">
        <f aca="false">MAX(0,'Start Here'!$C$5-SUM($L236:$U236))</f>
        <v>1200</v>
      </c>
      <c r="AG236" s="39" t="n">
        <f aca="false">SUM(V236:AE236)</f>
        <v>0</v>
      </c>
      <c r="AH236" s="39" t="n">
        <f aca="false">SUM(B236:K236)-AG235</f>
        <v>0</v>
      </c>
    </row>
    <row r="237" customFormat="false" ht="15" hidden="false" customHeight="false" outlineLevel="0" collapsed="false">
      <c r="A237" s="40" t="n">
        <f aca="false">DATE(YEAR('Start Here'!$C$6),MONTH('Start Here'!$C$6)+230,1)</f>
        <v>53297</v>
      </c>
      <c r="B237" s="39" t="n">
        <f aca="false">ROUND(V236*(1+N('My Debts'!$D$6)/12),2)</f>
        <v>0</v>
      </c>
      <c r="C237" s="39" t="n">
        <f aca="false">ROUND(W236*(1+N('My Debts'!$D$7)/12),2)</f>
        <v>0</v>
      </c>
      <c r="D237" s="39" t="n">
        <f aca="false">ROUND(X236*(1+N('My Debts'!$D$8)/12),2)</f>
        <v>0</v>
      </c>
      <c r="E237" s="39" t="n">
        <f aca="false">ROUND(Y236*(1+N('My Debts'!$D$9)/12),2)</f>
        <v>0</v>
      </c>
      <c r="F237" s="39" t="n">
        <f aca="false">ROUND(Z236*(1+N('My Debts'!$D$10)/12),2)</f>
        <v>0</v>
      </c>
      <c r="G237" s="39" t="n">
        <f aca="false">ROUND(AA236*(1+N('My Debts'!$D$11)/12),2)</f>
        <v>0</v>
      </c>
      <c r="H237" s="39" t="n">
        <f aca="false">ROUND(AB236*(1+N('My Debts'!$D$12)/12),2)</f>
        <v>0</v>
      </c>
      <c r="I237" s="39" t="n">
        <f aca="false">ROUND(AC236*(1+N('My Debts'!$D$13)/12),2)</f>
        <v>0</v>
      </c>
      <c r="J237" s="39" t="n">
        <f aca="false">ROUND(AD236*(1+N('My Debts'!$D$14)/12),2)</f>
        <v>0</v>
      </c>
      <c r="K237" s="39" t="n">
        <f aca="false">ROUND(AE236*(1+N('My Debts'!$D$15)/12),2)</f>
        <v>0</v>
      </c>
      <c r="L237" s="39" t="n">
        <f aca="false">MIN(N('My Debts'!$E$6),B237)</f>
        <v>0</v>
      </c>
      <c r="M237" s="39" t="n">
        <f aca="false">MIN(N('My Debts'!$E$7),C237)</f>
        <v>0</v>
      </c>
      <c r="N237" s="39" t="n">
        <f aca="false">MIN(N('My Debts'!$E$8),D237)</f>
        <v>0</v>
      </c>
      <c r="O237" s="39" t="n">
        <f aca="false">MIN(N('My Debts'!$E$9),E237)</f>
        <v>0</v>
      </c>
      <c r="P237" s="39" t="n">
        <f aca="false">MIN(N('My Debts'!$E$10),F237)</f>
        <v>0</v>
      </c>
      <c r="Q237" s="39" t="n">
        <f aca="false">MIN(N('My Debts'!$E$11),G237)</f>
        <v>0</v>
      </c>
      <c r="R237" s="39" t="n">
        <f aca="false">MIN(N('My Debts'!$E$12),H237)</f>
        <v>0</v>
      </c>
      <c r="S237" s="39" t="n">
        <f aca="false">MIN(N('My Debts'!$E$13),I237)</f>
        <v>0</v>
      </c>
      <c r="T237" s="39" t="n">
        <f aca="false">MIN(N('My Debts'!$E$14),J237)</f>
        <v>0</v>
      </c>
      <c r="U237" s="39" t="n">
        <f aca="false">MIN(N('My Debts'!$E$15),K237)</f>
        <v>0</v>
      </c>
      <c r="V237" s="39" t="n">
        <f aca="false">ROUND(B237-L237-MIN(B237-L237,MAX(0,$AF237-SUMPRODUCT(--($B$4:$K$4&lt;B$4),$B237:$K237-$L237:$U237))),2)</f>
        <v>0</v>
      </c>
      <c r="W237" s="39" t="n">
        <f aca="false">ROUND(C237-M237-MIN(C237-M237,MAX(0,$AF237-SUMPRODUCT(--($B$4:$K$4&lt;C$4),$B237:$K237-$L237:$U237))),2)</f>
        <v>0</v>
      </c>
      <c r="X237" s="39" t="n">
        <f aca="false">ROUND(D237-N237-MIN(D237-N237,MAX(0,$AF237-SUMPRODUCT(--($B$4:$K$4&lt;D$4),$B237:$K237-$L237:$U237))),2)</f>
        <v>0</v>
      </c>
      <c r="Y237" s="39" t="n">
        <f aca="false">ROUND(E237-O237-MIN(E237-O237,MAX(0,$AF237-SUMPRODUCT(--($B$4:$K$4&lt;E$4),$B237:$K237-$L237:$U237))),2)</f>
        <v>0</v>
      </c>
      <c r="Z237" s="39" t="n">
        <f aca="false">ROUND(F237-P237-MIN(F237-P237,MAX(0,$AF237-SUMPRODUCT(--($B$4:$K$4&lt;F$4),$B237:$K237-$L237:$U237))),2)</f>
        <v>0</v>
      </c>
      <c r="AA237" s="39" t="n">
        <f aca="false">ROUND(G237-Q237-MIN(G237-Q237,MAX(0,$AF237-SUMPRODUCT(--($B$4:$K$4&lt;G$4),$B237:$K237-$L237:$U237))),2)</f>
        <v>0</v>
      </c>
      <c r="AB237" s="39" t="n">
        <f aca="false">ROUND(H237-R237-MIN(H237-R237,MAX(0,$AF237-SUMPRODUCT(--($B$4:$K$4&lt;H$4),$B237:$K237-$L237:$U237))),2)</f>
        <v>0</v>
      </c>
      <c r="AC237" s="39" t="n">
        <f aca="false">ROUND(I237-S237-MIN(I237-S237,MAX(0,$AF237-SUMPRODUCT(--($B$4:$K$4&lt;I$4),$B237:$K237-$L237:$U237))),2)</f>
        <v>0</v>
      </c>
      <c r="AD237" s="39" t="n">
        <f aca="false">ROUND(J237-T237-MIN(J237-T237,MAX(0,$AF237-SUMPRODUCT(--($B$4:$K$4&lt;J$4),$B237:$K237-$L237:$U237))),2)</f>
        <v>0</v>
      </c>
      <c r="AE237" s="39" t="n">
        <f aca="false">ROUND(K237-U237-MIN(K237-U237,MAX(0,$AF237-SUMPRODUCT(--($B$4:$K$4&lt;K$4),$B237:$K237-$L237:$U237))),2)</f>
        <v>0</v>
      </c>
      <c r="AF237" s="39" t="n">
        <f aca="false">MAX(0,'Start Here'!$C$5-SUM($L237:$U237))</f>
        <v>1200</v>
      </c>
      <c r="AG237" s="39" t="n">
        <f aca="false">SUM(V237:AE237)</f>
        <v>0</v>
      </c>
      <c r="AH237" s="39" t="n">
        <f aca="false">SUM(B237:K237)-AG236</f>
        <v>0</v>
      </c>
    </row>
    <row r="238" customFormat="false" ht="15" hidden="false" customHeight="false" outlineLevel="0" collapsed="false">
      <c r="A238" s="40" t="n">
        <f aca="false">DATE(YEAR('Start Here'!$C$6),MONTH('Start Here'!$C$6)+231,1)</f>
        <v>53328</v>
      </c>
      <c r="B238" s="39" t="n">
        <f aca="false">ROUND(V237*(1+N('My Debts'!$D$6)/12),2)</f>
        <v>0</v>
      </c>
      <c r="C238" s="39" t="n">
        <f aca="false">ROUND(W237*(1+N('My Debts'!$D$7)/12),2)</f>
        <v>0</v>
      </c>
      <c r="D238" s="39" t="n">
        <f aca="false">ROUND(X237*(1+N('My Debts'!$D$8)/12),2)</f>
        <v>0</v>
      </c>
      <c r="E238" s="39" t="n">
        <f aca="false">ROUND(Y237*(1+N('My Debts'!$D$9)/12),2)</f>
        <v>0</v>
      </c>
      <c r="F238" s="39" t="n">
        <f aca="false">ROUND(Z237*(1+N('My Debts'!$D$10)/12),2)</f>
        <v>0</v>
      </c>
      <c r="G238" s="39" t="n">
        <f aca="false">ROUND(AA237*(1+N('My Debts'!$D$11)/12),2)</f>
        <v>0</v>
      </c>
      <c r="H238" s="39" t="n">
        <f aca="false">ROUND(AB237*(1+N('My Debts'!$D$12)/12),2)</f>
        <v>0</v>
      </c>
      <c r="I238" s="39" t="n">
        <f aca="false">ROUND(AC237*(1+N('My Debts'!$D$13)/12),2)</f>
        <v>0</v>
      </c>
      <c r="J238" s="39" t="n">
        <f aca="false">ROUND(AD237*(1+N('My Debts'!$D$14)/12),2)</f>
        <v>0</v>
      </c>
      <c r="K238" s="39" t="n">
        <f aca="false">ROUND(AE237*(1+N('My Debts'!$D$15)/12),2)</f>
        <v>0</v>
      </c>
      <c r="L238" s="39" t="n">
        <f aca="false">MIN(N('My Debts'!$E$6),B238)</f>
        <v>0</v>
      </c>
      <c r="M238" s="39" t="n">
        <f aca="false">MIN(N('My Debts'!$E$7),C238)</f>
        <v>0</v>
      </c>
      <c r="N238" s="39" t="n">
        <f aca="false">MIN(N('My Debts'!$E$8),D238)</f>
        <v>0</v>
      </c>
      <c r="O238" s="39" t="n">
        <f aca="false">MIN(N('My Debts'!$E$9),E238)</f>
        <v>0</v>
      </c>
      <c r="P238" s="39" t="n">
        <f aca="false">MIN(N('My Debts'!$E$10),F238)</f>
        <v>0</v>
      </c>
      <c r="Q238" s="39" t="n">
        <f aca="false">MIN(N('My Debts'!$E$11),G238)</f>
        <v>0</v>
      </c>
      <c r="R238" s="39" t="n">
        <f aca="false">MIN(N('My Debts'!$E$12),H238)</f>
        <v>0</v>
      </c>
      <c r="S238" s="39" t="n">
        <f aca="false">MIN(N('My Debts'!$E$13),I238)</f>
        <v>0</v>
      </c>
      <c r="T238" s="39" t="n">
        <f aca="false">MIN(N('My Debts'!$E$14),J238)</f>
        <v>0</v>
      </c>
      <c r="U238" s="39" t="n">
        <f aca="false">MIN(N('My Debts'!$E$15),K238)</f>
        <v>0</v>
      </c>
      <c r="V238" s="39" t="n">
        <f aca="false">ROUND(B238-L238-MIN(B238-L238,MAX(0,$AF238-SUMPRODUCT(--($B$4:$K$4&lt;B$4),$B238:$K238-$L238:$U238))),2)</f>
        <v>0</v>
      </c>
      <c r="W238" s="39" t="n">
        <f aca="false">ROUND(C238-M238-MIN(C238-M238,MAX(0,$AF238-SUMPRODUCT(--($B$4:$K$4&lt;C$4),$B238:$K238-$L238:$U238))),2)</f>
        <v>0</v>
      </c>
      <c r="X238" s="39" t="n">
        <f aca="false">ROUND(D238-N238-MIN(D238-N238,MAX(0,$AF238-SUMPRODUCT(--($B$4:$K$4&lt;D$4),$B238:$K238-$L238:$U238))),2)</f>
        <v>0</v>
      </c>
      <c r="Y238" s="39" t="n">
        <f aca="false">ROUND(E238-O238-MIN(E238-O238,MAX(0,$AF238-SUMPRODUCT(--($B$4:$K$4&lt;E$4),$B238:$K238-$L238:$U238))),2)</f>
        <v>0</v>
      </c>
      <c r="Z238" s="39" t="n">
        <f aca="false">ROUND(F238-P238-MIN(F238-P238,MAX(0,$AF238-SUMPRODUCT(--($B$4:$K$4&lt;F$4),$B238:$K238-$L238:$U238))),2)</f>
        <v>0</v>
      </c>
      <c r="AA238" s="39" t="n">
        <f aca="false">ROUND(G238-Q238-MIN(G238-Q238,MAX(0,$AF238-SUMPRODUCT(--($B$4:$K$4&lt;G$4),$B238:$K238-$L238:$U238))),2)</f>
        <v>0</v>
      </c>
      <c r="AB238" s="39" t="n">
        <f aca="false">ROUND(H238-R238-MIN(H238-R238,MAX(0,$AF238-SUMPRODUCT(--($B$4:$K$4&lt;H$4),$B238:$K238-$L238:$U238))),2)</f>
        <v>0</v>
      </c>
      <c r="AC238" s="39" t="n">
        <f aca="false">ROUND(I238-S238-MIN(I238-S238,MAX(0,$AF238-SUMPRODUCT(--($B$4:$K$4&lt;I$4),$B238:$K238-$L238:$U238))),2)</f>
        <v>0</v>
      </c>
      <c r="AD238" s="39" t="n">
        <f aca="false">ROUND(J238-T238-MIN(J238-T238,MAX(0,$AF238-SUMPRODUCT(--($B$4:$K$4&lt;J$4),$B238:$K238-$L238:$U238))),2)</f>
        <v>0</v>
      </c>
      <c r="AE238" s="39" t="n">
        <f aca="false">ROUND(K238-U238-MIN(K238-U238,MAX(0,$AF238-SUMPRODUCT(--($B$4:$K$4&lt;K$4),$B238:$K238-$L238:$U238))),2)</f>
        <v>0</v>
      </c>
      <c r="AF238" s="39" t="n">
        <f aca="false">MAX(0,'Start Here'!$C$5-SUM($L238:$U238))</f>
        <v>1200</v>
      </c>
      <c r="AG238" s="39" t="n">
        <f aca="false">SUM(V238:AE238)</f>
        <v>0</v>
      </c>
      <c r="AH238" s="39" t="n">
        <f aca="false">SUM(B238:K238)-AG237</f>
        <v>0</v>
      </c>
    </row>
    <row r="239" customFormat="false" ht="15" hidden="false" customHeight="false" outlineLevel="0" collapsed="false">
      <c r="A239" s="40" t="n">
        <f aca="false">DATE(YEAR('Start Here'!$C$6),MONTH('Start Here'!$C$6)+232,1)</f>
        <v>53359</v>
      </c>
      <c r="B239" s="39" t="n">
        <f aca="false">ROUND(V238*(1+N('My Debts'!$D$6)/12),2)</f>
        <v>0</v>
      </c>
      <c r="C239" s="39" t="n">
        <f aca="false">ROUND(W238*(1+N('My Debts'!$D$7)/12),2)</f>
        <v>0</v>
      </c>
      <c r="D239" s="39" t="n">
        <f aca="false">ROUND(X238*(1+N('My Debts'!$D$8)/12),2)</f>
        <v>0</v>
      </c>
      <c r="E239" s="39" t="n">
        <f aca="false">ROUND(Y238*(1+N('My Debts'!$D$9)/12),2)</f>
        <v>0</v>
      </c>
      <c r="F239" s="39" t="n">
        <f aca="false">ROUND(Z238*(1+N('My Debts'!$D$10)/12),2)</f>
        <v>0</v>
      </c>
      <c r="G239" s="39" t="n">
        <f aca="false">ROUND(AA238*(1+N('My Debts'!$D$11)/12),2)</f>
        <v>0</v>
      </c>
      <c r="H239" s="39" t="n">
        <f aca="false">ROUND(AB238*(1+N('My Debts'!$D$12)/12),2)</f>
        <v>0</v>
      </c>
      <c r="I239" s="39" t="n">
        <f aca="false">ROUND(AC238*(1+N('My Debts'!$D$13)/12),2)</f>
        <v>0</v>
      </c>
      <c r="J239" s="39" t="n">
        <f aca="false">ROUND(AD238*(1+N('My Debts'!$D$14)/12),2)</f>
        <v>0</v>
      </c>
      <c r="K239" s="39" t="n">
        <f aca="false">ROUND(AE238*(1+N('My Debts'!$D$15)/12),2)</f>
        <v>0</v>
      </c>
      <c r="L239" s="39" t="n">
        <f aca="false">MIN(N('My Debts'!$E$6),B239)</f>
        <v>0</v>
      </c>
      <c r="M239" s="39" t="n">
        <f aca="false">MIN(N('My Debts'!$E$7),C239)</f>
        <v>0</v>
      </c>
      <c r="N239" s="39" t="n">
        <f aca="false">MIN(N('My Debts'!$E$8),D239)</f>
        <v>0</v>
      </c>
      <c r="O239" s="39" t="n">
        <f aca="false">MIN(N('My Debts'!$E$9),E239)</f>
        <v>0</v>
      </c>
      <c r="P239" s="39" t="n">
        <f aca="false">MIN(N('My Debts'!$E$10),F239)</f>
        <v>0</v>
      </c>
      <c r="Q239" s="39" t="n">
        <f aca="false">MIN(N('My Debts'!$E$11),G239)</f>
        <v>0</v>
      </c>
      <c r="R239" s="39" t="n">
        <f aca="false">MIN(N('My Debts'!$E$12),H239)</f>
        <v>0</v>
      </c>
      <c r="S239" s="39" t="n">
        <f aca="false">MIN(N('My Debts'!$E$13),I239)</f>
        <v>0</v>
      </c>
      <c r="T239" s="39" t="n">
        <f aca="false">MIN(N('My Debts'!$E$14),J239)</f>
        <v>0</v>
      </c>
      <c r="U239" s="39" t="n">
        <f aca="false">MIN(N('My Debts'!$E$15),K239)</f>
        <v>0</v>
      </c>
      <c r="V239" s="39" t="n">
        <f aca="false">ROUND(B239-L239-MIN(B239-L239,MAX(0,$AF239-SUMPRODUCT(--($B$4:$K$4&lt;B$4),$B239:$K239-$L239:$U239))),2)</f>
        <v>0</v>
      </c>
      <c r="W239" s="39" t="n">
        <f aca="false">ROUND(C239-M239-MIN(C239-M239,MAX(0,$AF239-SUMPRODUCT(--($B$4:$K$4&lt;C$4),$B239:$K239-$L239:$U239))),2)</f>
        <v>0</v>
      </c>
      <c r="X239" s="39" t="n">
        <f aca="false">ROUND(D239-N239-MIN(D239-N239,MAX(0,$AF239-SUMPRODUCT(--($B$4:$K$4&lt;D$4),$B239:$K239-$L239:$U239))),2)</f>
        <v>0</v>
      </c>
      <c r="Y239" s="39" t="n">
        <f aca="false">ROUND(E239-O239-MIN(E239-O239,MAX(0,$AF239-SUMPRODUCT(--($B$4:$K$4&lt;E$4),$B239:$K239-$L239:$U239))),2)</f>
        <v>0</v>
      </c>
      <c r="Z239" s="39" t="n">
        <f aca="false">ROUND(F239-P239-MIN(F239-P239,MAX(0,$AF239-SUMPRODUCT(--($B$4:$K$4&lt;F$4),$B239:$K239-$L239:$U239))),2)</f>
        <v>0</v>
      </c>
      <c r="AA239" s="39" t="n">
        <f aca="false">ROUND(G239-Q239-MIN(G239-Q239,MAX(0,$AF239-SUMPRODUCT(--($B$4:$K$4&lt;G$4),$B239:$K239-$L239:$U239))),2)</f>
        <v>0</v>
      </c>
      <c r="AB239" s="39" t="n">
        <f aca="false">ROUND(H239-R239-MIN(H239-R239,MAX(0,$AF239-SUMPRODUCT(--($B$4:$K$4&lt;H$4),$B239:$K239-$L239:$U239))),2)</f>
        <v>0</v>
      </c>
      <c r="AC239" s="39" t="n">
        <f aca="false">ROUND(I239-S239-MIN(I239-S239,MAX(0,$AF239-SUMPRODUCT(--($B$4:$K$4&lt;I$4),$B239:$K239-$L239:$U239))),2)</f>
        <v>0</v>
      </c>
      <c r="AD239" s="39" t="n">
        <f aca="false">ROUND(J239-T239-MIN(J239-T239,MAX(0,$AF239-SUMPRODUCT(--($B$4:$K$4&lt;J$4),$B239:$K239-$L239:$U239))),2)</f>
        <v>0</v>
      </c>
      <c r="AE239" s="39" t="n">
        <f aca="false">ROUND(K239-U239-MIN(K239-U239,MAX(0,$AF239-SUMPRODUCT(--($B$4:$K$4&lt;K$4),$B239:$K239-$L239:$U239))),2)</f>
        <v>0</v>
      </c>
      <c r="AF239" s="39" t="n">
        <f aca="false">MAX(0,'Start Here'!$C$5-SUM($L239:$U239))</f>
        <v>1200</v>
      </c>
      <c r="AG239" s="39" t="n">
        <f aca="false">SUM(V239:AE239)</f>
        <v>0</v>
      </c>
      <c r="AH239" s="39" t="n">
        <f aca="false">SUM(B239:K239)-AG238</f>
        <v>0</v>
      </c>
    </row>
    <row r="240" customFormat="false" ht="15" hidden="false" customHeight="false" outlineLevel="0" collapsed="false">
      <c r="A240" s="40" t="n">
        <f aca="false">DATE(YEAR('Start Here'!$C$6),MONTH('Start Here'!$C$6)+233,1)</f>
        <v>53387</v>
      </c>
      <c r="B240" s="39" t="n">
        <f aca="false">ROUND(V239*(1+N('My Debts'!$D$6)/12),2)</f>
        <v>0</v>
      </c>
      <c r="C240" s="39" t="n">
        <f aca="false">ROUND(W239*(1+N('My Debts'!$D$7)/12),2)</f>
        <v>0</v>
      </c>
      <c r="D240" s="39" t="n">
        <f aca="false">ROUND(X239*(1+N('My Debts'!$D$8)/12),2)</f>
        <v>0</v>
      </c>
      <c r="E240" s="39" t="n">
        <f aca="false">ROUND(Y239*(1+N('My Debts'!$D$9)/12),2)</f>
        <v>0</v>
      </c>
      <c r="F240" s="39" t="n">
        <f aca="false">ROUND(Z239*(1+N('My Debts'!$D$10)/12),2)</f>
        <v>0</v>
      </c>
      <c r="G240" s="39" t="n">
        <f aca="false">ROUND(AA239*(1+N('My Debts'!$D$11)/12),2)</f>
        <v>0</v>
      </c>
      <c r="H240" s="39" t="n">
        <f aca="false">ROUND(AB239*(1+N('My Debts'!$D$12)/12),2)</f>
        <v>0</v>
      </c>
      <c r="I240" s="39" t="n">
        <f aca="false">ROUND(AC239*(1+N('My Debts'!$D$13)/12),2)</f>
        <v>0</v>
      </c>
      <c r="J240" s="39" t="n">
        <f aca="false">ROUND(AD239*(1+N('My Debts'!$D$14)/12),2)</f>
        <v>0</v>
      </c>
      <c r="K240" s="39" t="n">
        <f aca="false">ROUND(AE239*(1+N('My Debts'!$D$15)/12),2)</f>
        <v>0</v>
      </c>
      <c r="L240" s="39" t="n">
        <f aca="false">MIN(N('My Debts'!$E$6),B240)</f>
        <v>0</v>
      </c>
      <c r="M240" s="39" t="n">
        <f aca="false">MIN(N('My Debts'!$E$7),C240)</f>
        <v>0</v>
      </c>
      <c r="N240" s="39" t="n">
        <f aca="false">MIN(N('My Debts'!$E$8),D240)</f>
        <v>0</v>
      </c>
      <c r="O240" s="39" t="n">
        <f aca="false">MIN(N('My Debts'!$E$9),E240)</f>
        <v>0</v>
      </c>
      <c r="P240" s="39" t="n">
        <f aca="false">MIN(N('My Debts'!$E$10),F240)</f>
        <v>0</v>
      </c>
      <c r="Q240" s="39" t="n">
        <f aca="false">MIN(N('My Debts'!$E$11),G240)</f>
        <v>0</v>
      </c>
      <c r="R240" s="39" t="n">
        <f aca="false">MIN(N('My Debts'!$E$12),H240)</f>
        <v>0</v>
      </c>
      <c r="S240" s="39" t="n">
        <f aca="false">MIN(N('My Debts'!$E$13),I240)</f>
        <v>0</v>
      </c>
      <c r="T240" s="39" t="n">
        <f aca="false">MIN(N('My Debts'!$E$14),J240)</f>
        <v>0</v>
      </c>
      <c r="U240" s="39" t="n">
        <f aca="false">MIN(N('My Debts'!$E$15),K240)</f>
        <v>0</v>
      </c>
      <c r="V240" s="39" t="n">
        <f aca="false">ROUND(B240-L240-MIN(B240-L240,MAX(0,$AF240-SUMPRODUCT(--($B$4:$K$4&lt;B$4),$B240:$K240-$L240:$U240))),2)</f>
        <v>0</v>
      </c>
      <c r="W240" s="39" t="n">
        <f aca="false">ROUND(C240-M240-MIN(C240-M240,MAX(0,$AF240-SUMPRODUCT(--($B$4:$K$4&lt;C$4),$B240:$K240-$L240:$U240))),2)</f>
        <v>0</v>
      </c>
      <c r="X240" s="39" t="n">
        <f aca="false">ROUND(D240-N240-MIN(D240-N240,MAX(0,$AF240-SUMPRODUCT(--($B$4:$K$4&lt;D$4),$B240:$K240-$L240:$U240))),2)</f>
        <v>0</v>
      </c>
      <c r="Y240" s="39" t="n">
        <f aca="false">ROUND(E240-O240-MIN(E240-O240,MAX(0,$AF240-SUMPRODUCT(--($B$4:$K$4&lt;E$4),$B240:$K240-$L240:$U240))),2)</f>
        <v>0</v>
      </c>
      <c r="Z240" s="39" t="n">
        <f aca="false">ROUND(F240-P240-MIN(F240-P240,MAX(0,$AF240-SUMPRODUCT(--($B$4:$K$4&lt;F$4),$B240:$K240-$L240:$U240))),2)</f>
        <v>0</v>
      </c>
      <c r="AA240" s="39" t="n">
        <f aca="false">ROUND(G240-Q240-MIN(G240-Q240,MAX(0,$AF240-SUMPRODUCT(--($B$4:$K$4&lt;G$4),$B240:$K240-$L240:$U240))),2)</f>
        <v>0</v>
      </c>
      <c r="AB240" s="39" t="n">
        <f aca="false">ROUND(H240-R240-MIN(H240-R240,MAX(0,$AF240-SUMPRODUCT(--($B$4:$K$4&lt;H$4),$B240:$K240-$L240:$U240))),2)</f>
        <v>0</v>
      </c>
      <c r="AC240" s="39" t="n">
        <f aca="false">ROUND(I240-S240-MIN(I240-S240,MAX(0,$AF240-SUMPRODUCT(--($B$4:$K$4&lt;I$4),$B240:$K240-$L240:$U240))),2)</f>
        <v>0</v>
      </c>
      <c r="AD240" s="39" t="n">
        <f aca="false">ROUND(J240-T240-MIN(J240-T240,MAX(0,$AF240-SUMPRODUCT(--($B$4:$K$4&lt;J$4),$B240:$K240-$L240:$U240))),2)</f>
        <v>0</v>
      </c>
      <c r="AE240" s="39" t="n">
        <f aca="false">ROUND(K240-U240-MIN(K240-U240,MAX(0,$AF240-SUMPRODUCT(--($B$4:$K$4&lt;K$4),$B240:$K240-$L240:$U240))),2)</f>
        <v>0</v>
      </c>
      <c r="AF240" s="39" t="n">
        <f aca="false">MAX(0,'Start Here'!$C$5-SUM($L240:$U240))</f>
        <v>1200</v>
      </c>
      <c r="AG240" s="39" t="n">
        <f aca="false">SUM(V240:AE240)</f>
        <v>0</v>
      </c>
      <c r="AH240" s="39" t="n">
        <f aca="false">SUM(B240:K240)-AG239</f>
        <v>0</v>
      </c>
    </row>
    <row r="241" customFormat="false" ht="15" hidden="false" customHeight="false" outlineLevel="0" collapsed="false">
      <c r="A241" s="40" t="n">
        <f aca="false">DATE(YEAR('Start Here'!$C$6),MONTH('Start Here'!$C$6)+234,1)</f>
        <v>53418</v>
      </c>
      <c r="B241" s="39" t="n">
        <f aca="false">ROUND(V240*(1+N('My Debts'!$D$6)/12),2)</f>
        <v>0</v>
      </c>
      <c r="C241" s="39" t="n">
        <f aca="false">ROUND(W240*(1+N('My Debts'!$D$7)/12),2)</f>
        <v>0</v>
      </c>
      <c r="D241" s="39" t="n">
        <f aca="false">ROUND(X240*(1+N('My Debts'!$D$8)/12),2)</f>
        <v>0</v>
      </c>
      <c r="E241" s="39" t="n">
        <f aca="false">ROUND(Y240*(1+N('My Debts'!$D$9)/12),2)</f>
        <v>0</v>
      </c>
      <c r="F241" s="39" t="n">
        <f aca="false">ROUND(Z240*(1+N('My Debts'!$D$10)/12),2)</f>
        <v>0</v>
      </c>
      <c r="G241" s="39" t="n">
        <f aca="false">ROUND(AA240*(1+N('My Debts'!$D$11)/12),2)</f>
        <v>0</v>
      </c>
      <c r="H241" s="39" t="n">
        <f aca="false">ROUND(AB240*(1+N('My Debts'!$D$12)/12),2)</f>
        <v>0</v>
      </c>
      <c r="I241" s="39" t="n">
        <f aca="false">ROUND(AC240*(1+N('My Debts'!$D$13)/12),2)</f>
        <v>0</v>
      </c>
      <c r="J241" s="39" t="n">
        <f aca="false">ROUND(AD240*(1+N('My Debts'!$D$14)/12),2)</f>
        <v>0</v>
      </c>
      <c r="K241" s="39" t="n">
        <f aca="false">ROUND(AE240*(1+N('My Debts'!$D$15)/12),2)</f>
        <v>0</v>
      </c>
      <c r="L241" s="39" t="n">
        <f aca="false">MIN(N('My Debts'!$E$6),B241)</f>
        <v>0</v>
      </c>
      <c r="M241" s="39" t="n">
        <f aca="false">MIN(N('My Debts'!$E$7),C241)</f>
        <v>0</v>
      </c>
      <c r="N241" s="39" t="n">
        <f aca="false">MIN(N('My Debts'!$E$8),D241)</f>
        <v>0</v>
      </c>
      <c r="O241" s="39" t="n">
        <f aca="false">MIN(N('My Debts'!$E$9),E241)</f>
        <v>0</v>
      </c>
      <c r="P241" s="39" t="n">
        <f aca="false">MIN(N('My Debts'!$E$10),F241)</f>
        <v>0</v>
      </c>
      <c r="Q241" s="39" t="n">
        <f aca="false">MIN(N('My Debts'!$E$11),G241)</f>
        <v>0</v>
      </c>
      <c r="R241" s="39" t="n">
        <f aca="false">MIN(N('My Debts'!$E$12),H241)</f>
        <v>0</v>
      </c>
      <c r="S241" s="39" t="n">
        <f aca="false">MIN(N('My Debts'!$E$13),I241)</f>
        <v>0</v>
      </c>
      <c r="T241" s="39" t="n">
        <f aca="false">MIN(N('My Debts'!$E$14),J241)</f>
        <v>0</v>
      </c>
      <c r="U241" s="39" t="n">
        <f aca="false">MIN(N('My Debts'!$E$15),K241)</f>
        <v>0</v>
      </c>
      <c r="V241" s="39" t="n">
        <f aca="false">ROUND(B241-L241-MIN(B241-L241,MAX(0,$AF241-SUMPRODUCT(--($B$4:$K$4&lt;B$4),$B241:$K241-$L241:$U241))),2)</f>
        <v>0</v>
      </c>
      <c r="W241" s="39" t="n">
        <f aca="false">ROUND(C241-M241-MIN(C241-M241,MAX(0,$AF241-SUMPRODUCT(--($B$4:$K$4&lt;C$4),$B241:$K241-$L241:$U241))),2)</f>
        <v>0</v>
      </c>
      <c r="X241" s="39" t="n">
        <f aca="false">ROUND(D241-N241-MIN(D241-N241,MAX(0,$AF241-SUMPRODUCT(--($B$4:$K$4&lt;D$4),$B241:$K241-$L241:$U241))),2)</f>
        <v>0</v>
      </c>
      <c r="Y241" s="39" t="n">
        <f aca="false">ROUND(E241-O241-MIN(E241-O241,MAX(0,$AF241-SUMPRODUCT(--($B$4:$K$4&lt;E$4),$B241:$K241-$L241:$U241))),2)</f>
        <v>0</v>
      </c>
      <c r="Z241" s="39" t="n">
        <f aca="false">ROUND(F241-P241-MIN(F241-P241,MAX(0,$AF241-SUMPRODUCT(--($B$4:$K$4&lt;F$4),$B241:$K241-$L241:$U241))),2)</f>
        <v>0</v>
      </c>
      <c r="AA241" s="39" t="n">
        <f aca="false">ROUND(G241-Q241-MIN(G241-Q241,MAX(0,$AF241-SUMPRODUCT(--($B$4:$K$4&lt;G$4),$B241:$K241-$L241:$U241))),2)</f>
        <v>0</v>
      </c>
      <c r="AB241" s="39" t="n">
        <f aca="false">ROUND(H241-R241-MIN(H241-R241,MAX(0,$AF241-SUMPRODUCT(--($B$4:$K$4&lt;H$4),$B241:$K241-$L241:$U241))),2)</f>
        <v>0</v>
      </c>
      <c r="AC241" s="39" t="n">
        <f aca="false">ROUND(I241-S241-MIN(I241-S241,MAX(0,$AF241-SUMPRODUCT(--($B$4:$K$4&lt;I$4),$B241:$K241-$L241:$U241))),2)</f>
        <v>0</v>
      </c>
      <c r="AD241" s="39" t="n">
        <f aca="false">ROUND(J241-T241-MIN(J241-T241,MAX(0,$AF241-SUMPRODUCT(--($B$4:$K$4&lt;J$4),$B241:$K241-$L241:$U241))),2)</f>
        <v>0</v>
      </c>
      <c r="AE241" s="39" t="n">
        <f aca="false">ROUND(K241-U241-MIN(K241-U241,MAX(0,$AF241-SUMPRODUCT(--($B$4:$K$4&lt;K$4),$B241:$K241-$L241:$U241))),2)</f>
        <v>0</v>
      </c>
      <c r="AF241" s="39" t="n">
        <f aca="false">MAX(0,'Start Here'!$C$5-SUM($L241:$U241))</f>
        <v>1200</v>
      </c>
      <c r="AG241" s="39" t="n">
        <f aca="false">SUM(V241:AE241)</f>
        <v>0</v>
      </c>
      <c r="AH241" s="39" t="n">
        <f aca="false">SUM(B241:K241)-AG240</f>
        <v>0</v>
      </c>
    </row>
    <row r="242" customFormat="false" ht="15" hidden="false" customHeight="false" outlineLevel="0" collapsed="false">
      <c r="A242" s="40" t="n">
        <f aca="false">DATE(YEAR('Start Here'!$C$6),MONTH('Start Here'!$C$6)+235,1)</f>
        <v>53448</v>
      </c>
      <c r="B242" s="39" t="n">
        <f aca="false">ROUND(V241*(1+N('My Debts'!$D$6)/12),2)</f>
        <v>0</v>
      </c>
      <c r="C242" s="39" t="n">
        <f aca="false">ROUND(W241*(1+N('My Debts'!$D$7)/12),2)</f>
        <v>0</v>
      </c>
      <c r="D242" s="39" t="n">
        <f aca="false">ROUND(X241*(1+N('My Debts'!$D$8)/12),2)</f>
        <v>0</v>
      </c>
      <c r="E242" s="39" t="n">
        <f aca="false">ROUND(Y241*(1+N('My Debts'!$D$9)/12),2)</f>
        <v>0</v>
      </c>
      <c r="F242" s="39" t="n">
        <f aca="false">ROUND(Z241*(1+N('My Debts'!$D$10)/12),2)</f>
        <v>0</v>
      </c>
      <c r="G242" s="39" t="n">
        <f aca="false">ROUND(AA241*(1+N('My Debts'!$D$11)/12),2)</f>
        <v>0</v>
      </c>
      <c r="H242" s="39" t="n">
        <f aca="false">ROUND(AB241*(1+N('My Debts'!$D$12)/12),2)</f>
        <v>0</v>
      </c>
      <c r="I242" s="39" t="n">
        <f aca="false">ROUND(AC241*(1+N('My Debts'!$D$13)/12),2)</f>
        <v>0</v>
      </c>
      <c r="J242" s="39" t="n">
        <f aca="false">ROUND(AD241*(1+N('My Debts'!$D$14)/12),2)</f>
        <v>0</v>
      </c>
      <c r="K242" s="39" t="n">
        <f aca="false">ROUND(AE241*(1+N('My Debts'!$D$15)/12),2)</f>
        <v>0</v>
      </c>
      <c r="L242" s="39" t="n">
        <f aca="false">MIN(N('My Debts'!$E$6),B242)</f>
        <v>0</v>
      </c>
      <c r="M242" s="39" t="n">
        <f aca="false">MIN(N('My Debts'!$E$7),C242)</f>
        <v>0</v>
      </c>
      <c r="N242" s="39" t="n">
        <f aca="false">MIN(N('My Debts'!$E$8),D242)</f>
        <v>0</v>
      </c>
      <c r="O242" s="39" t="n">
        <f aca="false">MIN(N('My Debts'!$E$9),E242)</f>
        <v>0</v>
      </c>
      <c r="P242" s="39" t="n">
        <f aca="false">MIN(N('My Debts'!$E$10),F242)</f>
        <v>0</v>
      </c>
      <c r="Q242" s="39" t="n">
        <f aca="false">MIN(N('My Debts'!$E$11),G242)</f>
        <v>0</v>
      </c>
      <c r="R242" s="39" t="n">
        <f aca="false">MIN(N('My Debts'!$E$12),H242)</f>
        <v>0</v>
      </c>
      <c r="S242" s="39" t="n">
        <f aca="false">MIN(N('My Debts'!$E$13),I242)</f>
        <v>0</v>
      </c>
      <c r="T242" s="39" t="n">
        <f aca="false">MIN(N('My Debts'!$E$14),J242)</f>
        <v>0</v>
      </c>
      <c r="U242" s="39" t="n">
        <f aca="false">MIN(N('My Debts'!$E$15),K242)</f>
        <v>0</v>
      </c>
      <c r="V242" s="39" t="n">
        <f aca="false">ROUND(B242-L242-MIN(B242-L242,MAX(0,$AF242-SUMPRODUCT(--($B$4:$K$4&lt;B$4),$B242:$K242-$L242:$U242))),2)</f>
        <v>0</v>
      </c>
      <c r="W242" s="39" t="n">
        <f aca="false">ROUND(C242-M242-MIN(C242-M242,MAX(0,$AF242-SUMPRODUCT(--($B$4:$K$4&lt;C$4),$B242:$K242-$L242:$U242))),2)</f>
        <v>0</v>
      </c>
      <c r="X242" s="39" t="n">
        <f aca="false">ROUND(D242-N242-MIN(D242-N242,MAX(0,$AF242-SUMPRODUCT(--($B$4:$K$4&lt;D$4),$B242:$K242-$L242:$U242))),2)</f>
        <v>0</v>
      </c>
      <c r="Y242" s="39" t="n">
        <f aca="false">ROUND(E242-O242-MIN(E242-O242,MAX(0,$AF242-SUMPRODUCT(--($B$4:$K$4&lt;E$4),$B242:$K242-$L242:$U242))),2)</f>
        <v>0</v>
      </c>
      <c r="Z242" s="39" t="n">
        <f aca="false">ROUND(F242-P242-MIN(F242-P242,MAX(0,$AF242-SUMPRODUCT(--($B$4:$K$4&lt;F$4),$B242:$K242-$L242:$U242))),2)</f>
        <v>0</v>
      </c>
      <c r="AA242" s="39" t="n">
        <f aca="false">ROUND(G242-Q242-MIN(G242-Q242,MAX(0,$AF242-SUMPRODUCT(--($B$4:$K$4&lt;G$4),$B242:$K242-$L242:$U242))),2)</f>
        <v>0</v>
      </c>
      <c r="AB242" s="39" t="n">
        <f aca="false">ROUND(H242-R242-MIN(H242-R242,MAX(0,$AF242-SUMPRODUCT(--($B$4:$K$4&lt;H$4),$B242:$K242-$L242:$U242))),2)</f>
        <v>0</v>
      </c>
      <c r="AC242" s="39" t="n">
        <f aca="false">ROUND(I242-S242-MIN(I242-S242,MAX(0,$AF242-SUMPRODUCT(--($B$4:$K$4&lt;I$4),$B242:$K242-$L242:$U242))),2)</f>
        <v>0</v>
      </c>
      <c r="AD242" s="39" t="n">
        <f aca="false">ROUND(J242-T242-MIN(J242-T242,MAX(0,$AF242-SUMPRODUCT(--($B$4:$K$4&lt;J$4),$B242:$K242-$L242:$U242))),2)</f>
        <v>0</v>
      </c>
      <c r="AE242" s="39" t="n">
        <f aca="false">ROUND(K242-U242-MIN(K242-U242,MAX(0,$AF242-SUMPRODUCT(--($B$4:$K$4&lt;K$4),$B242:$K242-$L242:$U242))),2)</f>
        <v>0</v>
      </c>
      <c r="AF242" s="39" t="n">
        <f aca="false">MAX(0,'Start Here'!$C$5-SUM($L242:$U242))</f>
        <v>1200</v>
      </c>
      <c r="AG242" s="39" t="n">
        <f aca="false">SUM(V242:AE242)</f>
        <v>0</v>
      </c>
      <c r="AH242" s="39" t="n">
        <f aca="false">SUM(B242:K242)-AG241</f>
        <v>0</v>
      </c>
    </row>
    <row r="243" customFormat="false" ht="15" hidden="false" customHeight="false" outlineLevel="0" collapsed="false">
      <c r="A243" s="40" t="n">
        <f aca="false">DATE(YEAR('Start Here'!$C$6),MONTH('Start Here'!$C$6)+236,1)</f>
        <v>53479</v>
      </c>
      <c r="B243" s="39" t="n">
        <f aca="false">ROUND(V242*(1+N('My Debts'!$D$6)/12),2)</f>
        <v>0</v>
      </c>
      <c r="C243" s="39" t="n">
        <f aca="false">ROUND(W242*(1+N('My Debts'!$D$7)/12),2)</f>
        <v>0</v>
      </c>
      <c r="D243" s="39" t="n">
        <f aca="false">ROUND(X242*(1+N('My Debts'!$D$8)/12),2)</f>
        <v>0</v>
      </c>
      <c r="E243" s="39" t="n">
        <f aca="false">ROUND(Y242*(1+N('My Debts'!$D$9)/12),2)</f>
        <v>0</v>
      </c>
      <c r="F243" s="39" t="n">
        <f aca="false">ROUND(Z242*(1+N('My Debts'!$D$10)/12),2)</f>
        <v>0</v>
      </c>
      <c r="G243" s="39" t="n">
        <f aca="false">ROUND(AA242*(1+N('My Debts'!$D$11)/12),2)</f>
        <v>0</v>
      </c>
      <c r="H243" s="39" t="n">
        <f aca="false">ROUND(AB242*(1+N('My Debts'!$D$12)/12),2)</f>
        <v>0</v>
      </c>
      <c r="I243" s="39" t="n">
        <f aca="false">ROUND(AC242*(1+N('My Debts'!$D$13)/12),2)</f>
        <v>0</v>
      </c>
      <c r="J243" s="39" t="n">
        <f aca="false">ROUND(AD242*(1+N('My Debts'!$D$14)/12),2)</f>
        <v>0</v>
      </c>
      <c r="K243" s="39" t="n">
        <f aca="false">ROUND(AE242*(1+N('My Debts'!$D$15)/12),2)</f>
        <v>0</v>
      </c>
      <c r="L243" s="39" t="n">
        <f aca="false">MIN(N('My Debts'!$E$6),B243)</f>
        <v>0</v>
      </c>
      <c r="M243" s="39" t="n">
        <f aca="false">MIN(N('My Debts'!$E$7),C243)</f>
        <v>0</v>
      </c>
      <c r="N243" s="39" t="n">
        <f aca="false">MIN(N('My Debts'!$E$8),D243)</f>
        <v>0</v>
      </c>
      <c r="O243" s="39" t="n">
        <f aca="false">MIN(N('My Debts'!$E$9),E243)</f>
        <v>0</v>
      </c>
      <c r="P243" s="39" t="n">
        <f aca="false">MIN(N('My Debts'!$E$10),F243)</f>
        <v>0</v>
      </c>
      <c r="Q243" s="39" t="n">
        <f aca="false">MIN(N('My Debts'!$E$11),G243)</f>
        <v>0</v>
      </c>
      <c r="R243" s="39" t="n">
        <f aca="false">MIN(N('My Debts'!$E$12),H243)</f>
        <v>0</v>
      </c>
      <c r="S243" s="39" t="n">
        <f aca="false">MIN(N('My Debts'!$E$13),I243)</f>
        <v>0</v>
      </c>
      <c r="T243" s="39" t="n">
        <f aca="false">MIN(N('My Debts'!$E$14),J243)</f>
        <v>0</v>
      </c>
      <c r="U243" s="39" t="n">
        <f aca="false">MIN(N('My Debts'!$E$15),K243)</f>
        <v>0</v>
      </c>
      <c r="V243" s="39" t="n">
        <f aca="false">ROUND(B243-L243-MIN(B243-L243,MAX(0,$AF243-SUMPRODUCT(--($B$4:$K$4&lt;B$4),$B243:$K243-$L243:$U243))),2)</f>
        <v>0</v>
      </c>
      <c r="W243" s="39" t="n">
        <f aca="false">ROUND(C243-M243-MIN(C243-M243,MAX(0,$AF243-SUMPRODUCT(--($B$4:$K$4&lt;C$4),$B243:$K243-$L243:$U243))),2)</f>
        <v>0</v>
      </c>
      <c r="X243" s="39" t="n">
        <f aca="false">ROUND(D243-N243-MIN(D243-N243,MAX(0,$AF243-SUMPRODUCT(--($B$4:$K$4&lt;D$4),$B243:$K243-$L243:$U243))),2)</f>
        <v>0</v>
      </c>
      <c r="Y243" s="39" t="n">
        <f aca="false">ROUND(E243-O243-MIN(E243-O243,MAX(0,$AF243-SUMPRODUCT(--($B$4:$K$4&lt;E$4),$B243:$K243-$L243:$U243))),2)</f>
        <v>0</v>
      </c>
      <c r="Z243" s="39" t="n">
        <f aca="false">ROUND(F243-P243-MIN(F243-P243,MAX(0,$AF243-SUMPRODUCT(--($B$4:$K$4&lt;F$4),$B243:$K243-$L243:$U243))),2)</f>
        <v>0</v>
      </c>
      <c r="AA243" s="39" t="n">
        <f aca="false">ROUND(G243-Q243-MIN(G243-Q243,MAX(0,$AF243-SUMPRODUCT(--($B$4:$K$4&lt;G$4),$B243:$K243-$L243:$U243))),2)</f>
        <v>0</v>
      </c>
      <c r="AB243" s="39" t="n">
        <f aca="false">ROUND(H243-R243-MIN(H243-R243,MAX(0,$AF243-SUMPRODUCT(--($B$4:$K$4&lt;H$4),$B243:$K243-$L243:$U243))),2)</f>
        <v>0</v>
      </c>
      <c r="AC243" s="39" t="n">
        <f aca="false">ROUND(I243-S243-MIN(I243-S243,MAX(0,$AF243-SUMPRODUCT(--($B$4:$K$4&lt;I$4),$B243:$K243-$L243:$U243))),2)</f>
        <v>0</v>
      </c>
      <c r="AD243" s="39" t="n">
        <f aca="false">ROUND(J243-T243-MIN(J243-T243,MAX(0,$AF243-SUMPRODUCT(--($B$4:$K$4&lt;J$4),$B243:$K243-$L243:$U243))),2)</f>
        <v>0</v>
      </c>
      <c r="AE243" s="39" t="n">
        <f aca="false">ROUND(K243-U243-MIN(K243-U243,MAX(0,$AF243-SUMPRODUCT(--($B$4:$K$4&lt;K$4),$B243:$K243-$L243:$U243))),2)</f>
        <v>0</v>
      </c>
      <c r="AF243" s="39" t="n">
        <f aca="false">MAX(0,'Start Here'!$C$5-SUM($L243:$U243))</f>
        <v>1200</v>
      </c>
      <c r="AG243" s="39" t="n">
        <f aca="false">SUM(V243:AE243)</f>
        <v>0</v>
      </c>
      <c r="AH243" s="39" t="n">
        <f aca="false">SUM(B243:K243)-AG242</f>
        <v>0</v>
      </c>
    </row>
    <row r="244" customFormat="false" ht="15" hidden="false" customHeight="false" outlineLevel="0" collapsed="false">
      <c r="A244" s="40" t="n">
        <f aca="false">DATE(YEAR('Start Here'!$C$6),MONTH('Start Here'!$C$6)+237,1)</f>
        <v>53509</v>
      </c>
      <c r="B244" s="39" t="n">
        <f aca="false">ROUND(V243*(1+N('My Debts'!$D$6)/12),2)</f>
        <v>0</v>
      </c>
      <c r="C244" s="39" t="n">
        <f aca="false">ROUND(W243*(1+N('My Debts'!$D$7)/12),2)</f>
        <v>0</v>
      </c>
      <c r="D244" s="39" t="n">
        <f aca="false">ROUND(X243*(1+N('My Debts'!$D$8)/12),2)</f>
        <v>0</v>
      </c>
      <c r="E244" s="39" t="n">
        <f aca="false">ROUND(Y243*(1+N('My Debts'!$D$9)/12),2)</f>
        <v>0</v>
      </c>
      <c r="F244" s="39" t="n">
        <f aca="false">ROUND(Z243*(1+N('My Debts'!$D$10)/12),2)</f>
        <v>0</v>
      </c>
      <c r="G244" s="39" t="n">
        <f aca="false">ROUND(AA243*(1+N('My Debts'!$D$11)/12),2)</f>
        <v>0</v>
      </c>
      <c r="H244" s="39" t="n">
        <f aca="false">ROUND(AB243*(1+N('My Debts'!$D$12)/12),2)</f>
        <v>0</v>
      </c>
      <c r="I244" s="39" t="n">
        <f aca="false">ROUND(AC243*(1+N('My Debts'!$D$13)/12),2)</f>
        <v>0</v>
      </c>
      <c r="J244" s="39" t="n">
        <f aca="false">ROUND(AD243*(1+N('My Debts'!$D$14)/12),2)</f>
        <v>0</v>
      </c>
      <c r="K244" s="39" t="n">
        <f aca="false">ROUND(AE243*(1+N('My Debts'!$D$15)/12),2)</f>
        <v>0</v>
      </c>
      <c r="L244" s="39" t="n">
        <f aca="false">MIN(N('My Debts'!$E$6),B244)</f>
        <v>0</v>
      </c>
      <c r="M244" s="39" t="n">
        <f aca="false">MIN(N('My Debts'!$E$7),C244)</f>
        <v>0</v>
      </c>
      <c r="N244" s="39" t="n">
        <f aca="false">MIN(N('My Debts'!$E$8),D244)</f>
        <v>0</v>
      </c>
      <c r="O244" s="39" t="n">
        <f aca="false">MIN(N('My Debts'!$E$9),E244)</f>
        <v>0</v>
      </c>
      <c r="P244" s="39" t="n">
        <f aca="false">MIN(N('My Debts'!$E$10),F244)</f>
        <v>0</v>
      </c>
      <c r="Q244" s="39" t="n">
        <f aca="false">MIN(N('My Debts'!$E$11),G244)</f>
        <v>0</v>
      </c>
      <c r="R244" s="39" t="n">
        <f aca="false">MIN(N('My Debts'!$E$12),H244)</f>
        <v>0</v>
      </c>
      <c r="S244" s="39" t="n">
        <f aca="false">MIN(N('My Debts'!$E$13),I244)</f>
        <v>0</v>
      </c>
      <c r="T244" s="39" t="n">
        <f aca="false">MIN(N('My Debts'!$E$14),J244)</f>
        <v>0</v>
      </c>
      <c r="U244" s="39" t="n">
        <f aca="false">MIN(N('My Debts'!$E$15),K244)</f>
        <v>0</v>
      </c>
      <c r="V244" s="39" t="n">
        <f aca="false">ROUND(B244-L244-MIN(B244-L244,MAX(0,$AF244-SUMPRODUCT(--($B$4:$K$4&lt;B$4),$B244:$K244-$L244:$U244))),2)</f>
        <v>0</v>
      </c>
      <c r="W244" s="39" t="n">
        <f aca="false">ROUND(C244-M244-MIN(C244-M244,MAX(0,$AF244-SUMPRODUCT(--($B$4:$K$4&lt;C$4),$B244:$K244-$L244:$U244))),2)</f>
        <v>0</v>
      </c>
      <c r="X244" s="39" t="n">
        <f aca="false">ROUND(D244-N244-MIN(D244-N244,MAX(0,$AF244-SUMPRODUCT(--($B$4:$K$4&lt;D$4),$B244:$K244-$L244:$U244))),2)</f>
        <v>0</v>
      </c>
      <c r="Y244" s="39" t="n">
        <f aca="false">ROUND(E244-O244-MIN(E244-O244,MAX(0,$AF244-SUMPRODUCT(--($B$4:$K$4&lt;E$4),$B244:$K244-$L244:$U244))),2)</f>
        <v>0</v>
      </c>
      <c r="Z244" s="39" t="n">
        <f aca="false">ROUND(F244-P244-MIN(F244-P244,MAX(0,$AF244-SUMPRODUCT(--($B$4:$K$4&lt;F$4),$B244:$K244-$L244:$U244))),2)</f>
        <v>0</v>
      </c>
      <c r="AA244" s="39" t="n">
        <f aca="false">ROUND(G244-Q244-MIN(G244-Q244,MAX(0,$AF244-SUMPRODUCT(--($B$4:$K$4&lt;G$4),$B244:$K244-$L244:$U244))),2)</f>
        <v>0</v>
      </c>
      <c r="AB244" s="39" t="n">
        <f aca="false">ROUND(H244-R244-MIN(H244-R244,MAX(0,$AF244-SUMPRODUCT(--($B$4:$K$4&lt;H$4),$B244:$K244-$L244:$U244))),2)</f>
        <v>0</v>
      </c>
      <c r="AC244" s="39" t="n">
        <f aca="false">ROUND(I244-S244-MIN(I244-S244,MAX(0,$AF244-SUMPRODUCT(--($B$4:$K$4&lt;I$4),$B244:$K244-$L244:$U244))),2)</f>
        <v>0</v>
      </c>
      <c r="AD244" s="39" t="n">
        <f aca="false">ROUND(J244-T244-MIN(J244-T244,MAX(0,$AF244-SUMPRODUCT(--($B$4:$K$4&lt;J$4),$B244:$K244-$L244:$U244))),2)</f>
        <v>0</v>
      </c>
      <c r="AE244" s="39" t="n">
        <f aca="false">ROUND(K244-U244-MIN(K244-U244,MAX(0,$AF244-SUMPRODUCT(--($B$4:$K$4&lt;K$4),$B244:$K244-$L244:$U244))),2)</f>
        <v>0</v>
      </c>
      <c r="AF244" s="39" t="n">
        <f aca="false">MAX(0,'Start Here'!$C$5-SUM($L244:$U244))</f>
        <v>1200</v>
      </c>
      <c r="AG244" s="39" t="n">
        <f aca="false">SUM(V244:AE244)</f>
        <v>0</v>
      </c>
      <c r="AH244" s="39" t="n">
        <f aca="false">SUM(B244:K244)-AG243</f>
        <v>0</v>
      </c>
    </row>
    <row r="245" customFormat="false" ht="15" hidden="false" customHeight="false" outlineLevel="0" collapsed="false">
      <c r="A245" s="40" t="n">
        <f aca="false">DATE(YEAR('Start Here'!$C$6),MONTH('Start Here'!$C$6)+238,1)</f>
        <v>53540</v>
      </c>
      <c r="B245" s="39" t="n">
        <f aca="false">ROUND(V244*(1+N('My Debts'!$D$6)/12),2)</f>
        <v>0</v>
      </c>
      <c r="C245" s="39" t="n">
        <f aca="false">ROUND(W244*(1+N('My Debts'!$D$7)/12),2)</f>
        <v>0</v>
      </c>
      <c r="D245" s="39" t="n">
        <f aca="false">ROUND(X244*(1+N('My Debts'!$D$8)/12),2)</f>
        <v>0</v>
      </c>
      <c r="E245" s="39" t="n">
        <f aca="false">ROUND(Y244*(1+N('My Debts'!$D$9)/12),2)</f>
        <v>0</v>
      </c>
      <c r="F245" s="39" t="n">
        <f aca="false">ROUND(Z244*(1+N('My Debts'!$D$10)/12),2)</f>
        <v>0</v>
      </c>
      <c r="G245" s="39" t="n">
        <f aca="false">ROUND(AA244*(1+N('My Debts'!$D$11)/12),2)</f>
        <v>0</v>
      </c>
      <c r="H245" s="39" t="n">
        <f aca="false">ROUND(AB244*(1+N('My Debts'!$D$12)/12),2)</f>
        <v>0</v>
      </c>
      <c r="I245" s="39" t="n">
        <f aca="false">ROUND(AC244*(1+N('My Debts'!$D$13)/12),2)</f>
        <v>0</v>
      </c>
      <c r="J245" s="39" t="n">
        <f aca="false">ROUND(AD244*(1+N('My Debts'!$D$14)/12),2)</f>
        <v>0</v>
      </c>
      <c r="K245" s="39" t="n">
        <f aca="false">ROUND(AE244*(1+N('My Debts'!$D$15)/12),2)</f>
        <v>0</v>
      </c>
      <c r="L245" s="39" t="n">
        <f aca="false">MIN(N('My Debts'!$E$6),B245)</f>
        <v>0</v>
      </c>
      <c r="M245" s="39" t="n">
        <f aca="false">MIN(N('My Debts'!$E$7),C245)</f>
        <v>0</v>
      </c>
      <c r="N245" s="39" t="n">
        <f aca="false">MIN(N('My Debts'!$E$8),D245)</f>
        <v>0</v>
      </c>
      <c r="O245" s="39" t="n">
        <f aca="false">MIN(N('My Debts'!$E$9),E245)</f>
        <v>0</v>
      </c>
      <c r="P245" s="39" t="n">
        <f aca="false">MIN(N('My Debts'!$E$10),F245)</f>
        <v>0</v>
      </c>
      <c r="Q245" s="39" t="n">
        <f aca="false">MIN(N('My Debts'!$E$11),G245)</f>
        <v>0</v>
      </c>
      <c r="R245" s="39" t="n">
        <f aca="false">MIN(N('My Debts'!$E$12),H245)</f>
        <v>0</v>
      </c>
      <c r="S245" s="39" t="n">
        <f aca="false">MIN(N('My Debts'!$E$13),I245)</f>
        <v>0</v>
      </c>
      <c r="T245" s="39" t="n">
        <f aca="false">MIN(N('My Debts'!$E$14),J245)</f>
        <v>0</v>
      </c>
      <c r="U245" s="39" t="n">
        <f aca="false">MIN(N('My Debts'!$E$15),K245)</f>
        <v>0</v>
      </c>
      <c r="V245" s="39" t="n">
        <f aca="false">ROUND(B245-L245-MIN(B245-L245,MAX(0,$AF245-SUMPRODUCT(--($B$4:$K$4&lt;B$4),$B245:$K245-$L245:$U245))),2)</f>
        <v>0</v>
      </c>
      <c r="W245" s="39" t="n">
        <f aca="false">ROUND(C245-M245-MIN(C245-M245,MAX(0,$AF245-SUMPRODUCT(--($B$4:$K$4&lt;C$4),$B245:$K245-$L245:$U245))),2)</f>
        <v>0</v>
      </c>
      <c r="X245" s="39" t="n">
        <f aca="false">ROUND(D245-N245-MIN(D245-N245,MAX(0,$AF245-SUMPRODUCT(--($B$4:$K$4&lt;D$4),$B245:$K245-$L245:$U245))),2)</f>
        <v>0</v>
      </c>
      <c r="Y245" s="39" t="n">
        <f aca="false">ROUND(E245-O245-MIN(E245-O245,MAX(0,$AF245-SUMPRODUCT(--($B$4:$K$4&lt;E$4),$B245:$K245-$L245:$U245))),2)</f>
        <v>0</v>
      </c>
      <c r="Z245" s="39" t="n">
        <f aca="false">ROUND(F245-P245-MIN(F245-P245,MAX(0,$AF245-SUMPRODUCT(--($B$4:$K$4&lt;F$4),$B245:$K245-$L245:$U245))),2)</f>
        <v>0</v>
      </c>
      <c r="AA245" s="39" t="n">
        <f aca="false">ROUND(G245-Q245-MIN(G245-Q245,MAX(0,$AF245-SUMPRODUCT(--($B$4:$K$4&lt;G$4),$B245:$K245-$L245:$U245))),2)</f>
        <v>0</v>
      </c>
      <c r="AB245" s="39" t="n">
        <f aca="false">ROUND(H245-R245-MIN(H245-R245,MAX(0,$AF245-SUMPRODUCT(--($B$4:$K$4&lt;H$4),$B245:$K245-$L245:$U245))),2)</f>
        <v>0</v>
      </c>
      <c r="AC245" s="39" t="n">
        <f aca="false">ROUND(I245-S245-MIN(I245-S245,MAX(0,$AF245-SUMPRODUCT(--($B$4:$K$4&lt;I$4),$B245:$K245-$L245:$U245))),2)</f>
        <v>0</v>
      </c>
      <c r="AD245" s="39" t="n">
        <f aca="false">ROUND(J245-T245-MIN(J245-T245,MAX(0,$AF245-SUMPRODUCT(--($B$4:$K$4&lt;J$4),$B245:$K245-$L245:$U245))),2)</f>
        <v>0</v>
      </c>
      <c r="AE245" s="39" t="n">
        <f aca="false">ROUND(K245-U245-MIN(K245-U245,MAX(0,$AF245-SUMPRODUCT(--($B$4:$K$4&lt;K$4),$B245:$K245-$L245:$U245))),2)</f>
        <v>0</v>
      </c>
      <c r="AF245" s="39" t="n">
        <f aca="false">MAX(0,'Start Here'!$C$5-SUM($L245:$U245))</f>
        <v>1200</v>
      </c>
      <c r="AG245" s="39" t="n">
        <f aca="false">SUM(V245:AE245)</f>
        <v>0</v>
      </c>
      <c r="AH245" s="39" t="n">
        <f aca="false">SUM(B245:K245)-AG244</f>
        <v>0</v>
      </c>
    </row>
    <row r="246" customFormat="false" ht="15" hidden="false" customHeight="false" outlineLevel="0" collapsed="false">
      <c r="A246" s="40" t="n">
        <f aca="false">DATE(YEAR('Start Here'!$C$6),MONTH('Start Here'!$C$6)+239,1)</f>
        <v>53571</v>
      </c>
      <c r="B246" s="39" t="n">
        <f aca="false">ROUND(V245*(1+N('My Debts'!$D$6)/12),2)</f>
        <v>0</v>
      </c>
      <c r="C246" s="39" t="n">
        <f aca="false">ROUND(W245*(1+N('My Debts'!$D$7)/12),2)</f>
        <v>0</v>
      </c>
      <c r="D246" s="39" t="n">
        <f aca="false">ROUND(X245*(1+N('My Debts'!$D$8)/12),2)</f>
        <v>0</v>
      </c>
      <c r="E246" s="39" t="n">
        <f aca="false">ROUND(Y245*(1+N('My Debts'!$D$9)/12),2)</f>
        <v>0</v>
      </c>
      <c r="F246" s="39" t="n">
        <f aca="false">ROUND(Z245*(1+N('My Debts'!$D$10)/12),2)</f>
        <v>0</v>
      </c>
      <c r="G246" s="39" t="n">
        <f aca="false">ROUND(AA245*(1+N('My Debts'!$D$11)/12),2)</f>
        <v>0</v>
      </c>
      <c r="H246" s="39" t="n">
        <f aca="false">ROUND(AB245*(1+N('My Debts'!$D$12)/12),2)</f>
        <v>0</v>
      </c>
      <c r="I246" s="39" t="n">
        <f aca="false">ROUND(AC245*(1+N('My Debts'!$D$13)/12),2)</f>
        <v>0</v>
      </c>
      <c r="J246" s="39" t="n">
        <f aca="false">ROUND(AD245*(1+N('My Debts'!$D$14)/12),2)</f>
        <v>0</v>
      </c>
      <c r="K246" s="39" t="n">
        <f aca="false">ROUND(AE245*(1+N('My Debts'!$D$15)/12),2)</f>
        <v>0</v>
      </c>
      <c r="L246" s="39" t="n">
        <f aca="false">MIN(N('My Debts'!$E$6),B246)</f>
        <v>0</v>
      </c>
      <c r="M246" s="39" t="n">
        <f aca="false">MIN(N('My Debts'!$E$7),C246)</f>
        <v>0</v>
      </c>
      <c r="N246" s="39" t="n">
        <f aca="false">MIN(N('My Debts'!$E$8),D246)</f>
        <v>0</v>
      </c>
      <c r="O246" s="39" t="n">
        <f aca="false">MIN(N('My Debts'!$E$9),E246)</f>
        <v>0</v>
      </c>
      <c r="P246" s="39" t="n">
        <f aca="false">MIN(N('My Debts'!$E$10),F246)</f>
        <v>0</v>
      </c>
      <c r="Q246" s="39" t="n">
        <f aca="false">MIN(N('My Debts'!$E$11),G246)</f>
        <v>0</v>
      </c>
      <c r="R246" s="39" t="n">
        <f aca="false">MIN(N('My Debts'!$E$12),H246)</f>
        <v>0</v>
      </c>
      <c r="S246" s="39" t="n">
        <f aca="false">MIN(N('My Debts'!$E$13),I246)</f>
        <v>0</v>
      </c>
      <c r="T246" s="39" t="n">
        <f aca="false">MIN(N('My Debts'!$E$14),J246)</f>
        <v>0</v>
      </c>
      <c r="U246" s="39" t="n">
        <f aca="false">MIN(N('My Debts'!$E$15),K246)</f>
        <v>0</v>
      </c>
      <c r="V246" s="39" t="n">
        <f aca="false">ROUND(B246-L246-MIN(B246-L246,MAX(0,$AF246-SUMPRODUCT(--($B$4:$K$4&lt;B$4),$B246:$K246-$L246:$U246))),2)</f>
        <v>0</v>
      </c>
      <c r="W246" s="39" t="n">
        <f aca="false">ROUND(C246-M246-MIN(C246-M246,MAX(0,$AF246-SUMPRODUCT(--($B$4:$K$4&lt;C$4),$B246:$K246-$L246:$U246))),2)</f>
        <v>0</v>
      </c>
      <c r="X246" s="39" t="n">
        <f aca="false">ROUND(D246-N246-MIN(D246-N246,MAX(0,$AF246-SUMPRODUCT(--($B$4:$K$4&lt;D$4),$B246:$K246-$L246:$U246))),2)</f>
        <v>0</v>
      </c>
      <c r="Y246" s="39" t="n">
        <f aca="false">ROUND(E246-O246-MIN(E246-O246,MAX(0,$AF246-SUMPRODUCT(--($B$4:$K$4&lt;E$4),$B246:$K246-$L246:$U246))),2)</f>
        <v>0</v>
      </c>
      <c r="Z246" s="39" t="n">
        <f aca="false">ROUND(F246-P246-MIN(F246-P246,MAX(0,$AF246-SUMPRODUCT(--($B$4:$K$4&lt;F$4),$B246:$K246-$L246:$U246))),2)</f>
        <v>0</v>
      </c>
      <c r="AA246" s="39" t="n">
        <f aca="false">ROUND(G246-Q246-MIN(G246-Q246,MAX(0,$AF246-SUMPRODUCT(--($B$4:$K$4&lt;G$4),$B246:$K246-$L246:$U246))),2)</f>
        <v>0</v>
      </c>
      <c r="AB246" s="39" t="n">
        <f aca="false">ROUND(H246-R246-MIN(H246-R246,MAX(0,$AF246-SUMPRODUCT(--($B$4:$K$4&lt;H$4),$B246:$K246-$L246:$U246))),2)</f>
        <v>0</v>
      </c>
      <c r="AC246" s="39" t="n">
        <f aca="false">ROUND(I246-S246-MIN(I246-S246,MAX(0,$AF246-SUMPRODUCT(--($B$4:$K$4&lt;I$4),$B246:$K246-$L246:$U246))),2)</f>
        <v>0</v>
      </c>
      <c r="AD246" s="39" t="n">
        <f aca="false">ROUND(J246-T246-MIN(J246-T246,MAX(0,$AF246-SUMPRODUCT(--($B$4:$K$4&lt;J$4),$B246:$K246-$L246:$U246))),2)</f>
        <v>0</v>
      </c>
      <c r="AE246" s="39" t="n">
        <f aca="false">ROUND(K246-U246-MIN(K246-U246,MAX(0,$AF246-SUMPRODUCT(--($B$4:$K$4&lt;K$4),$B246:$K246-$L246:$U246))),2)</f>
        <v>0</v>
      </c>
      <c r="AF246" s="39" t="n">
        <f aca="false">MAX(0,'Start Here'!$C$5-SUM($L246:$U246))</f>
        <v>1200</v>
      </c>
      <c r="AG246" s="39" t="n">
        <f aca="false">SUM(V246:AE246)</f>
        <v>0</v>
      </c>
      <c r="AH246" s="39" t="n">
        <f aca="false">SUM(B246:K246)-AG245</f>
        <v>0</v>
      </c>
    </row>
    <row r="247" customFormat="false" ht="15" hidden="false" customHeight="false" outlineLevel="0" collapsed="false">
      <c r="A247" s="40" t="n">
        <f aca="false">DATE(YEAR('Start Here'!$C$6),MONTH('Start Here'!$C$6)+240,1)</f>
        <v>53601</v>
      </c>
      <c r="B247" s="39" t="n">
        <f aca="false">ROUND(V246*(1+N('My Debts'!$D$6)/12),2)</f>
        <v>0</v>
      </c>
      <c r="C247" s="39" t="n">
        <f aca="false">ROUND(W246*(1+N('My Debts'!$D$7)/12),2)</f>
        <v>0</v>
      </c>
      <c r="D247" s="39" t="n">
        <f aca="false">ROUND(X246*(1+N('My Debts'!$D$8)/12),2)</f>
        <v>0</v>
      </c>
      <c r="E247" s="39" t="n">
        <f aca="false">ROUND(Y246*(1+N('My Debts'!$D$9)/12),2)</f>
        <v>0</v>
      </c>
      <c r="F247" s="39" t="n">
        <f aca="false">ROUND(Z246*(1+N('My Debts'!$D$10)/12),2)</f>
        <v>0</v>
      </c>
      <c r="G247" s="39" t="n">
        <f aca="false">ROUND(AA246*(1+N('My Debts'!$D$11)/12),2)</f>
        <v>0</v>
      </c>
      <c r="H247" s="39" t="n">
        <f aca="false">ROUND(AB246*(1+N('My Debts'!$D$12)/12),2)</f>
        <v>0</v>
      </c>
      <c r="I247" s="39" t="n">
        <f aca="false">ROUND(AC246*(1+N('My Debts'!$D$13)/12),2)</f>
        <v>0</v>
      </c>
      <c r="J247" s="39" t="n">
        <f aca="false">ROUND(AD246*(1+N('My Debts'!$D$14)/12),2)</f>
        <v>0</v>
      </c>
      <c r="K247" s="39" t="n">
        <f aca="false">ROUND(AE246*(1+N('My Debts'!$D$15)/12),2)</f>
        <v>0</v>
      </c>
      <c r="L247" s="39" t="n">
        <f aca="false">MIN(N('My Debts'!$E$6),B247)</f>
        <v>0</v>
      </c>
      <c r="M247" s="39" t="n">
        <f aca="false">MIN(N('My Debts'!$E$7),C247)</f>
        <v>0</v>
      </c>
      <c r="N247" s="39" t="n">
        <f aca="false">MIN(N('My Debts'!$E$8),D247)</f>
        <v>0</v>
      </c>
      <c r="O247" s="39" t="n">
        <f aca="false">MIN(N('My Debts'!$E$9),E247)</f>
        <v>0</v>
      </c>
      <c r="P247" s="39" t="n">
        <f aca="false">MIN(N('My Debts'!$E$10),F247)</f>
        <v>0</v>
      </c>
      <c r="Q247" s="39" t="n">
        <f aca="false">MIN(N('My Debts'!$E$11),G247)</f>
        <v>0</v>
      </c>
      <c r="R247" s="39" t="n">
        <f aca="false">MIN(N('My Debts'!$E$12),H247)</f>
        <v>0</v>
      </c>
      <c r="S247" s="39" t="n">
        <f aca="false">MIN(N('My Debts'!$E$13),I247)</f>
        <v>0</v>
      </c>
      <c r="T247" s="39" t="n">
        <f aca="false">MIN(N('My Debts'!$E$14),J247)</f>
        <v>0</v>
      </c>
      <c r="U247" s="39" t="n">
        <f aca="false">MIN(N('My Debts'!$E$15),K247)</f>
        <v>0</v>
      </c>
      <c r="V247" s="39" t="n">
        <f aca="false">ROUND(B247-L247-MIN(B247-L247,MAX(0,$AF247-SUMPRODUCT(--($B$4:$K$4&lt;B$4),$B247:$K247-$L247:$U247))),2)</f>
        <v>0</v>
      </c>
      <c r="W247" s="39" t="n">
        <f aca="false">ROUND(C247-M247-MIN(C247-M247,MAX(0,$AF247-SUMPRODUCT(--($B$4:$K$4&lt;C$4),$B247:$K247-$L247:$U247))),2)</f>
        <v>0</v>
      </c>
      <c r="X247" s="39" t="n">
        <f aca="false">ROUND(D247-N247-MIN(D247-N247,MAX(0,$AF247-SUMPRODUCT(--($B$4:$K$4&lt;D$4),$B247:$K247-$L247:$U247))),2)</f>
        <v>0</v>
      </c>
      <c r="Y247" s="39" t="n">
        <f aca="false">ROUND(E247-O247-MIN(E247-O247,MAX(0,$AF247-SUMPRODUCT(--($B$4:$K$4&lt;E$4),$B247:$K247-$L247:$U247))),2)</f>
        <v>0</v>
      </c>
      <c r="Z247" s="39" t="n">
        <f aca="false">ROUND(F247-P247-MIN(F247-P247,MAX(0,$AF247-SUMPRODUCT(--($B$4:$K$4&lt;F$4),$B247:$K247-$L247:$U247))),2)</f>
        <v>0</v>
      </c>
      <c r="AA247" s="39" t="n">
        <f aca="false">ROUND(G247-Q247-MIN(G247-Q247,MAX(0,$AF247-SUMPRODUCT(--($B$4:$K$4&lt;G$4),$B247:$K247-$L247:$U247))),2)</f>
        <v>0</v>
      </c>
      <c r="AB247" s="39" t="n">
        <f aca="false">ROUND(H247-R247-MIN(H247-R247,MAX(0,$AF247-SUMPRODUCT(--($B$4:$K$4&lt;H$4),$B247:$K247-$L247:$U247))),2)</f>
        <v>0</v>
      </c>
      <c r="AC247" s="39" t="n">
        <f aca="false">ROUND(I247-S247-MIN(I247-S247,MAX(0,$AF247-SUMPRODUCT(--($B$4:$K$4&lt;I$4),$B247:$K247-$L247:$U247))),2)</f>
        <v>0</v>
      </c>
      <c r="AD247" s="39" t="n">
        <f aca="false">ROUND(J247-T247-MIN(J247-T247,MAX(0,$AF247-SUMPRODUCT(--($B$4:$K$4&lt;J$4),$B247:$K247-$L247:$U247))),2)</f>
        <v>0</v>
      </c>
      <c r="AE247" s="39" t="n">
        <f aca="false">ROUND(K247-U247-MIN(K247-U247,MAX(0,$AF247-SUMPRODUCT(--($B$4:$K$4&lt;K$4),$B247:$K247-$L247:$U247))),2)</f>
        <v>0</v>
      </c>
      <c r="AF247" s="39" t="n">
        <f aca="false">MAX(0,'Start Here'!$C$5-SUM($L247:$U247))</f>
        <v>1200</v>
      </c>
      <c r="AG247" s="39" t="n">
        <f aca="false">SUM(V247:AE247)</f>
        <v>0</v>
      </c>
      <c r="AH247" s="39" t="n">
        <f aca="false">SUM(B247:K247)-AG246</f>
        <v>0</v>
      </c>
    </row>
    <row r="248" customFormat="false" ht="15" hidden="false" customHeight="false" outlineLevel="0" collapsed="false">
      <c r="A248" s="40" t="n">
        <f aca="false">DATE(YEAR('Start Here'!$C$6),MONTH('Start Here'!$C$6)+241,1)</f>
        <v>53632</v>
      </c>
      <c r="B248" s="39" t="n">
        <f aca="false">ROUND(V247*(1+N('My Debts'!$D$6)/12),2)</f>
        <v>0</v>
      </c>
      <c r="C248" s="39" t="n">
        <f aca="false">ROUND(W247*(1+N('My Debts'!$D$7)/12),2)</f>
        <v>0</v>
      </c>
      <c r="D248" s="39" t="n">
        <f aca="false">ROUND(X247*(1+N('My Debts'!$D$8)/12),2)</f>
        <v>0</v>
      </c>
      <c r="E248" s="39" t="n">
        <f aca="false">ROUND(Y247*(1+N('My Debts'!$D$9)/12),2)</f>
        <v>0</v>
      </c>
      <c r="F248" s="39" t="n">
        <f aca="false">ROUND(Z247*(1+N('My Debts'!$D$10)/12),2)</f>
        <v>0</v>
      </c>
      <c r="G248" s="39" t="n">
        <f aca="false">ROUND(AA247*(1+N('My Debts'!$D$11)/12),2)</f>
        <v>0</v>
      </c>
      <c r="H248" s="39" t="n">
        <f aca="false">ROUND(AB247*(1+N('My Debts'!$D$12)/12),2)</f>
        <v>0</v>
      </c>
      <c r="I248" s="39" t="n">
        <f aca="false">ROUND(AC247*(1+N('My Debts'!$D$13)/12),2)</f>
        <v>0</v>
      </c>
      <c r="J248" s="39" t="n">
        <f aca="false">ROUND(AD247*(1+N('My Debts'!$D$14)/12),2)</f>
        <v>0</v>
      </c>
      <c r="K248" s="39" t="n">
        <f aca="false">ROUND(AE247*(1+N('My Debts'!$D$15)/12),2)</f>
        <v>0</v>
      </c>
      <c r="L248" s="39" t="n">
        <f aca="false">MIN(N('My Debts'!$E$6),B248)</f>
        <v>0</v>
      </c>
      <c r="M248" s="39" t="n">
        <f aca="false">MIN(N('My Debts'!$E$7),C248)</f>
        <v>0</v>
      </c>
      <c r="N248" s="39" t="n">
        <f aca="false">MIN(N('My Debts'!$E$8),D248)</f>
        <v>0</v>
      </c>
      <c r="O248" s="39" t="n">
        <f aca="false">MIN(N('My Debts'!$E$9),E248)</f>
        <v>0</v>
      </c>
      <c r="P248" s="39" t="n">
        <f aca="false">MIN(N('My Debts'!$E$10),F248)</f>
        <v>0</v>
      </c>
      <c r="Q248" s="39" t="n">
        <f aca="false">MIN(N('My Debts'!$E$11),G248)</f>
        <v>0</v>
      </c>
      <c r="R248" s="39" t="n">
        <f aca="false">MIN(N('My Debts'!$E$12),H248)</f>
        <v>0</v>
      </c>
      <c r="S248" s="39" t="n">
        <f aca="false">MIN(N('My Debts'!$E$13),I248)</f>
        <v>0</v>
      </c>
      <c r="T248" s="39" t="n">
        <f aca="false">MIN(N('My Debts'!$E$14),J248)</f>
        <v>0</v>
      </c>
      <c r="U248" s="39" t="n">
        <f aca="false">MIN(N('My Debts'!$E$15),K248)</f>
        <v>0</v>
      </c>
      <c r="V248" s="39" t="n">
        <f aca="false">ROUND(B248-L248-MIN(B248-L248,MAX(0,$AF248-SUMPRODUCT(--($B$4:$K$4&lt;B$4),$B248:$K248-$L248:$U248))),2)</f>
        <v>0</v>
      </c>
      <c r="W248" s="39" t="n">
        <f aca="false">ROUND(C248-M248-MIN(C248-M248,MAX(0,$AF248-SUMPRODUCT(--($B$4:$K$4&lt;C$4),$B248:$K248-$L248:$U248))),2)</f>
        <v>0</v>
      </c>
      <c r="X248" s="39" t="n">
        <f aca="false">ROUND(D248-N248-MIN(D248-N248,MAX(0,$AF248-SUMPRODUCT(--($B$4:$K$4&lt;D$4),$B248:$K248-$L248:$U248))),2)</f>
        <v>0</v>
      </c>
      <c r="Y248" s="39" t="n">
        <f aca="false">ROUND(E248-O248-MIN(E248-O248,MAX(0,$AF248-SUMPRODUCT(--($B$4:$K$4&lt;E$4),$B248:$K248-$L248:$U248))),2)</f>
        <v>0</v>
      </c>
      <c r="Z248" s="39" t="n">
        <f aca="false">ROUND(F248-P248-MIN(F248-P248,MAX(0,$AF248-SUMPRODUCT(--($B$4:$K$4&lt;F$4),$B248:$K248-$L248:$U248))),2)</f>
        <v>0</v>
      </c>
      <c r="AA248" s="39" t="n">
        <f aca="false">ROUND(G248-Q248-MIN(G248-Q248,MAX(0,$AF248-SUMPRODUCT(--($B$4:$K$4&lt;G$4),$B248:$K248-$L248:$U248))),2)</f>
        <v>0</v>
      </c>
      <c r="AB248" s="39" t="n">
        <f aca="false">ROUND(H248-R248-MIN(H248-R248,MAX(0,$AF248-SUMPRODUCT(--($B$4:$K$4&lt;H$4),$B248:$K248-$L248:$U248))),2)</f>
        <v>0</v>
      </c>
      <c r="AC248" s="39" t="n">
        <f aca="false">ROUND(I248-S248-MIN(I248-S248,MAX(0,$AF248-SUMPRODUCT(--($B$4:$K$4&lt;I$4),$B248:$K248-$L248:$U248))),2)</f>
        <v>0</v>
      </c>
      <c r="AD248" s="39" t="n">
        <f aca="false">ROUND(J248-T248-MIN(J248-T248,MAX(0,$AF248-SUMPRODUCT(--($B$4:$K$4&lt;J$4),$B248:$K248-$L248:$U248))),2)</f>
        <v>0</v>
      </c>
      <c r="AE248" s="39" t="n">
        <f aca="false">ROUND(K248-U248-MIN(K248-U248,MAX(0,$AF248-SUMPRODUCT(--($B$4:$K$4&lt;K$4),$B248:$K248-$L248:$U248))),2)</f>
        <v>0</v>
      </c>
      <c r="AF248" s="39" t="n">
        <f aca="false">MAX(0,'Start Here'!$C$5-SUM($L248:$U248))</f>
        <v>1200</v>
      </c>
      <c r="AG248" s="39" t="n">
        <f aca="false">SUM(V248:AE248)</f>
        <v>0</v>
      </c>
      <c r="AH248" s="39" t="n">
        <f aca="false">SUM(B248:K248)-AG247</f>
        <v>0</v>
      </c>
    </row>
    <row r="249" customFormat="false" ht="15" hidden="false" customHeight="false" outlineLevel="0" collapsed="false">
      <c r="A249" s="40" t="n">
        <f aca="false">DATE(YEAR('Start Here'!$C$6),MONTH('Start Here'!$C$6)+242,1)</f>
        <v>53662</v>
      </c>
      <c r="B249" s="39" t="n">
        <f aca="false">ROUND(V248*(1+N('My Debts'!$D$6)/12),2)</f>
        <v>0</v>
      </c>
      <c r="C249" s="39" t="n">
        <f aca="false">ROUND(W248*(1+N('My Debts'!$D$7)/12),2)</f>
        <v>0</v>
      </c>
      <c r="D249" s="39" t="n">
        <f aca="false">ROUND(X248*(1+N('My Debts'!$D$8)/12),2)</f>
        <v>0</v>
      </c>
      <c r="E249" s="39" t="n">
        <f aca="false">ROUND(Y248*(1+N('My Debts'!$D$9)/12),2)</f>
        <v>0</v>
      </c>
      <c r="F249" s="39" t="n">
        <f aca="false">ROUND(Z248*(1+N('My Debts'!$D$10)/12),2)</f>
        <v>0</v>
      </c>
      <c r="G249" s="39" t="n">
        <f aca="false">ROUND(AA248*(1+N('My Debts'!$D$11)/12),2)</f>
        <v>0</v>
      </c>
      <c r="H249" s="39" t="n">
        <f aca="false">ROUND(AB248*(1+N('My Debts'!$D$12)/12),2)</f>
        <v>0</v>
      </c>
      <c r="I249" s="39" t="n">
        <f aca="false">ROUND(AC248*(1+N('My Debts'!$D$13)/12),2)</f>
        <v>0</v>
      </c>
      <c r="J249" s="39" t="n">
        <f aca="false">ROUND(AD248*(1+N('My Debts'!$D$14)/12),2)</f>
        <v>0</v>
      </c>
      <c r="K249" s="39" t="n">
        <f aca="false">ROUND(AE248*(1+N('My Debts'!$D$15)/12),2)</f>
        <v>0</v>
      </c>
      <c r="L249" s="39" t="n">
        <f aca="false">MIN(N('My Debts'!$E$6),B249)</f>
        <v>0</v>
      </c>
      <c r="M249" s="39" t="n">
        <f aca="false">MIN(N('My Debts'!$E$7),C249)</f>
        <v>0</v>
      </c>
      <c r="N249" s="39" t="n">
        <f aca="false">MIN(N('My Debts'!$E$8),D249)</f>
        <v>0</v>
      </c>
      <c r="O249" s="39" t="n">
        <f aca="false">MIN(N('My Debts'!$E$9),E249)</f>
        <v>0</v>
      </c>
      <c r="P249" s="39" t="n">
        <f aca="false">MIN(N('My Debts'!$E$10),F249)</f>
        <v>0</v>
      </c>
      <c r="Q249" s="39" t="n">
        <f aca="false">MIN(N('My Debts'!$E$11),G249)</f>
        <v>0</v>
      </c>
      <c r="R249" s="39" t="n">
        <f aca="false">MIN(N('My Debts'!$E$12),H249)</f>
        <v>0</v>
      </c>
      <c r="S249" s="39" t="n">
        <f aca="false">MIN(N('My Debts'!$E$13),I249)</f>
        <v>0</v>
      </c>
      <c r="T249" s="39" t="n">
        <f aca="false">MIN(N('My Debts'!$E$14),J249)</f>
        <v>0</v>
      </c>
      <c r="U249" s="39" t="n">
        <f aca="false">MIN(N('My Debts'!$E$15),K249)</f>
        <v>0</v>
      </c>
      <c r="V249" s="39" t="n">
        <f aca="false">ROUND(B249-L249-MIN(B249-L249,MAX(0,$AF249-SUMPRODUCT(--($B$4:$K$4&lt;B$4),$B249:$K249-$L249:$U249))),2)</f>
        <v>0</v>
      </c>
      <c r="W249" s="39" t="n">
        <f aca="false">ROUND(C249-M249-MIN(C249-M249,MAX(0,$AF249-SUMPRODUCT(--($B$4:$K$4&lt;C$4),$B249:$K249-$L249:$U249))),2)</f>
        <v>0</v>
      </c>
      <c r="X249" s="39" t="n">
        <f aca="false">ROUND(D249-N249-MIN(D249-N249,MAX(0,$AF249-SUMPRODUCT(--($B$4:$K$4&lt;D$4),$B249:$K249-$L249:$U249))),2)</f>
        <v>0</v>
      </c>
      <c r="Y249" s="39" t="n">
        <f aca="false">ROUND(E249-O249-MIN(E249-O249,MAX(0,$AF249-SUMPRODUCT(--($B$4:$K$4&lt;E$4),$B249:$K249-$L249:$U249))),2)</f>
        <v>0</v>
      </c>
      <c r="Z249" s="39" t="n">
        <f aca="false">ROUND(F249-P249-MIN(F249-P249,MAX(0,$AF249-SUMPRODUCT(--($B$4:$K$4&lt;F$4),$B249:$K249-$L249:$U249))),2)</f>
        <v>0</v>
      </c>
      <c r="AA249" s="39" t="n">
        <f aca="false">ROUND(G249-Q249-MIN(G249-Q249,MAX(0,$AF249-SUMPRODUCT(--($B$4:$K$4&lt;G$4),$B249:$K249-$L249:$U249))),2)</f>
        <v>0</v>
      </c>
      <c r="AB249" s="39" t="n">
        <f aca="false">ROUND(H249-R249-MIN(H249-R249,MAX(0,$AF249-SUMPRODUCT(--($B$4:$K$4&lt;H$4),$B249:$K249-$L249:$U249))),2)</f>
        <v>0</v>
      </c>
      <c r="AC249" s="39" t="n">
        <f aca="false">ROUND(I249-S249-MIN(I249-S249,MAX(0,$AF249-SUMPRODUCT(--($B$4:$K$4&lt;I$4),$B249:$K249-$L249:$U249))),2)</f>
        <v>0</v>
      </c>
      <c r="AD249" s="39" t="n">
        <f aca="false">ROUND(J249-T249-MIN(J249-T249,MAX(0,$AF249-SUMPRODUCT(--($B$4:$K$4&lt;J$4),$B249:$K249-$L249:$U249))),2)</f>
        <v>0</v>
      </c>
      <c r="AE249" s="39" t="n">
        <f aca="false">ROUND(K249-U249-MIN(K249-U249,MAX(0,$AF249-SUMPRODUCT(--($B$4:$K$4&lt;K$4),$B249:$K249-$L249:$U249))),2)</f>
        <v>0</v>
      </c>
      <c r="AF249" s="39" t="n">
        <f aca="false">MAX(0,'Start Here'!$C$5-SUM($L249:$U249))</f>
        <v>1200</v>
      </c>
      <c r="AG249" s="39" t="n">
        <f aca="false">SUM(V249:AE249)</f>
        <v>0</v>
      </c>
      <c r="AH249" s="39" t="n">
        <f aca="false">SUM(B249:K249)-AG248</f>
        <v>0</v>
      </c>
    </row>
    <row r="250" customFormat="false" ht="15" hidden="false" customHeight="false" outlineLevel="0" collapsed="false">
      <c r="A250" s="40" t="n">
        <f aca="false">DATE(YEAR('Start Here'!$C$6),MONTH('Start Here'!$C$6)+243,1)</f>
        <v>53693</v>
      </c>
      <c r="B250" s="39" t="n">
        <f aca="false">ROUND(V249*(1+N('My Debts'!$D$6)/12),2)</f>
        <v>0</v>
      </c>
      <c r="C250" s="39" t="n">
        <f aca="false">ROUND(W249*(1+N('My Debts'!$D$7)/12),2)</f>
        <v>0</v>
      </c>
      <c r="D250" s="39" t="n">
        <f aca="false">ROUND(X249*(1+N('My Debts'!$D$8)/12),2)</f>
        <v>0</v>
      </c>
      <c r="E250" s="39" t="n">
        <f aca="false">ROUND(Y249*(1+N('My Debts'!$D$9)/12),2)</f>
        <v>0</v>
      </c>
      <c r="F250" s="39" t="n">
        <f aca="false">ROUND(Z249*(1+N('My Debts'!$D$10)/12),2)</f>
        <v>0</v>
      </c>
      <c r="G250" s="39" t="n">
        <f aca="false">ROUND(AA249*(1+N('My Debts'!$D$11)/12),2)</f>
        <v>0</v>
      </c>
      <c r="H250" s="39" t="n">
        <f aca="false">ROUND(AB249*(1+N('My Debts'!$D$12)/12),2)</f>
        <v>0</v>
      </c>
      <c r="I250" s="39" t="n">
        <f aca="false">ROUND(AC249*(1+N('My Debts'!$D$13)/12),2)</f>
        <v>0</v>
      </c>
      <c r="J250" s="39" t="n">
        <f aca="false">ROUND(AD249*(1+N('My Debts'!$D$14)/12),2)</f>
        <v>0</v>
      </c>
      <c r="K250" s="39" t="n">
        <f aca="false">ROUND(AE249*(1+N('My Debts'!$D$15)/12),2)</f>
        <v>0</v>
      </c>
      <c r="L250" s="39" t="n">
        <f aca="false">MIN(N('My Debts'!$E$6),B250)</f>
        <v>0</v>
      </c>
      <c r="M250" s="39" t="n">
        <f aca="false">MIN(N('My Debts'!$E$7),C250)</f>
        <v>0</v>
      </c>
      <c r="N250" s="39" t="n">
        <f aca="false">MIN(N('My Debts'!$E$8),D250)</f>
        <v>0</v>
      </c>
      <c r="O250" s="39" t="n">
        <f aca="false">MIN(N('My Debts'!$E$9),E250)</f>
        <v>0</v>
      </c>
      <c r="P250" s="39" t="n">
        <f aca="false">MIN(N('My Debts'!$E$10),F250)</f>
        <v>0</v>
      </c>
      <c r="Q250" s="39" t="n">
        <f aca="false">MIN(N('My Debts'!$E$11),G250)</f>
        <v>0</v>
      </c>
      <c r="R250" s="39" t="n">
        <f aca="false">MIN(N('My Debts'!$E$12),H250)</f>
        <v>0</v>
      </c>
      <c r="S250" s="39" t="n">
        <f aca="false">MIN(N('My Debts'!$E$13),I250)</f>
        <v>0</v>
      </c>
      <c r="T250" s="39" t="n">
        <f aca="false">MIN(N('My Debts'!$E$14),J250)</f>
        <v>0</v>
      </c>
      <c r="U250" s="39" t="n">
        <f aca="false">MIN(N('My Debts'!$E$15),K250)</f>
        <v>0</v>
      </c>
      <c r="V250" s="39" t="n">
        <f aca="false">ROUND(B250-L250-MIN(B250-L250,MAX(0,$AF250-SUMPRODUCT(--($B$4:$K$4&lt;B$4),$B250:$K250-$L250:$U250))),2)</f>
        <v>0</v>
      </c>
      <c r="W250" s="39" t="n">
        <f aca="false">ROUND(C250-M250-MIN(C250-M250,MAX(0,$AF250-SUMPRODUCT(--($B$4:$K$4&lt;C$4),$B250:$K250-$L250:$U250))),2)</f>
        <v>0</v>
      </c>
      <c r="X250" s="39" t="n">
        <f aca="false">ROUND(D250-N250-MIN(D250-N250,MAX(0,$AF250-SUMPRODUCT(--($B$4:$K$4&lt;D$4),$B250:$K250-$L250:$U250))),2)</f>
        <v>0</v>
      </c>
      <c r="Y250" s="39" t="n">
        <f aca="false">ROUND(E250-O250-MIN(E250-O250,MAX(0,$AF250-SUMPRODUCT(--($B$4:$K$4&lt;E$4),$B250:$K250-$L250:$U250))),2)</f>
        <v>0</v>
      </c>
      <c r="Z250" s="39" t="n">
        <f aca="false">ROUND(F250-P250-MIN(F250-P250,MAX(0,$AF250-SUMPRODUCT(--($B$4:$K$4&lt;F$4),$B250:$K250-$L250:$U250))),2)</f>
        <v>0</v>
      </c>
      <c r="AA250" s="39" t="n">
        <f aca="false">ROUND(G250-Q250-MIN(G250-Q250,MAX(0,$AF250-SUMPRODUCT(--($B$4:$K$4&lt;G$4),$B250:$K250-$L250:$U250))),2)</f>
        <v>0</v>
      </c>
      <c r="AB250" s="39" t="n">
        <f aca="false">ROUND(H250-R250-MIN(H250-R250,MAX(0,$AF250-SUMPRODUCT(--($B$4:$K$4&lt;H$4),$B250:$K250-$L250:$U250))),2)</f>
        <v>0</v>
      </c>
      <c r="AC250" s="39" t="n">
        <f aca="false">ROUND(I250-S250-MIN(I250-S250,MAX(0,$AF250-SUMPRODUCT(--($B$4:$K$4&lt;I$4),$B250:$K250-$L250:$U250))),2)</f>
        <v>0</v>
      </c>
      <c r="AD250" s="39" t="n">
        <f aca="false">ROUND(J250-T250-MIN(J250-T250,MAX(0,$AF250-SUMPRODUCT(--($B$4:$K$4&lt;J$4),$B250:$K250-$L250:$U250))),2)</f>
        <v>0</v>
      </c>
      <c r="AE250" s="39" t="n">
        <f aca="false">ROUND(K250-U250-MIN(K250-U250,MAX(0,$AF250-SUMPRODUCT(--($B$4:$K$4&lt;K$4),$B250:$K250-$L250:$U250))),2)</f>
        <v>0</v>
      </c>
      <c r="AF250" s="39" t="n">
        <f aca="false">MAX(0,'Start Here'!$C$5-SUM($L250:$U250))</f>
        <v>1200</v>
      </c>
      <c r="AG250" s="39" t="n">
        <f aca="false">SUM(V250:AE250)</f>
        <v>0</v>
      </c>
      <c r="AH250" s="39" t="n">
        <f aca="false">SUM(B250:K250)-AG249</f>
        <v>0</v>
      </c>
    </row>
    <row r="251" customFormat="false" ht="15" hidden="false" customHeight="false" outlineLevel="0" collapsed="false">
      <c r="A251" s="40" t="n">
        <f aca="false">DATE(YEAR('Start Here'!$C$6),MONTH('Start Here'!$C$6)+244,1)</f>
        <v>53724</v>
      </c>
      <c r="B251" s="39" t="n">
        <f aca="false">ROUND(V250*(1+N('My Debts'!$D$6)/12),2)</f>
        <v>0</v>
      </c>
      <c r="C251" s="39" t="n">
        <f aca="false">ROUND(W250*(1+N('My Debts'!$D$7)/12),2)</f>
        <v>0</v>
      </c>
      <c r="D251" s="39" t="n">
        <f aca="false">ROUND(X250*(1+N('My Debts'!$D$8)/12),2)</f>
        <v>0</v>
      </c>
      <c r="E251" s="39" t="n">
        <f aca="false">ROUND(Y250*(1+N('My Debts'!$D$9)/12),2)</f>
        <v>0</v>
      </c>
      <c r="F251" s="39" t="n">
        <f aca="false">ROUND(Z250*(1+N('My Debts'!$D$10)/12),2)</f>
        <v>0</v>
      </c>
      <c r="G251" s="39" t="n">
        <f aca="false">ROUND(AA250*(1+N('My Debts'!$D$11)/12),2)</f>
        <v>0</v>
      </c>
      <c r="H251" s="39" t="n">
        <f aca="false">ROUND(AB250*(1+N('My Debts'!$D$12)/12),2)</f>
        <v>0</v>
      </c>
      <c r="I251" s="39" t="n">
        <f aca="false">ROUND(AC250*(1+N('My Debts'!$D$13)/12),2)</f>
        <v>0</v>
      </c>
      <c r="J251" s="39" t="n">
        <f aca="false">ROUND(AD250*(1+N('My Debts'!$D$14)/12),2)</f>
        <v>0</v>
      </c>
      <c r="K251" s="39" t="n">
        <f aca="false">ROUND(AE250*(1+N('My Debts'!$D$15)/12),2)</f>
        <v>0</v>
      </c>
      <c r="L251" s="39" t="n">
        <f aca="false">MIN(N('My Debts'!$E$6),B251)</f>
        <v>0</v>
      </c>
      <c r="M251" s="39" t="n">
        <f aca="false">MIN(N('My Debts'!$E$7),C251)</f>
        <v>0</v>
      </c>
      <c r="N251" s="39" t="n">
        <f aca="false">MIN(N('My Debts'!$E$8),D251)</f>
        <v>0</v>
      </c>
      <c r="O251" s="39" t="n">
        <f aca="false">MIN(N('My Debts'!$E$9),E251)</f>
        <v>0</v>
      </c>
      <c r="P251" s="39" t="n">
        <f aca="false">MIN(N('My Debts'!$E$10),F251)</f>
        <v>0</v>
      </c>
      <c r="Q251" s="39" t="n">
        <f aca="false">MIN(N('My Debts'!$E$11),G251)</f>
        <v>0</v>
      </c>
      <c r="R251" s="39" t="n">
        <f aca="false">MIN(N('My Debts'!$E$12),H251)</f>
        <v>0</v>
      </c>
      <c r="S251" s="39" t="n">
        <f aca="false">MIN(N('My Debts'!$E$13),I251)</f>
        <v>0</v>
      </c>
      <c r="T251" s="39" t="n">
        <f aca="false">MIN(N('My Debts'!$E$14),J251)</f>
        <v>0</v>
      </c>
      <c r="U251" s="39" t="n">
        <f aca="false">MIN(N('My Debts'!$E$15),K251)</f>
        <v>0</v>
      </c>
      <c r="V251" s="39" t="n">
        <f aca="false">ROUND(B251-L251-MIN(B251-L251,MAX(0,$AF251-SUMPRODUCT(--($B$4:$K$4&lt;B$4),$B251:$K251-$L251:$U251))),2)</f>
        <v>0</v>
      </c>
      <c r="W251" s="39" t="n">
        <f aca="false">ROUND(C251-M251-MIN(C251-M251,MAX(0,$AF251-SUMPRODUCT(--($B$4:$K$4&lt;C$4),$B251:$K251-$L251:$U251))),2)</f>
        <v>0</v>
      </c>
      <c r="X251" s="39" t="n">
        <f aca="false">ROUND(D251-N251-MIN(D251-N251,MAX(0,$AF251-SUMPRODUCT(--($B$4:$K$4&lt;D$4),$B251:$K251-$L251:$U251))),2)</f>
        <v>0</v>
      </c>
      <c r="Y251" s="39" t="n">
        <f aca="false">ROUND(E251-O251-MIN(E251-O251,MAX(0,$AF251-SUMPRODUCT(--($B$4:$K$4&lt;E$4),$B251:$K251-$L251:$U251))),2)</f>
        <v>0</v>
      </c>
      <c r="Z251" s="39" t="n">
        <f aca="false">ROUND(F251-P251-MIN(F251-P251,MAX(0,$AF251-SUMPRODUCT(--($B$4:$K$4&lt;F$4),$B251:$K251-$L251:$U251))),2)</f>
        <v>0</v>
      </c>
      <c r="AA251" s="39" t="n">
        <f aca="false">ROUND(G251-Q251-MIN(G251-Q251,MAX(0,$AF251-SUMPRODUCT(--($B$4:$K$4&lt;G$4),$B251:$K251-$L251:$U251))),2)</f>
        <v>0</v>
      </c>
      <c r="AB251" s="39" t="n">
        <f aca="false">ROUND(H251-R251-MIN(H251-R251,MAX(0,$AF251-SUMPRODUCT(--($B$4:$K$4&lt;H$4),$B251:$K251-$L251:$U251))),2)</f>
        <v>0</v>
      </c>
      <c r="AC251" s="39" t="n">
        <f aca="false">ROUND(I251-S251-MIN(I251-S251,MAX(0,$AF251-SUMPRODUCT(--($B$4:$K$4&lt;I$4),$B251:$K251-$L251:$U251))),2)</f>
        <v>0</v>
      </c>
      <c r="AD251" s="39" t="n">
        <f aca="false">ROUND(J251-T251-MIN(J251-T251,MAX(0,$AF251-SUMPRODUCT(--($B$4:$K$4&lt;J$4),$B251:$K251-$L251:$U251))),2)</f>
        <v>0</v>
      </c>
      <c r="AE251" s="39" t="n">
        <f aca="false">ROUND(K251-U251-MIN(K251-U251,MAX(0,$AF251-SUMPRODUCT(--($B$4:$K$4&lt;K$4),$B251:$K251-$L251:$U251))),2)</f>
        <v>0</v>
      </c>
      <c r="AF251" s="39" t="n">
        <f aca="false">MAX(0,'Start Here'!$C$5-SUM($L251:$U251))</f>
        <v>1200</v>
      </c>
      <c r="AG251" s="39" t="n">
        <f aca="false">SUM(V251:AE251)</f>
        <v>0</v>
      </c>
      <c r="AH251" s="39" t="n">
        <f aca="false">SUM(B251:K251)-AG250</f>
        <v>0</v>
      </c>
    </row>
    <row r="252" customFormat="false" ht="15" hidden="false" customHeight="false" outlineLevel="0" collapsed="false">
      <c r="A252" s="40" t="n">
        <f aca="false">DATE(YEAR('Start Here'!$C$6),MONTH('Start Here'!$C$6)+245,1)</f>
        <v>53752</v>
      </c>
      <c r="B252" s="39" t="n">
        <f aca="false">ROUND(V251*(1+N('My Debts'!$D$6)/12),2)</f>
        <v>0</v>
      </c>
      <c r="C252" s="39" t="n">
        <f aca="false">ROUND(W251*(1+N('My Debts'!$D$7)/12),2)</f>
        <v>0</v>
      </c>
      <c r="D252" s="39" t="n">
        <f aca="false">ROUND(X251*(1+N('My Debts'!$D$8)/12),2)</f>
        <v>0</v>
      </c>
      <c r="E252" s="39" t="n">
        <f aca="false">ROUND(Y251*(1+N('My Debts'!$D$9)/12),2)</f>
        <v>0</v>
      </c>
      <c r="F252" s="39" t="n">
        <f aca="false">ROUND(Z251*(1+N('My Debts'!$D$10)/12),2)</f>
        <v>0</v>
      </c>
      <c r="G252" s="39" t="n">
        <f aca="false">ROUND(AA251*(1+N('My Debts'!$D$11)/12),2)</f>
        <v>0</v>
      </c>
      <c r="H252" s="39" t="n">
        <f aca="false">ROUND(AB251*(1+N('My Debts'!$D$12)/12),2)</f>
        <v>0</v>
      </c>
      <c r="I252" s="39" t="n">
        <f aca="false">ROUND(AC251*(1+N('My Debts'!$D$13)/12),2)</f>
        <v>0</v>
      </c>
      <c r="J252" s="39" t="n">
        <f aca="false">ROUND(AD251*(1+N('My Debts'!$D$14)/12),2)</f>
        <v>0</v>
      </c>
      <c r="K252" s="39" t="n">
        <f aca="false">ROUND(AE251*(1+N('My Debts'!$D$15)/12),2)</f>
        <v>0</v>
      </c>
      <c r="L252" s="39" t="n">
        <f aca="false">MIN(N('My Debts'!$E$6),B252)</f>
        <v>0</v>
      </c>
      <c r="M252" s="39" t="n">
        <f aca="false">MIN(N('My Debts'!$E$7),C252)</f>
        <v>0</v>
      </c>
      <c r="N252" s="39" t="n">
        <f aca="false">MIN(N('My Debts'!$E$8),D252)</f>
        <v>0</v>
      </c>
      <c r="O252" s="39" t="n">
        <f aca="false">MIN(N('My Debts'!$E$9),E252)</f>
        <v>0</v>
      </c>
      <c r="P252" s="39" t="n">
        <f aca="false">MIN(N('My Debts'!$E$10),F252)</f>
        <v>0</v>
      </c>
      <c r="Q252" s="39" t="n">
        <f aca="false">MIN(N('My Debts'!$E$11),G252)</f>
        <v>0</v>
      </c>
      <c r="R252" s="39" t="n">
        <f aca="false">MIN(N('My Debts'!$E$12),H252)</f>
        <v>0</v>
      </c>
      <c r="S252" s="39" t="n">
        <f aca="false">MIN(N('My Debts'!$E$13),I252)</f>
        <v>0</v>
      </c>
      <c r="T252" s="39" t="n">
        <f aca="false">MIN(N('My Debts'!$E$14),J252)</f>
        <v>0</v>
      </c>
      <c r="U252" s="39" t="n">
        <f aca="false">MIN(N('My Debts'!$E$15),K252)</f>
        <v>0</v>
      </c>
      <c r="V252" s="39" t="n">
        <f aca="false">ROUND(B252-L252-MIN(B252-L252,MAX(0,$AF252-SUMPRODUCT(--($B$4:$K$4&lt;B$4),$B252:$K252-$L252:$U252))),2)</f>
        <v>0</v>
      </c>
      <c r="W252" s="39" t="n">
        <f aca="false">ROUND(C252-M252-MIN(C252-M252,MAX(0,$AF252-SUMPRODUCT(--($B$4:$K$4&lt;C$4),$B252:$K252-$L252:$U252))),2)</f>
        <v>0</v>
      </c>
      <c r="X252" s="39" t="n">
        <f aca="false">ROUND(D252-N252-MIN(D252-N252,MAX(0,$AF252-SUMPRODUCT(--($B$4:$K$4&lt;D$4),$B252:$K252-$L252:$U252))),2)</f>
        <v>0</v>
      </c>
      <c r="Y252" s="39" t="n">
        <f aca="false">ROUND(E252-O252-MIN(E252-O252,MAX(0,$AF252-SUMPRODUCT(--($B$4:$K$4&lt;E$4),$B252:$K252-$L252:$U252))),2)</f>
        <v>0</v>
      </c>
      <c r="Z252" s="39" t="n">
        <f aca="false">ROUND(F252-P252-MIN(F252-P252,MAX(0,$AF252-SUMPRODUCT(--($B$4:$K$4&lt;F$4),$B252:$K252-$L252:$U252))),2)</f>
        <v>0</v>
      </c>
      <c r="AA252" s="39" t="n">
        <f aca="false">ROUND(G252-Q252-MIN(G252-Q252,MAX(0,$AF252-SUMPRODUCT(--($B$4:$K$4&lt;G$4),$B252:$K252-$L252:$U252))),2)</f>
        <v>0</v>
      </c>
      <c r="AB252" s="39" t="n">
        <f aca="false">ROUND(H252-R252-MIN(H252-R252,MAX(0,$AF252-SUMPRODUCT(--($B$4:$K$4&lt;H$4),$B252:$K252-$L252:$U252))),2)</f>
        <v>0</v>
      </c>
      <c r="AC252" s="39" t="n">
        <f aca="false">ROUND(I252-S252-MIN(I252-S252,MAX(0,$AF252-SUMPRODUCT(--($B$4:$K$4&lt;I$4),$B252:$K252-$L252:$U252))),2)</f>
        <v>0</v>
      </c>
      <c r="AD252" s="39" t="n">
        <f aca="false">ROUND(J252-T252-MIN(J252-T252,MAX(0,$AF252-SUMPRODUCT(--($B$4:$K$4&lt;J$4),$B252:$K252-$L252:$U252))),2)</f>
        <v>0</v>
      </c>
      <c r="AE252" s="39" t="n">
        <f aca="false">ROUND(K252-U252-MIN(K252-U252,MAX(0,$AF252-SUMPRODUCT(--($B$4:$K$4&lt;K$4),$B252:$K252-$L252:$U252))),2)</f>
        <v>0</v>
      </c>
      <c r="AF252" s="39" t="n">
        <f aca="false">MAX(0,'Start Here'!$C$5-SUM($L252:$U252))</f>
        <v>1200</v>
      </c>
      <c r="AG252" s="39" t="n">
        <f aca="false">SUM(V252:AE252)</f>
        <v>0</v>
      </c>
      <c r="AH252" s="39" t="n">
        <f aca="false">SUM(B252:K252)-AG251</f>
        <v>0</v>
      </c>
    </row>
    <row r="253" customFormat="false" ht="15" hidden="false" customHeight="false" outlineLevel="0" collapsed="false">
      <c r="A253" s="40" t="n">
        <f aca="false">DATE(YEAR('Start Here'!$C$6),MONTH('Start Here'!$C$6)+246,1)</f>
        <v>53783</v>
      </c>
      <c r="B253" s="39" t="n">
        <f aca="false">ROUND(V252*(1+N('My Debts'!$D$6)/12),2)</f>
        <v>0</v>
      </c>
      <c r="C253" s="39" t="n">
        <f aca="false">ROUND(W252*(1+N('My Debts'!$D$7)/12),2)</f>
        <v>0</v>
      </c>
      <c r="D253" s="39" t="n">
        <f aca="false">ROUND(X252*(1+N('My Debts'!$D$8)/12),2)</f>
        <v>0</v>
      </c>
      <c r="E253" s="39" t="n">
        <f aca="false">ROUND(Y252*(1+N('My Debts'!$D$9)/12),2)</f>
        <v>0</v>
      </c>
      <c r="F253" s="39" t="n">
        <f aca="false">ROUND(Z252*(1+N('My Debts'!$D$10)/12),2)</f>
        <v>0</v>
      </c>
      <c r="G253" s="39" t="n">
        <f aca="false">ROUND(AA252*(1+N('My Debts'!$D$11)/12),2)</f>
        <v>0</v>
      </c>
      <c r="H253" s="39" t="n">
        <f aca="false">ROUND(AB252*(1+N('My Debts'!$D$12)/12),2)</f>
        <v>0</v>
      </c>
      <c r="I253" s="39" t="n">
        <f aca="false">ROUND(AC252*(1+N('My Debts'!$D$13)/12),2)</f>
        <v>0</v>
      </c>
      <c r="J253" s="39" t="n">
        <f aca="false">ROUND(AD252*(1+N('My Debts'!$D$14)/12),2)</f>
        <v>0</v>
      </c>
      <c r="K253" s="39" t="n">
        <f aca="false">ROUND(AE252*(1+N('My Debts'!$D$15)/12),2)</f>
        <v>0</v>
      </c>
      <c r="L253" s="39" t="n">
        <f aca="false">MIN(N('My Debts'!$E$6),B253)</f>
        <v>0</v>
      </c>
      <c r="M253" s="39" t="n">
        <f aca="false">MIN(N('My Debts'!$E$7),C253)</f>
        <v>0</v>
      </c>
      <c r="N253" s="39" t="n">
        <f aca="false">MIN(N('My Debts'!$E$8),D253)</f>
        <v>0</v>
      </c>
      <c r="O253" s="39" t="n">
        <f aca="false">MIN(N('My Debts'!$E$9),E253)</f>
        <v>0</v>
      </c>
      <c r="P253" s="39" t="n">
        <f aca="false">MIN(N('My Debts'!$E$10),F253)</f>
        <v>0</v>
      </c>
      <c r="Q253" s="39" t="n">
        <f aca="false">MIN(N('My Debts'!$E$11),G253)</f>
        <v>0</v>
      </c>
      <c r="R253" s="39" t="n">
        <f aca="false">MIN(N('My Debts'!$E$12),H253)</f>
        <v>0</v>
      </c>
      <c r="S253" s="39" t="n">
        <f aca="false">MIN(N('My Debts'!$E$13),I253)</f>
        <v>0</v>
      </c>
      <c r="T253" s="39" t="n">
        <f aca="false">MIN(N('My Debts'!$E$14),J253)</f>
        <v>0</v>
      </c>
      <c r="U253" s="39" t="n">
        <f aca="false">MIN(N('My Debts'!$E$15),K253)</f>
        <v>0</v>
      </c>
      <c r="V253" s="39" t="n">
        <f aca="false">ROUND(B253-L253-MIN(B253-L253,MAX(0,$AF253-SUMPRODUCT(--($B$4:$K$4&lt;B$4),$B253:$K253-$L253:$U253))),2)</f>
        <v>0</v>
      </c>
      <c r="W253" s="39" t="n">
        <f aca="false">ROUND(C253-M253-MIN(C253-M253,MAX(0,$AF253-SUMPRODUCT(--($B$4:$K$4&lt;C$4),$B253:$K253-$L253:$U253))),2)</f>
        <v>0</v>
      </c>
      <c r="X253" s="39" t="n">
        <f aca="false">ROUND(D253-N253-MIN(D253-N253,MAX(0,$AF253-SUMPRODUCT(--($B$4:$K$4&lt;D$4),$B253:$K253-$L253:$U253))),2)</f>
        <v>0</v>
      </c>
      <c r="Y253" s="39" t="n">
        <f aca="false">ROUND(E253-O253-MIN(E253-O253,MAX(0,$AF253-SUMPRODUCT(--($B$4:$K$4&lt;E$4),$B253:$K253-$L253:$U253))),2)</f>
        <v>0</v>
      </c>
      <c r="Z253" s="39" t="n">
        <f aca="false">ROUND(F253-P253-MIN(F253-P253,MAX(0,$AF253-SUMPRODUCT(--($B$4:$K$4&lt;F$4),$B253:$K253-$L253:$U253))),2)</f>
        <v>0</v>
      </c>
      <c r="AA253" s="39" t="n">
        <f aca="false">ROUND(G253-Q253-MIN(G253-Q253,MAX(0,$AF253-SUMPRODUCT(--($B$4:$K$4&lt;G$4),$B253:$K253-$L253:$U253))),2)</f>
        <v>0</v>
      </c>
      <c r="AB253" s="39" t="n">
        <f aca="false">ROUND(H253-R253-MIN(H253-R253,MAX(0,$AF253-SUMPRODUCT(--($B$4:$K$4&lt;H$4),$B253:$K253-$L253:$U253))),2)</f>
        <v>0</v>
      </c>
      <c r="AC253" s="39" t="n">
        <f aca="false">ROUND(I253-S253-MIN(I253-S253,MAX(0,$AF253-SUMPRODUCT(--($B$4:$K$4&lt;I$4),$B253:$K253-$L253:$U253))),2)</f>
        <v>0</v>
      </c>
      <c r="AD253" s="39" t="n">
        <f aca="false">ROUND(J253-T253-MIN(J253-T253,MAX(0,$AF253-SUMPRODUCT(--($B$4:$K$4&lt;J$4),$B253:$K253-$L253:$U253))),2)</f>
        <v>0</v>
      </c>
      <c r="AE253" s="39" t="n">
        <f aca="false">ROUND(K253-U253-MIN(K253-U253,MAX(0,$AF253-SUMPRODUCT(--($B$4:$K$4&lt;K$4),$B253:$K253-$L253:$U253))),2)</f>
        <v>0</v>
      </c>
      <c r="AF253" s="39" t="n">
        <f aca="false">MAX(0,'Start Here'!$C$5-SUM($L253:$U253))</f>
        <v>1200</v>
      </c>
      <c r="AG253" s="39" t="n">
        <f aca="false">SUM(V253:AE253)</f>
        <v>0</v>
      </c>
      <c r="AH253" s="39" t="n">
        <f aca="false">SUM(B253:K253)-AG252</f>
        <v>0</v>
      </c>
    </row>
    <row r="254" customFormat="false" ht="15" hidden="false" customHeight="false" outlineLevel="0" collapsed="false">
      <c r="A254" s="40" t="n">
        <f aca="false">DATE(YEAR('Start Here'!$C$6),MONTH('Start Here'!$C$6)+247,1)</f>
        <v>53813</v>
      </c>
      <c r="B254" s="39" t="n">
        <f aca="false">ROUND(V253*(1+N('My Debts'!$D$6)/12),2)</f>
        <v>0</v>
      </c>
      <c r="C254" s="39" t="n">
        <f aca="false">ROUND(W253*(1+N('My Debts'!$D$7)/12),2)</f>
        <v>0</v>
      </c>
      <c r="D254" s="39" t="n">
        <f aca="false">ROUND(X253*(1+N('My Debts'!$D$8)/12),2)</f>
        <v>0</v>
      </c>
      <c r="E254" s="39" t="n">
        <f aca="false">ROUND(Y253*(1+N('My Debts'!$D$9)/12),2)</f>
        <v>0</v>
      </c>
      <c r="F254" s="39" t="n">
        <f aca="false">ROUND(Z253*(1+N('My Debts'!$D$10)/12),2)</f>
        <v>0</v>
      </c>
      <c r="G254" s="39" t="n">
        <f aca="false">ROUND(AA253*(1+N('My Debts'!$D$11)/12),2)</f>
        <v>0</v>
      </c>
      <c r="H254" s="39" t="n">
        <f aca="false">ROUND(AB253*(1+N('My Debts'!$D$12)/12),2)</f>
        <v>0</v>
      </c>
      <c r="I254" s="39" t="n">
        <f aca="false">ROUND(AC253*(1+N('My Debts'!$D$13)/12),2)</f>
        <v>0</v>
      </c>
      <c r="J254" s="39" t="n">
        <f aca="false">ROUND(AD253*(1+N('My Debts'!$D$14)/12),2)</f>
        <v>0</v>
      </c>
      <c r="K254" s="39" t="n">
        <f aca="false">ROUND(AE253*(1+N('My Debts'!$D$15)/12),2)</f>
        <v>0</v>
      </c>
      <c r="L254" s="39" t="n">
        <f aca="false">MIN(N('My Debts'!$E$6),B254)</f>
        <v>0</v>
      </c>
      <c r="M254" s="39" t="n">
        <f aca="false">MIN(N('My Debts'!$E$7),C254)</f>
        <v>0</v>
      </c>
      <c r="N254" s="39" t="n">
        <f aca="false">MIN(N('My Debts'!$E$8),D254)</f>
        <v>0</v>
      </c>
      <c r="O254" s="39" t="n">
        <f aca="false">MIN(N('My Debts'!$E$9),E254)</f>
        <v>0</v>
      </c>
      <c r="P254" s="39" t="n">
        <f aca="false">MIN(N('My Debts'!$E$10),F254)</f>
        <v>0</v>
      </c>
      <c r="Q254" s="39" t="n">
        <f aca="false">MIN(N('My Debts'!$E$11),G254)</f>
        <v>0</v>
      </c>
      <c r="R254" s="39" t="n">
        <f aca="false">MIN(N('My Debts'!$E$12),H254)</f>
        <v>0</v>
      </c>
      <c r="S254" s="39" t="n">
        <f aca="false">MIN(N('My Debts'!$E$13),I254)</f>
        <v>0</v>
      </c>
      <c r="T254" s="39" t="n">
        <f aca="false">MIN(N('My Debts'!$E$14),J254)</f>
        <v>0</v>
      </c>
      <c r="U254" s="39" t="n">
        <f aca="false">MIN(N('My Debts'!$E$15),K254)</f>
        <v>0</v>
      </c>
      <c r="V254" s="39" t="n">
        <f aca="false">ROUND(B254-L254-MIN(B254-L254,MAX(0,$AF254-SUMPRODUCT(--($B$4:$K$4&lt;B$4),$B254:$K254-$L254:$U254))),2)</f>
        <v>0</v>
      </c>
      <c r="W254" s="39" t="n">
        <f aca="false">ROUND(C254-M254-MIN(C254-M254,MAX(0,$AF254-SUMPRODUCT(--($B$4:$K$4&lt;C$4),$B254:$K254-$L254:$U254))),2)</f>
        <v>0</v>
      </c>
      <c r="X254" s="39" t="n">
        <f aca="false">ROUND(D254-N254-MIN(D254-N254,MAX(0,$AF254-SUMPRODUCT(--($B$4:$K$4&lt;D$4),$B254:$K254-$L254:$U254))),2)</f>
        <v>0</v>
      </c>
      <c r="Y254" s="39" t="n">
        <f aca="false">ROUND(E254-O254-MIN(E254-O254,MAX(0,$AF254-SUMPRODUCT(--($B$4:$K$4&lt;E$4),$B254:$K254-$L254:$U254))),2)</f>
        <v>0</v>
      </c>
      <c r="Z254" s="39" t="n">
        <f aca="false">ROUND(F254-P254-MIN(F254-P254,MAX(0,$AF254-SUMPRODUCT(--($B$4:$K$4&lt;F$4),$B254:$K254-$L254:$U254))),2)</f>
        <v>0</v>
      </c>
      <c r="AA254" s="39" t="n">
        <f aca="false">ROUND(G254-Q254-MIN(G254-Q254,MAX(0,$AF254-SUMPRODUCT(--($B$4:$K$4&lt;G$4),$B254:$K254-$L254:$U254))),2)</f>
        <v>0</v>
      </c>
      <c r="AB254" s="39" t="n">
        <f aca="false">ROUND(H254-R254-MIN(H254-R254,MAX(0,$AF254-SUMPRODUCT(--($B$4:$K$4&lt;H$4),$B254:$K254-$L254:$U254))),2)</f>
        <v>0</v>
      </c>
      <c r="AC254" s="39" t="n">
        <f aca="false">ROUND(I254-S254-MIN(I254-S254,MAX(0,$AF254-SUMPRODUCT(--($B$4:$K$4&lt;I$4),$B254:$K254-$L254:$U254))),2)</f>
        <v>0</v>
      </c>
      <c r="AD254" s="39" t="n">
        <f aca="false">ROUND(J254-T254-MIN(J254-T254,MAX(0,$AF254-SUMPRODUCT(--($B$4:$K$4&lt;J$4),$B254:$K254-$L254:$U254))),2)</f>
        <v>0</v>
      </c>
      <c r="AE254" s="39" t="n">
        <f aca="false">ROUND(K254-U254-MIN(K254-U254,MAX(0,$AF254-SUMPRODUCT(--($B$4:$K$4&lt;K$4),$B254:$K254-$L254:$U254))),2)</f>
        <v>0</v>
      </c>
      <c r="AF254" s="39" t="n">
        <f aca="false">MAX(0,'Start Here'!$C$5-SUM($L254:$U254))</f>
        <v>1200</v>
      </c>
      <c r="AG254" s="39" t="n">
        <f aca="false">SUM(V254:AE254)</f>
        <v>0</v>
      </c>
      <c r="AH254" s="39" t="n">
        <f aca="false">SUM(B254:K254)-AG253</f>
        <v>0</v>
      </c>
    </row>
    <row r="255" customFormat="false" ht="15" hidden="false" customHeight="false" outlineLevel="0" collapsed="false">
      <c r="A255" s="40" t="n">
        <f aca="false">DATE(YEAR('Start Here'!$C$6),MONTH('Start Here'!$C$6)+248,1)</f>
        <v>53844</v>
      </c>
      <c r="B255" s="39" t="n">
        <f aca="false">ROUND(V254*(1+N('My Debts'!$D$6)/12),2)</f>
        <v>0</v>
      </c>
      <c r="C255" s="39" t="n">
        <f aca="false">ROUND(W254*(1+N('My Debts'!$D$7)/12),2)</f>
        <v>0</v>
      </c>
      <c r="D255" s="39" t="n">
        <f aca="false">ROUND(X254*(1+N('My Debts'!$D$8)/12),2)</f>
        <v>0</v>
      </c>
      <c r="E255" s="39" t="n">
        <f aca="false">ROUND(Y254*(1+N('My Debts'!$D$9)/12),2)</f>
        <v>0</v>
      </c>
      <c r="F255" s="39" t="n">
        <f aca="false">ROUND(Z254*(1+N('My Debts'!$D$10)/12),2)</f>
        <v>0</v>
      </c>
      <c r="G255" s="39" t="n">
        <f aca="false">ROUND(AA254*(1+N('My Debts'!$D$11)/12),2)</f>
        <v>0</v>
      </c>
      <c r="H255" s="39" t="n">
        <f aca="false">ROUND(AB254*(1+N('My Debts'!$D$12)/12),2)</f>
        <v>0</v>
      </c>
      <c r="I255" s="39" t="n">
        <f aca="false">ROUND(AC254*(1+N('My Debts'!$D$13)/12),2)</f>
        <v>0</v>
      </c>
      <c r="J255" s="39" t="n">
        <f aca="false">ROUND(AD254*(1+N('My Debts'!$D$14)/12),2)</f>
        <v>0</v>
      </c>
      <c r="K255" s="39" t="n">
        <f aca="false">ROUND(AE254*(1+N('My Debts'!$D$15)/12),2)</f>
        <v>0</v>
      </c>
      <c r="L255" s="39" t="n">
        <f aca="false">MIN(N('My Debts'!$E$6),B255)</f>
        <v>0</v>
      </c>
      <c r="M255" s="39" t="n">
        <f aca="false">MIN(N('My Debts'!$E$7),C255)</f>
        <v>0</v>
      </c>
      <c r="N255" s="39" t="n">
        <f aca="false">MIN(N('My Debts'!$E$8),D255)</f>
        <v>0</v>
      </c>
      <c r="O255" s="39" t="n">
        <f aca="false">MIN(N('My Debts'!$E$9),E255)</f>
        <v>0</v>
      </c>
      <c r="P255" s="39" t="n">
        <f aca="false">MIN(N('My Debts'!$E$10),F255)</f>
        <v>0</v>
      </c>
      <c r="Q255" s="39" t="n">
        <f aca="false">MIN(N('My Debts'!$E$11),G255)</f>
        <v>0</v>
      </c>
      <c r="R255" s="39" t="n">
        <f aca="false">MIN(N('My Debts'!$E$12),H255)</f>
        <v>0</v>
      </c>
      <c r="S255" s="39" t="n">
        <f aca="false">MIN(N('My Debts'!$E$13),I255)</f>
        <v>0</v>
      </c>
      <c r="T255" s="39" t="n">
        <f aca="false">MIN(N('My Debts'!$E$14),J255)</f>
        <v>0</v>
      </c>
      <c r="U255" s="39" t="n">
        <f aca="false">MIN(N('My Debts'!$E$15),K255)</f>
        <v>0</v>
      </c>
      <c r="V255" s="39" t="n">
        <f aca="false">ROUND(B255-L255-MIN(B255-L255,MAX(0,$AF255-SUMPRODUCT(--($B$4:$K$4&lt;B$4),$B255:$K255-$L255:$U255))),2)</f>
        <v>0</v>
      </c>
      <c r="W255" s="39" t="n">
        <f aca="false">ROUND(C255-M255-MIN(C255-M255,MAX(0,$AF255-SUMPRODUCT(--($B$4:$K$4&lt;C$4),$B255:$K255-$L255:$U255))),2)</f>
        <v>0</v>
      </c>
      <c r="X255" s="39" t="n">
        <f aca="false">ROUND(D255-N255-MIN(D255-N255,MAX(0,$AF255-SUMPRODUCT(--($B$4:$K$4&lt;D$4),$B255:$K255-$L255:$U255))),2)</f>
        <v>0</v>
      </c>
      <c r="Y255" s="39" t="n">
        <f aca="false">ROUND(E255-O255-MIN(E255-O255,MAX(0,$AF255-SUMPRODUCT(--($B$4:$K$4&lt;E$4),$B255:$K255-$L255:$U255))),2)</f>
        <v>0</v>
      </c>
      <c r="Z255" s="39" t="n">
        <f aca="false">ROUND(F255-P255-MIN(F255-P255,MAX(0,$AF255-SUMPRODUCT(--($B$4:$K$4&lt;F$4),$B255:$K255-$L255:$U255))),2)</f>
        <v>0</v>
      </c>
      <c r="AA255" s="39" t="n">
        <f aca="false">ROUND(G255-Q255-MIN(G255-Q255,MAX(0,$AF255-SUMPRODUCT(--($B$4:$K$4&lt;G$4),$B255:$K255-$L255:$U255))),2)</f>
        <v>0</v>
      </c>
      <c r="AB255" s="39" t="n">
        <f aca="false">ROUND(H255-R255-MIN(H255-R255,MAX(0,$AF255-SUMPRODUCT(--($B$4:$K$4&lt;H$4),$B255:$K255-$L255:$U255))),2)</f>
        <v>0</v>
      </c>
      <c r="AC255" s="39" t="n">
        <f aca="false">ROUND(I255-S255-MIN(I255-S255,MAX(0,$AF255-SUMPRODUCT(--($B$4:$K$4&lt;I$4),$B255:$K255-$L255:$U255))),2)</f>
        <v>0</v>
      </c>
      <c r="AD255" s="39" t="n">
        <f aca="false">ROUND(J255-T255-MIN(J255-T255,MAX(0,$AF255-SUMPRODUCT(--($B$4:$K$4&lt;J$4),$B255:$K255-$L255:$U255))),2)</f>
        <v>0</v>
      </c>
      <c r="AE255" s="39" t="n">
        <f aca="false">ROUND(K255-U255-MIN(K255-U255,MAX(0,$AF255-SUMPRODUCT(--($B$4:$K$4&lt;K$4),$B255:$K255-$L255:$U255))),2)</f>
        <v>0</v>
      </c>
      <c r="AF255" s="39" t="n">
        <f aca="false">MAX(0,'Start Here'!$C$5-SUM($L255:$U255))</f>
        <v>1200</v>
      </c>
      <c r="AG255" s="39" t="n">
        <f aca="false">SUM(V255:AE255)</f>
        <v>0</v>
      </c>
      <c r="AH255" s="39" t="n">
        <f aca="false">SUM(B255:K255)-AG254</f>
        <v>0</v>
      </c>
    </row>
    <row r="256" customFormat="false" ht="15" hidden="false" customHeight="false" outlineLevel="0" collapsed="false">
      <c r="A256" s="40" t="n">
        <f aca="false">DATE(YEAR('Start Here'!$C$6),MONTH('Start Here'!$C$6)+249,1)</f>
        <v>53874</v>
      </c>
      <c r="B256" s="39" t="n">
        <f aca="false">ROUND(V255*(1+N('My Debts'!$D$6)/12),2)</f>
        <v>0</v>
      </c>
      <c r="C256" s="39" t="n">
        <f aca="false">ROUND(W255*(1+N('My Debts'!$D$7)/12),2)</f>
        <v>0</v>
      </c>
      <c r="D256" s="39" t="n">
        <f aca="false">ROUND(X255*(1+N('My Debts'!$D$8)/12),2)</f>
        <v>0</v>
      </c>
      <c r="E256" s="39" t="n">
        <f aca="false">ROUND(Y255*(1+N('My Debts'!$D$9)/12),2)</f>
        <v>0</v>
      </c>
      <c r="F256" s="39" t="n">
        <f aca="false">ROUND(Z255*(1+N('My Debts'!$D$10)/12),2)</f>
        <v>0</v>
      </c>
      <c r="G256" s="39" t="n">
        <f aca="false">ROUND(AA255*(1+N('My Debts'!$D$11)/12),2)</f>
        <v>0</v>
      </c>
      <c r="H256" s="39" t="n">
        <f aca="false">ROUND(AB255*(1+N('My Debts'!$D$12)/12),2)</f>
        <v>0</v>
      </c>
      <c r="I256" s="39" t="n">
        <f aca="false">ROUND(AC255*(1+N('My Debts'!$D$13)/12),2)</f>
        <v>0</v>
      </c>
      <c r="J256" s="39" t="n">
        <f aca="false">ROUND(AD255*(1+N('My Debts'!$D$14)/12),2)</f>
        <v>0</v>
      </c>
      <c r="K256" s="39" t="n">
        <f aca="false">ROUND(AE255*(1+N('My Debts'!$D$15)/12),2)</f>
        <v>0</v>
      </c>
      <c r="L256" s="39" t="n">
        <f aca="false">MIN(N('My Debts'!$E$6),B256)</f>
        <v>0</v>
      </c>
      <c r="M256" s="39" t="n">
        <f aca="false">MIN(N('My Debts'!$E$7),C256)</f>
        <v>0</v>
      </c>
      <c r="N256" s="39" t="n">
        <f aca="false">MIN(N('My Debts'!$E$8),D256)</f>
        <v>0</v>
      </c>
      <c r="O256" s="39" t="n">
        <f aca="false">MIN(N('My Debts'!$E$9),E256)</f>
        <v>0</v>
      </c>
      <c r="P256" s="39" t="n">
        <f aca="false">MIN(N('My Debts'!$E$10),F256)</f>
        <v>0</v>
      </c>
      <c r="Q256" s="39" t="n">
        <f aca="false">MIN(N('My Debts'!$E$11),G256)</f>
        <v>0</v>
      </c>
      <c r="R256" s="39" t="n">
        <f aca="false">MIN(N('My Debts'!$E$12),H256)</f>
        <v>0</v>
      </c>
      <c r="S256" s="39" t="n">
        <f aca="false">MIN(N('My Debts'!$E$13),I256)</f>
        <v>0</v>
      </c>
      <c r="T256" s="39" t="n">
        <f aca="false">MIN(N('My Debts'!$E$14),J256)</f>
        <v>0</v>
      </c>
      <c r="U256" s="39" t="n">
        <f aca="false">MIN(N('My Debts'!$E$15),K256)</f>
        <v>0</v>
      </c>
      <c r="V256" s="39" t="n">
        <f aca="false">ROUND(B256-L256-MIN(B256-L256,MAX(0,$AF256-SUMPRODUCT(--($B$4:$K$4&lt;B$4),$B256:$K256-$L256:$U256))),2)</f>
        <v>0</v>
      </c>
      <c r="W256" s="39" t="n">
        <f aca="false">ROUND(C256-M256-MIN(C256-M256,MAX(0,$AF256-SUMPRODUCT(--($B$4:$K$4&lt;C$4),$B256:$K256-$L256:$U256))),2)</f>
        <v>0</v>
      </c>
      <c r="X256" s="39" t="n">
        <f aca="false">ROUND(D256-N256-MIN(D256-N256,MAX(0,$AF256-SUMPRODUCT(--($B$4:$K$4&lt;D$4),$B256:$K256-$L256:$U256))),2)</f>
        <v>0</v>
      </c>
      <c r="Y256" s="39" t="n">
        <f aca="false">ROUND(E256-O256-MIN(E256-O256,MAX(0,$AF256-SUMPRODUCT(--($B$4:$K$4&lt;E$4),$B256:$K256-$L256:$U256))),2)</f>
        <v>0</v>
      </c>
      <c r="Z256" s="39" t="n">
        <f aca="false">ROUND(F256-P256-MIN(F256-P256,MAX(0,$AF256-SUMPRODUCT(--($B$4:$K$4&lt;F$4),$B256:$K256-$L256:$U256))),2)</f>
        <v>0</v>
      </c>
      <c r="AA256" s="39" t="n">
        <f aca="false">ROUND(G256-Q256-MIN(G256-Q256,MAX(0,$AF256-SUMPRODUCT(--($B$4:$K$4&lt;G$4),$B256:$K256-$L256:$U256))),2)</f>
        <v>0</v>
      </c>
      <c r="AB256" s="39" t="n">
        <f aca="false">ROUND(H256-R256-MIN(H256-R256,MAX(0,$AF256-SUMPRODUCT(--($B$4:$K$4&lt;H$4),$B256:$K256-$L256:$U256))),2)</f>
        <v>0</v>
      </c>
      <c r="AC256" s="39" t="n">
        <f aca="false">ROUND(I256-S256-MIN(I256-S256,MAX(0,$AF256-SUMPRODUCT(--($B$4:$K$4&lt;I$4),$B256:$K256-$L256:$U256))),2)</f>
        <v>0</v>
      </c>
      <c r="AD256" s="39" t="n">
        <f aca="false">ROUND(J256-T256-MIN(J256-T256,MAX(0,$AF256-SUMPRODUCT(--($B$4:$K$4&lt;J$4),$B256:$K256-$L256:$U256))),2)</f>
        <v>0</v>
      </c>
      <c r="AE256" s="39" t="n">
        <f aca="false">ROUND(K256-U256-MIN(K256-U256,MAX(0,$AF256-SUMPRODUCT(--($B$4:$K$4&lt;K$4),$B256:$K256-$L256:$U256))),2)</f>
        <v>0</v>
      </c>
      <c r="AF256" s="39" t="n">
        <f aca="false">MAX(0,'Start Here'!$C$5-SUM($L256:$U256))</f>
        <v>1200</v>
      </c>
      <c r="AG256" s="39" t="n">
        <f aca="false">SUM(V256:AE256)</f>
        <v>0</v>
      </c>
      <c r="AH256" s="39" t="n">
        <f aca="false">SUM(B256:K256)-AG255</f>
        <v>0</v>
      </c>
    </row>
    <row r="257" customFormat="false" ht="15" hidden="false" customHeight="false" outlineLevel="0" collapsed="false">
      <c r="A257" s="40" t="n">
        <f aca="false">DATE(YEAR('Start Here'!$C$6),MONTH('Start Here'!$C$6)+250,1)</f>
        <v>53905</v>
      </c>
      <c r="B257" s="39" t="n">
        <f aca="false">ROUND(V256*(1+N('My Debts'!$D$6)/12),2)</f>
        <v>0</v>
      </c>
      <c r="C257" s="39" t="n">
        <f aca="false">ROUND(W256*(1+N('My Debts'!$D$7)/12),2)</f>
        <v>0</v>
      </c>
      <c r="D257" s="39" t="n">
        <f aca="false">ROUND(X256*(1+N('My Debts'!$D$8)/12),2)</f>
        <v>0</v>
      </c>
      <c r="E257" s="39" t="n">
        <f aca="false">ROUND(Y256*(1+N('My Debts'!$D$9)/12),2)</f>
        <v>0</v>
      </c>
      <c r="F257" s="39" t="n">
        <f aca="false">ROUND(Z256*(1+N('My Debts'!$D$10)/12),2)</f>
        <v>0</v>
      </c>
      <c r="G257" s="39" t="n">
        <f aca="false">ROUND(AA256*(1+N('My Debts'!$D$11)/12),2)</f>
        <v>0</v>
      </c>
      <c r="H257" s="39" t="n">
        <f aca="false">ROUND(AB256*(1+N('My Debts'!$D$12)/12),2)</f>
        <v>0</v>
      </c>
      <c r="I257" s="39" t="n">
        <f aca="false">ROUND(AC256*(1+N('My Debts'!$D$13)/12),2)</f>
        <v>0</v>
      </c>
      <c r="J257" s="39" t="n">
        <f aca="false">ROUND(AD256*(1+N('My Debts'!$D$14)/12),2)</f>
        <v>0</v>
      </c>
      <c r="K257" s="39" t="n">
        <f aca="false">ROUND(AE256*(1+N('My Debts'!$D$15)/12),2)</f>
        <v>0</v>
      </c>
      <c r="L257" s="39" t="n">
        <f aca="false">MIN(N('My Debts'!$E$6),B257)</f>
        <v>0</v>
      </c>
      <c r="M257" s="39" t="n">
        <f aca="false">MIN(N('My Debts'!$E$7),C257)</f>
        <v>0</v>
      </c>
      <c r="N257" s="39" t="n">
        <f aca="false">MIN(N('My Debts'!$E$8),D257)</f>
        <v>0</v>
      </c>
      <c r="O257" s="39" t="n">
        <f aca="false">MIN(N('My Debts'!$E$9),E257)</f>
        <v>0</v>
      </c>
      <c r="P257" s="39" t="n">
        <f aca="false">MIN(N('My Debts'!$E$10),F257)</f>
        <v>0</v>
      </c>
      <c r="Q257" s="39" t="n">
        <f aca="false">MIN(N('My Debts'!$E$11),G257)</f>
        <v>0</v>
      </c>
      <c r="R257" s="39" t="n">
        <f aca="false">MIN(N('My Debts'!$E$12),H257)</f>
        <v>0</v>
      </c>
      <c r="S257" s="39" t="n">
        <f aca="false">MIN(N('My Debts'!$E$13),I257)</f>
        <v>0</v>
      </c>
      <c r="T257" s="39" t="n">
        <f aca="false">MIN(N('My Debts'!$E$14),J257)</f>
        <v>0</v>
      </c>
      <c r="U257" s="39" t="n">
        <f aca="false">MIN(N('My Debts'!$E$15),K257)</f>
        <v>0</v>
      </c>
      <c r="V257" s="39" t="n">
        <f aca="false">ROUND(B257-L257-MIN(B257-L257,MAX(0,$AF257-SUMPRODUCT(--($B$4:$K$4&lt;B$4),$B257:$K257-$L257:$U257))),2)</f>
        <v>0</v>
      </c>
      <c r="W257" s="39" t="n">
        <f aca="false">ROUND(C257-M257-MIN(C257-M257,MAX(0,$AF257-SUMPRODUCT(--($B$4:$K$4&lt;C$4),$B257:$K257-$L257:$U257))),2)</f>
        <v>0</v>
      </c>
      <c r="X257" s="39" t="n">
        <f aca="false">ROUND(D257-N257-MIN(D257-N257,MAX(0,$AF257-SUMPRODUCT(--($B$4:$K$4&lt;D$4),$B257:$K257-$L257:$U257))),2)</f>
        <v>0</v>
      </c>
      <c r="Y257" s="39" t="n">
        <f aca="false">ROUND(E257-O257-MIN(E257-O257,MAX(0,$AF257-SUMPRODUCT(--($B$4:$K$4&lt;E$4),$B257:$K257-$L257:$U257))),2)</f>
        <v>0</v>
      </c>
      <c r="Z257" s="39" t="n">
        <f aca="false">ROUND(F257-P257-MIN(F257-P257,MAX(0,$AF257-SUMPRODUCT(--($B$4:$K$4&lt;F$4),$B257:$K257-$L257:$U257))),2)</f>
        <v>0</v>
      </c>
      <c r="AA257" s="39" t="n">
        <f aca="false">ROUND(G257-Q257-MIN(G257-Q257,MAX(0,$AF257-SUMPRODUCT(--($B$4:$K$4&lt;G$4),$B257:$K257-$L257:$U257))),2)</f>
        <v>0</v>
      </c>
      <c r="AB257" s="39" t="n">
        <f aca="false">ROUND(H257-R257-MIN(H257-R257,MAX(0,$AF257-SUMPRODUCT(--($B$4:$K$4&lt;H$4),$B257:$K257-$L257:$U257))),2)</f>
        <v>0</v>
      </c>
      <c r="AC257" s="39" t="n">
        <f aca="false">ROUND(I257-S257-MIN(I257-S257,MAX(0,$AF257-SUMPRODUCT(--($B$4:$K$4&lt;I$4),$B257:$K257-$L257:$U257))),2)</f>
        <v>0</v>
      </c>
      <c r="AD257" s="39" t="n">
        <f aca="false">ROUND(J257-T257-MIN(J257-T257,MAX(0,$AF257-SUMPRODUCT(--($B$4:$K$4&lt;J$4),$B257:$K257-$L257:$U257))),2)</f>
        <v>0</v>
      </c>
      <c r="AE257" s="39" t="n">
        <f aca="false">ROUND(K257-U257-MIN(K257-U257,MAX(0,$AF257-SUMPRODUCT(--($B$4:$K$4&lt;K$4),$B257:$K257-$L257:$U257))),2)</f>
        <v>0</v>
      </c>
      <c r="AF257" s="39" t="n">
        <f aca="false">MAX(0,'Start Here'!$C$5-SUM($L257:$U257))</f>
        <v>1200</v>
      </c>
      <c r="AG257" s="39" t="n">
        <f aca="false">SUM(V257:AE257)</f>
        <v>0</v>
      </c>
      <c r="AH257" s="39" t="n">
        <f aca="false">SUM(B257:K257)-AG256</f>
        <v>0</v>
      </c>
    </row>
    <row r="258" customFormat="false" ht="15" hidden="false" customHeight="false" outlineLevel="0" collapsed="false">
      <c r="A258" s="40" t="n">
        <f aca="false">DATE(YEAR('Start Here'!$C$6),MONTH('Start Here'!$C$6)+251,1)</f>
        <v>53936</v>
      </c>
      <c r="B258" s="39" t="n">
        <f aca="false">ROUND(V257*(1+N('My Debts'!$D$6)/12),2)</f>
        <v>0</v>
      </c>
      <c r="C258" s="39" t="n">
        <f aca="false">ROUND(W257*(1+N('My Debts'!$D$7)/12),2)</f>
        <v>0</v>
      </c>
      <c r="D258" s="39" t="n">
        <f aca="false">ROUND(X257*(1+N('My Debts'!$D$8)/12),2)</f>
        <v>0</v>
      </c>
      <c r="E258" s="39" t="n">
        <f aca="false">ROUND(Y257*(1+N('My Debts'!$D$9)/12),2)</f>
        <v>0</v>
      </c>
      <c r="F258" s="39" t="n">
        <f aca="false">ROUND(Z257*(1+N('My Debts'!$D$10)/12),2)</f>
        <v>0</v>
      </c>
      <c r="G258" s="39" t="n">
        <f aca="false">ROUND(AA257*(1+N('My Debts'!$D$11)/12),2)</f>
        <v>0</v>
      </c>
      <c r="H258" s="39" t="n">
        <f aca="false">ROUND(AB257*(1+N('My Debts'!$D$12)/12),2)</f>
        <v>0</v>
      </c>
      <c r="I258" s="39" t="n">
        <f aca="false">ROUND(AC257*(1+N('My Debts'!$D$13)/12),2)</f>
        <v>0</v>
      </c>
      <c r="J258" s="39" t="n">
        <f aca="false">ROUND(AD257*(1+N('My Debts'!$D$14)/12),2)</f>
        <v>0</v>
      </c>
      <c r="K258" s="39" t="n">
        <f aca="false">ROUND(AE257*(1+N('My Debts'!$D$15)/12),2)</f>
        <v>0</v>
      </c>
      <c r="L258" s="39" t="n">
        <f aca="false">MIN(N('My Debts'!$E$6),B258)</f>
        <v>0</v>
      </c>
      <c r="M258" s="39" t="n">
        <f aca="false">MIN(N('My Debts'!$E$7),C258)</f>
        <v>0</v>
      </c>
      <c r="N258" s="39" t="n">
        <f aca="false">MIN(N('My Debts'!$E$8),D258)</f>
        <v>0</v>
      </c>
      <c r="O258" s="39" t="n">
        <f aca="false">MIN(N('My Debts'!$E$9),E258)</f>
        <v>0</v>
      </c>
      <c r="P258" s="39" t="n">
        <f aca="false">MIN(N('My Debts'!$E$10),F258)</f>
        <v>0</v>
      </c>
      <c r="Q258" s="39" t="n">
        <f aca="false">MIN(N('My Debts'!$E$11),G258)</f>
        <v>0</v>
      </c>
      <c r="R258" s="39" t="n">
        <f aca="false">MIN(N('My Debts'!$E$12),H258)</f>
        <v>0</v>
      </c>
      <c r="S258" s="39" t="n">
        <f aca="false">MIN(N('My Debts'!$E$13),I258)</f>
        <v>0</v>
      </c>
      <c r="T258" s="39" t="n">
        <f aca="false">MIN(N('My Debts'!$E$14),J258)</f>
        <v>0</v>
      </c>
      <c r="U258" s="39" t="n">
        <f aca="false">MIN(N('My Debts'!$E$15),K258)</f>
        <v>0</v>
      </c>
      <c r="V258" s="39" t="n">
        <f aca="false">ROUND(B258-L258-MIN(B258-L258,MAX(0,$AF258-SUMPRODUCT(--($B$4:$K$4&lt;B$4),$B258:$K258-$L258:$U258))),2)</f>
        <v>0</v>
      </c>
      <c r="W258" s="39" t="n">
        <f aca="false">ROUND(C258-M258-MIN(C258-M258,MAX(0,$AF258-SUMPRODUCT(--($B$4:$K$4&lt;C$4),$B258:$K258-$L258:$U258))),2)</f>
        <v>0</v>
      </c>
      <c r="X258" s="39" t="n">
        <f aca="false">ROUND(D258-N258-MIN(D258-N258,MAX(0,$AF258-SUMPRODUCT(--($B$4:$K$4&lt;D$4),$B258:$K258-$L258:$U258))),2)</f>
        <v>0</v>
      </c>
      <c r="Y258" s="39" t="n">
        <f aca="false">ROUND(E258-O258-MIN(E258-O258,MAX(0,$AF258-SUMPRODUCT(--($B$4:$K$4&lt;E$4),$B258:$K258-$L258:$U258))),2)</f>
        <v>0</v>
      </c>
      <c r="Z258" s="39" t="n">
        <f aca="false">ROUND(F258-P258-MIN(F258-P258,MAX(0,$AF258-SUMPRODUCT(--($B$4:$K$4&lt;F$4),$B258:$K258-$L258:$U258))),2)</f>
        <v>0</v>
      </c>
      <c r="AA258" s="39" t="n">
        <f aca="false">ROUND(G258-Q258-MIN(G258-Q258,MAX(0,$AF258-SUMPRODUCT(--($B$4:$K$4&lt;G$4),$B258:$K258-$L258:$U258))),2)</f>
        <v>0</v>
      </c>
      <c r="AB258" s="39" t="n">
        <f aca="false">ROUND(H258-R258-MIN(H258-R258,MAX(0,$AF258-SUMPRODUCT(--($B$4:$K$4&lt;H$4),$B258:$K258-$L258:$U258))),2)</f>
        <v>0</v>
      </c>
      <c r="AC258" s="39" t="n">
        <f aca="false">ROUND(I258-S258-MIN(I258-S258,MAX(0,$AF258-SUMPRODUCT(--($B$4:$K$4&lt;I$4),$B258:$K258-$L258:$U258))),2)</f>
        <v>0</v>
      </c>
      <c r="AD258" s="39" t="n">
        <f aca="false">ROUND(J258-T258-MIN(J258-T258,MAX(0,$AF258-SUMPRODUCT(--($B$4:$K$4&lt;J$4),$B258:$K258-$L258:$U258))),2)</f>
        <v>0</v>
      </c>
      <c r="AE258" s="39" t="n">
        <f aca="false">ROUND(K258-U258-MIN(K258-U258,MAX(0,$AF258-SUMPRODUCT(--($B$4:$K$4&lt;K$4),$B258:$K258-$L258:$U258))),2)</f>
        <v>0</v>
      </c>
      <c r="AF258" s="39" t="n">
        <f aca="false">MAX(0,'Start Here'!$C$5-SUM($L258:$U258))</f>
        <v>1200</v>
      </c>
      <c r="AG258" s="39" t="n">
        <f aca="false">SUM(V258:AE258)</f>
        <v>0</v>
      </c>
      <c r="AH258" s="39" t="n">
        <f aca="false">SUM(B258:K258)-AG257</f>
        <v>0</v>
      </c>
    </row>
    <row r="259" customFormat="false" ht="15" hidden="false" customHeight="false" outlineLevel="0" collapsed="false">
      <c r="A259" s="40" t="n">
        <f aca="false">DATE(YEAR('Start Here'!$C$6),MONTH('Start Here'!$C$6)+252,1)</f>
        <v>53966</v>
      </c>
      <c r="B259" s="39" t="n">
        <f aca="false">ROUND(V258*(1+N('My Debts'!$D$6)/12),2)</f>
        <v>0</v>
      </c>
      <c r="C259" s="39" t="n">
        <f aca="false">ROUND(W258*(1+N('My Debts'!$D$7)/12),2)</f>
        <v>0</v>
      </c>
      <c r="D259" s="39" t="n">
        <f aca="false">ROUND(X258*(1+N('My Debts'!$D$8)/12),2)</f>
        <v>0</v>
      </c>
      <c r="E259" s="39" t="n">
        <f aca="false">ROUND(Y258*(1+N('My Debts'!$D$9)/12),2)</f>
        <v>0</v>
      </c>
      <c r="F259" s="39" t="n">
        <f aca="false">ROUND(Z258*(1+N('My Debts'!$D$10)/12),2)</f>
        <v>0</v>
      </c>
      <c r="G259" s="39" t="n">
        <f aca="false">ROUND(AA258*(1+N('My Debts'!$D$11)/12),2)</f>
        <v>0</v>
      </c>
      <c r="H259" s="39" t="n">
        <f aca="false">ROUND(AB258*(1+N('My Debts'!$D$12)/12),2)</f>
        <v>0</v>
      </c>
      <c r="I259" s="39" t="n">
        <f aca="false">ROUND(AC258*(1+N('My Debts'!$D$13)/12),2)</f>
        <v>0</v>
      </c>
      <c r="J259" s="39" t="n">
        <f aca="false">ROUND(AD258*(1+N('My Debts'!$D$14)/12),2)</f>
        <v>0</v>
      </c>
      <c r="K259" s="39" t="n">
        <f aca="false">ROUND(AE258*(1+N('My Debts'!$D$15)/12),2)</f>
        <v>0</v>
      </c>
      <c r="L259" s="39" t="n">
        <f aca="false">MIN(N('My Debts'!$E$6),B259)</f>
        <v>0</v>
      </c>
      <c r="M259" s="39" t="n">
        <f aca="false">MIN(N('My Debts'!$E$7),C259)</f>
        <v>0</v>
      </c>
      <c r="N259" s="39" t="n">
        <f aca="false">MIN(N('My Debts'!$E$8),D259)</f>
        <v>0</v>
      </c>
      <c r="O259" s="39" t="n">
        <f aca="false">MIN(N('My Debts'!$E$9),E259)</f>
        <v>0</v>
      </c>
      <c r="P259" s="39" t="n">
        <f aca="false">MIN(N('My Debts'!$E$10),F259)</f>
        <v>0</v>
      </c>
      <c r="Q259" s="39" t="n">
        <f aca="false">MIN(N('My Debts'!$E$11),G259)</f>
        <v>0</v>
      </c>
      <c r="R259" s="39" t="n">
        <f aca="false">MIN(N('My Debts'!$E$12),H259)</f>
        <v>0</v>
      </c>
      <c r="S259" s="39" t="n">
        <f aca="false">MIN(N('My Debts'!$E$13),I259)</f>
        <v>0</v>
      </c>
      <c r="T259" s="39" t="n">
        <f aca="false">MIN(N('My Debts'!$E$14),J259)</f>
        <v>0</v>
      </c>
      <c r="U259" s="39" t="n">
        <f aca="false">MIN(N('My Debts'!$E$15),K259)</f>
        <v>0</v>
      </c>
      <c r="V259" s="39" t="n">
        <f aca="false">ROUND(B259-L259-MIN(B259-L259,MAX(0,$AF259-SUMPRODUCT(--($B$4:$K$4&lt;B$4),$B259:$K259-$L259:$U259))),2)</f>
        <v>0</v>
      </c>
      <c r="W259" s="39" t="n">
        <f aca="false">ROUND(C259-M259-MIN(C259-M259,MAX(0,$AF259-SUMPRODUCT(--($B$4:$K$4&lt;C$4),$B259:$K259-$L259:$U259))),2)</f>
        <v>0</v>
      </c>
      <c r="X259" s="39" t="n">
        <f aca="false">ROUND(D259-N259-MIN(D259-N259,MAX(0,$AF259-SUMPRODUCT(--($B$4:$K$4&lt;D$4),$B259:$K259-$L259:$U259))),2)</f>
        <v>0</v>
      </c>
      <c r="Y259" s="39" t="n">
        <f aca="false">ROUND(E259-O259-MIN(E259-O259,MAX(0,$AF259-SUMPRODUCT(--($B$4:$K$4&lt;E$4),$B259:$K259-$L259:$U259))),2)</f>
        <v>0</v>
      </c>
      <c r="Z259" s="39" t="n">
        <f aca="false">ROUND(F259-P259-MIN(F259-P259,MAX(0,$AF259-SUMPRODUCT(--($B$4:$K$4&lt;F$4),$B259:$K259-$L259:$U259))),2)</f>
        <v>0</v>
      </c>
      <c r="AA259" s="39" t="n">
        <f aca="false">ROUND(G259-Q259-MIN(G259-Q259,MAX(0,$AF259-SUMPRODUCT(--($B$4:$K$4&lt;G$4),$B259:$K259-$L259:$U259))),2)</f>
        <v>0</v>
      </c>
      <c r="AB259" s="39" t="n">
        <f aca="false">ROUND(H259-R259-MIN(H259-R259,MAX(0,$AF259-SUMPRODUCT(--($B$4:$K$4&lt;H$4),$B259:$K259-$L259:$U259))),2)</f>
        <v>0</v>
      </c>
      <c r="AC259" s="39" t="n">
        <f aca="false">ROUND(I259-S259-MIN(I259-S259,MAX(0,$AF259-SUMPRODUCT(--($B$4:$K$4&lt;I$4),$B259:$K259-$L259:$U259))),2)</f>
        <v>0</v>
      </c>
      <c r="AD259" s="39" t="n">
        <f aca="false">ROUND(J259-T259-MIN(J259-T259,MAX(0,$AF259-SUMPRODUCT(--($B$4:$K$4&lt;J$4),$B259:$K259-$L259:$U259))),2)</f>
        <v>0</v>
      </c>
      <c r="AE259" s="39" t="n">
        <f aca="false">ROUND(K259-U259-MIN(K259-U259,MAX(0,$AF259-SUMPRODUCT(--($B$4:$K$4&lt;K$4),$B259:$K259-$L259:$U259))),2)</f>
        <v>0</v>
      </c>
      <c r="AF259" s="39" t="n">
        <f aca="false">MAX(0,'Start Here'!$C$5-SUM($L259:$U259))</f>
        <v>1200</v>
      </c>
      <c r="AG259" s="39" t="n">
        <f aca="false">SUM(V259:AE259)</f>
        <v>0</v>
      </c>
      <c r="AH259" s="39" t="n">
        <f aca="false">SUM(B259:K259)-AG258</f>
        <v>0</v>
      </c>
    </row>
    <row r="260" customFormat="false" ht="15" hidden="false" customHeight="false" outlineLevel="0" collapsed="false">
      <c r="A260" s="40" t="n">
        <f aca="false">DATE(YEAR('Start Here'!$C$6),MONTH('Start Here'!$C$6)+253,1)</f>
        <v>53997</v>
      </c>
      <c r="B260" s="39" t="n">
        <f aca="false">ROUND(V259*(1+N('My Debts'!$D$6)/12),2)</f>
        <v>0</v>
      </c>
      <c r="C260" s="39" t="n">
        <f aca="false">ROUND(W259*(1+N('My Debts'!$D$7)/12),2)</f>
        <v>0</v>
      </c>
      <c r="D260" s="39" t="n">
        <f aca="false">ROUND(X259*(1+N('My Debts'!$D$8)/12),2)</f>
        <v>0</v>
      </c>
      <c r="E260" s="39" t="n">
        <f aca="false">ROUND(Y259*(1+N('My Debts'!$D$9)/12),2)</f>
        <v>0</v>
      </c>
      <c r="F260" s="39" t="n">
        <f aca="false">ROUND(Z259*(1+N('My Debts'!$D$10)/12),2)</f>
        <v>0</v>
      </c>
      <c r="G260" s="39" t="n">
        <f aca="false">ROUND(AA259*(1+N('My Debts'!$D$11)/12),2)</f>
        <v>0</v>
      </c>
      <c r="H260" s="39" t="n">
        <f aca="false">ROUND(AB259*(1+N('My Debts'!$D$12)/12),2)</f>
        <v>0</v>
      </c>
      <c r="I260" s="39" t="n">
        <f aca="false">ROUND(AC259*(1+N('My Debts'!$D$13)/12),2)</f>
        <v>0</v>
      </c>
      <c r="J260" s="39" t="n">
        <f aca="false">ROUND(AD259*(1+N('My Debts'!$D$14)/12),2)</f>
        <v>0</v>
      </c>
      <c r="K260" s="39" t="n">
        <f aca="false">ROUND(AE259*(1+N('My Debts'!$D$15)/12),2)</f>
        <v>0</v>
      </c>
      <c r="L260" s="39" t="n">
        <f aca="false">MIN(N('My Debts'!$E$6),B260)</f>
        <v>0</v>
      </c>
      <c r="M260" s="39" t="n">
        <f aca="false">MIN(N('My Debts'!$E$7),C260)</f>
        <v>0</v>
      </c>
      <c r="N260" s="39" t="n">
        <f aca="false">MIN(N('My Debts'!$E$8),D260)</f>
        <v>0</v>
      </c>
      <c r="O260" s="39" t="n">
        <f aca="false">MIN(N('My Debts'!$E$9),E260)</f>
        <v>0</v>
      </c>
      <c r="P260" s="39" t="n">
        <f aca="false">MIN(N('My Debts'!$E$10),F260)</f>
        <v>0</v>
      </c>
      <c r="Q260" s="39" t="n">
        <f aca="false">MIN(N('My Debts'!$E$11),G260)</f>
        <v>0</v>
      </c>
      <c r="R260" s="39" t="n">
        <f aca="false">MIN(N('My Debts'!$E$12),H260)</f>
        <v>0</v>
      </c>
      <c r="S260" s="39" t="n">
        <f aca="false">MIN(N('My Debts'!$E$13),I260)</f>
        <v>0</v>
      </c>
      <c r="T260" s="39" t="n">
        <f aca="false">MIN(N('My Debts'!$E$14),J260)</f>
        <v>0</v>
      </c>
      <c r="U260" s="39" t="n">
        <f aca="false">MIN(N('My Debts'!$E$15),K260)</f>
        <v>0</v>
      </c>
      <c r="V260" s="39" t="n">
        <f aca="false">ROUND(B260-L260-MIN(B260-L260,MAX(0,$AF260-SUMPRODUCT(--($B$4:$K$4&lt;B$4),$B260:$K260-$L260:$U260))),2)</f>
        <v>0</v>
      </c>
      <c r="W260" s="39" t="n">
        <f aca="false">ROUND(C260-M260-MIN(C260-M260,MAX(0,$AF260-SUMPRODUCT(--($B$4:$K$4&lt;C$4),$B260:$K260-$L260:$U260))),2)</f>
        <v>0</v>
      </c>
      <c r="X260" s="39" t="n">
        <f aca="false">ROUND(D260-N260-MIN(D260-N260,MAX(0,$AF260-SUMPRODUCT(--($B$4:$K$4&lt;D$4),$B260:$K260-$L260:$U260))),2)</f>
        <v>0</v>
      </c>
      <c r="Y260" s="39" t="n">
        <f aca="false">ROUND(E260-O260-MIN(E260-O260,MAX(0,$AF260-SUMPRODUCT(--($B$4:$K$4&lt;E$4),$B260:$K260-$L260:$U260))),2)</f>
        <v>0</v>
      </c>
      <c r="Z260" s="39" t="n">
        <f aca="false">ROUND(F260-P260-MIN(F260-P260,MAX(0,$AF260-SUMPRODUCT(--($B$4:$K$4&lt;F$4),$B260:$K260-$L260:$U260))),2)</f>
        <v>0</v>
      </c>
      <c r="AA260" s="39" t="n">
        <f aca="false">ROUND(G260-Q260-MIN(G260-Q260,MAX(0,$AF260-SUMPRODUCT(--($B$4:$K$4&lt;G$4),$B260:$K260-$L260:$U260))),2)</f>
        <v>0</v>
      </c>
      <c r="AB260" s="39" t="n">
        <f aca="false">ROUND(H260-R260-MIN(H260-R260,MAX(0,$AF260-SUMPRODUCT(--($B$4:$K$4&lt;H$4),$B260:$K260-$L260:$U260))),2)</f>
        <v>0</v>
      </c>
      <c r="AC260" s="39" t="n">
        <f aca="false">ROUND(I260-S260-MIN(I260-S260,MAX(0,$AF260-SUMPRODUCT(--($B$4:$K$4&lt;I$4),$B260:$K260-$L260:$U260))),2)</f>
        <v>0</v>
      </c>
      <c r="AD260" s="39" t="n">
        <f aca="false">ROUND(J260-T260-MIN(J260-T260,MAX(0,$AF260-SUMPRODUCT(--($B$4:$K$4&lt;J$4),$B260:$K260-$L260:$U260))),2)</f>
        <v>0</v>
      </c>
      <c r="AE260" s="39" t="n">
        <f aca="false">ROUND(K260-U260-MIN(K260-U260,MAX(0,$AF260-SUMPRODUCT(--($B$4:$K$4&lt;K$4),$B260:$K260-$L260:$U260))),2)</f>
        <v>0</v>
      </c>
      <c r="AF260" s="39" t="n">
        <f aca="false">MAX(0,'Start Here'!$C$5-SUM($L260:$U260))</f>
        <v>1200</v>
      </c>
      <c r="AG260" s="39" t="n">
        <f aca="false">SUM(V260:AE260)</f>
        <v>0</v>
      </c>
      <c r="AH260" s="39" t="n">
        <f aca="false">SUM(B260:K260)-AG259</f>
        <v>0</v>
      </c>
    </row>
    <row r="261" customFormat="false" ht="15" hidden="false" customHeight="false" outlineLevel="0" collapsed="false">
      <c r="A261" s="40" t="n">
        <f aca="false">DATE(YEAR('Start Here'!$C$6),MONTH('Start Here'!$C$6)+254,1)</f>
        <v>54027</v>
      </c>
      <c r="B261" s="39" t="n">
        <f aca="false">ROUND(V260*(1+N('My Debts'!$D$6)/12),2)</f>
        <v>0</v>
      </c>
      <c r="C261" s="39" t="n">
        <f aca="false">ROUND(W260*(1+N('My Debts'!$D$7)/12),2)</f>
        <v>0</v>
      </c>
      <c r="D261" s="39" t="n">
        <f aca="false">ROUND(X260*(1+N('My Debts'!$D$8)/12),2)</f>
        <v>0</v>
      </c>
      <c r="E261" s="39" t="n">
        <f aca="false">ROUND(Y260*(1+N('My Debts'!$D$9)/12),2)</f>
        <v>0</v>
      </c>
      <c r="F261" s="39" t="n">
        <f aca="false">ROUND(Z260*(1+N('My Debts'!$D$10)/12),2)</f>
        <v>0</v>
      </c>
      <c r="G261" s="39" t="n">
        <f aca="false">ROUND(AA260*(1+N('My Debts'!$D$11)/12),2)</f>
        <v>0</v>
      </c>
      <c r="H261" s="39" t="n">
        <f aca="false">ROUND(AB260*(1+N('My Debts'!$D$12)/12),2)</f>
        <v>0</v>
      </c>
      <c r="I261" s="39" t="n">
        <f aca="false">ROUND(AC260*(1+N('My Debts'!$D$13)/12),2)</f>
        <v>0</v>
      </c>
      <c r="J261" s="39" t="n">
        <f aca="false">ROUND(AD260*(1+N('My Debts'!$D$14)/12),2)</f>
        <v>0</v>
      </c>
      <c r="K261" s="39" t="n">
        <f aca="false">ROUND(AE260*(1+N('My Debts'!$D$15)/12),2)</f>
        <v>0</v>
      </c>
      <c r="L261" s="39" t="n">
        <f aca="false">MIN(N('My Debts'!$E$6),B261)</f>
        <v>0</v>
      </c>
      <c r="M261" s="39" t="n">
        <f aca="false">MIN(N('My Debts'!$E$7),C261)</f>
        <v>0</v>
      </c>
      <c r="N261" s="39" t="n">
        <f aca="false">MIN(N('My Debts'!$E$8),D261)</f>
        <v>0</v>
      </c>
      <c r="O261" s="39" t="n">
        <f aca="false">MIN(N('My Debts'!$E$9),E261)</f>
        <v>0</v>
      </c>
      <c r="P261" s="39" t="n">
        <f aca="false">MIN(N('My Debts'!$E$10),F261)</f>
        <v>0</v>
      </c>
      <c r="Q261" s="39" t="n">
        <f aca="false">MIN(N('My Debts'!$E$11),G261)</f>
        <v>0</v>
      </c>
      <c r="R261" s="39" t="n">
        <f aca="false">MIN(N('My Debts'!$E$12),H261)</f>
        <v>0</v>
      </c>
      <c r="S261" s="39" t="n">
        <f aca="false">MIN(N('My Debts'!$E$13),I261)</f>
        <v>0</v>
      </c>
      <c r="T261" s="39" t="n">
        <f aca="false">MIN(N('My Debts'!$E$14),J261)</f>
        <v>0</v>
      </c>
      <c r="U261" s="39" t="n">
        <f aca="false">MIN(N('My Debts'!$E$15),K261)</f>
        <v>0</v>
      </c>
      <c r="V261" s="39" t="n">
        <f aca="false">ROUND(B261-L261-MIN(B261-L261,MAX(0,$AF261-SUMPRODUCT(--($B$4:$K$4&lt;B$4),$B261:$K261-$L261:$U261))),2)</f>
        <v>0</v>
      </c>
      <c r="W261" s="39" t="n">
        <f aca="false">ROUND(C261-M261-MIN(C261-M261,MAX(0,$AF261-SUMPRODUCT(--($B$4:$K$4&lt;C$4),$B261:$K261-$L261:$U261))),2)</f>
        <v>0</v>
      </c>
      <c r="X261" s="39" t="n">
        <f aca="false">ROUND(D261-N261-MIN(D261-N261,MAX(0,$AF261-SUMPRODUCT(--($B$4:$K$4&lt;D$4),$B261:$K261-$L261:$U261))),2)</f>
        <v>0</v>
      </c>
      <c r="Y261" s="39" t="n">
        <f aca="false">ROUND(E261-O261-MIN(E261-O261,MAX(0,$AF261-SUMPRODUCT(--($B$4:$K$4&lt;E$4),$B261:$K261-$L261:$U261))),2)</f>
        <v>0</v>
      </c>
      <c r="Z261" s="39" t="n">
        <f aca="false">ROUND(F261-P261-MIN(F261-P261,MAX(0,$AF261-SUMPRODUCT(--($B$4:$K$4&lt;F$4),$B261:$K261-$L261:$U261))),2)</f>
        <v>0</v>
      </c>
      <c r="AA261" s="39" t="n">
        <f aca="false">ROUND(G261-Q261-MIN(G261-Q261,MAX(0,$AF261-SUMPRODUCT(--($B$4:$K$4&lt;G$4),$B261:$K261-$L261:$U261))),2)</f>
        <v>0</v>
      </c>
      <c r="AB261" s="39" t="n">
        <f aca="false">ROUND(H261-R261-MIN(H261-R261,MAX(0,$AF261-SUMPRODUCT(--($B$4:$K$4&lt;H$4),$B261:$K261-$L261:$U261))),2)</f>
        <v>0</v>
      </c>
      <c r="AC261" s="39" t="n">
        <f aca="false">ROUND(I261-S261-MIN(I261-S261,MAX(0,$AF261-SUMPRODUCT(--($B$4:$K$4&lt;I$4),$B261:$K261-$L261:$U261))),2)</f>
        <v>0</v>
      </c>
      <c r="AD261" s="39" t="n">
        <f aca="false">ROUND(J261-T261-MIN(J261-T261,MAX(0,$AF261-SUMPRODUCT(--($B$4:$K$4&lt;J$4),$B261:$K261-$L261:$U261))),2)</f>
        <v>0</v>
      </c>
      <c r="AE261" s="39" t="n">
        <f aca="false">ROUND(K261-U261-MIN(K261-U261,MAX(0,$AF261-SUMPRODUCT(--($B$4:$K$4&lt;K$4),$B261:$K261-$L261:$U261))),2)</f>
        <v>0</v>
      </c>
      <c r="AF261" s="39" t="n">
        <f aca="false">MAX(0,'Start Here'!$C$5-SUM($L261:$U261))</f>
        <v>1200</v>
      </c>
      <c r="AG261" s="39" t="n">
        <f aca="false">SUM(V261:AE261)</f>
        <v>0</v>
      </c>
      <c r="AH261" s="39" t="n">
        <f aca="false">SUM(B261:K261)-AG260</f>
        <v>0</v>
      </c>
    </row>
    <row r="262" customFormat="false" ht="15" hidden="false" customHeight="false" outlineLevel="0" collapsed="false">
      <c r="A262" s="40" t="n">
        <f aca="false">DATE(YEAR('Start Here'!$C$6),MONTH('Start Here'!$C$6)+255,1)</f>
        <v>54058</v>
      </c>
      <c r="B262" s="39" t="n">
        <f aca="false">ROUND(V261*(1+N('My Debts'!$D$6)/12),2)</f>
        <v>0</v>
      </c>
      <c r="C262" s="39" t="n">
        <f aca="false">ROUND(W261*(1+N('My Debts'!$D$7)/12),2)</f>
        <v>0</v>
      </c>
      <c r="D262" s="39" t="n">
        <f aca="false">ROUND(X261*(1+N('My Debts'!$D$8)/12),2)</f>
        <v>0</v>
      </c>
      <c r="E262" s="39" t="n">
        <f aca="false">ROUND(Y261*(1+N('My Debts'!$D$9)/12),2)</f>
        <v>0</v>
      </c>
      <c r="F262" s="39" t="n">
        <f aca="false">ROUND(Z261*(1+N('My Debts'!$D$10)/12),2)</f>
        <v>0</v>
      </c>
      <c r="G262" s="39" t="n">
        <f aca="false">ROUND(AA261*(1+N('My Debts'!$D$11)/12),2)</f>
        <v>0</v>
      </c>
      <c r="H262" s="39" t="n">
        <f aca="false">ROUND(AB261*(1+N('My Debts'!$D$12)/12),2)</f>
        <v>0</v>
      </c>
      <c r="I262" s="39" t="n">
        <f aca="false">ROUND(AC261*(1+N('My Debts'!$D$13)/12),2)</f>
        <v>0</v>
      </c>
      <c r="J262" s="39" t="n">
        <f aca="false">ROUND(AD261*(1+N('My Debts'!$D$14)/12),2)</f>
        <v>0</v>
      </c>
      <c r="K262" s="39" t="n">
        <f aca="false">ROUND(AE261*(1+N('My Debts'!$D$15)/12),2)</f>
        <v>0</v>
      </c>
      <c r="L262" s="39" t="n">
        <f aca="false">MIN(N('My Debts'!$E$6),B262)</f>
        <v>0</v>
      </c>
      <c r="M262" s="39" t="n">
        <f aca="false">MIN(N('My Debts'!$E$7),C262)</f>
        <v>0</v>
      </c>
      <c r="N262" s="39" t="n">
        <f aca="false">MIN(N('My Debts'!$E$8),D262)</f>
        <v>0</v>
      </c>
      <c r="O262" s="39" t="n">
        <f aca="false">MIN(N('My Debts'!$E$9),E262)</f>
        <v>0</v>
      </c>
      <c r="P262" s="39" t="n">
        <f aca="false">MIN(N('My Debts'!$E$10),F262)</f>
        <v>0</v>
      </c>
      <c r="Q262" s="39" t="n">
        <f aca="false">MIN(N('My Debts'!$E$11),G262)</f>
        <v>0</v>
      </c>
      <c r="R262" s="39" t="n">
        <f aca="false">MIN(N('My Debts'!$E$12),H262)</f>
        <v>0</v>
      </c>
      <c r="S262" s="39" t="n">
        <f aca="false">MIN(N('My Debts'!$E$13),I262)</f>
        <v>0</v>
      </c>
      <c r="T262" s="39" t="n">
        <f aca="false">MIN(N('My Debts'!$E$14),J262)</f>
        <v>0</v>
      </c>
      <c r="U262" s="39" t="n">
        <f aca="false">MIN(N('My Debts'!$E$15),K262)</f>
        <v>0</v>
      </c>
      <c r="V262" s="39" t="n">
        <f aca="false">ROUND(B262-L262-MIN(B262-L262,MAX(0,$AF262-SUMPRODUCT(--($B$4:$K$4&lt;B$4),$B262:$K262-$L262:$U262))),2)</f>
        <v>0</v>
      </c>
      <c r="W262" s="39" t="n">
        <f aca="false">ROUND(C262-M262-MIN(C262-M262,MAX(0,$AF262-SUMPRODUCT(--($B$4:$K$4&lt;C$4),$B262:$K262-$L262:$U262))),2)</f>
        <v>0</v>
      </c>
      <c r="X262" s="39" t="n">
        <f aca="false">ROUND(D262-N262-MIN(D262-N262,MAX(0,$AF262-SUMPRODUCT(--($B$4:$K$4&lt;D$4),$B262:$K262-$L262:$U262))),2)</f>
        <v>0</v>
      </c>
      <c r="Y262" s="39" t="n">
        <f aca="false">ROUND(E262-O262-MIN(E262-O262,MAX(0,$AF262-SUMPRODUCT(--($B$4:$K$4&lt;E$4),$B262:$K262-$L262:$U262))),2)</f>
        <v>0</v>
      </c>
      <c r="Z262" s="39" t="n">
        <f aca="false">ROUND(F262-P262-MIN(F262-P262,MAX(0,$AF262-SUMPRODUCT(--($B$4:$K$4&lt;F$4),$B262:$K262-$L262:$U262))),2)</f>
        <v>0</v>
      </c>
      <c r="AA262" s="39" t="n">
        <f aca="false">ROUND(G262-Q262-MIN(G262-Q262,MAX(0,$AF262-SUMPRODUCT(--($B$4:$K$4&lt;G$4),$B262:$K262-$L262:$U262))),2)</f>
        <v>0</v>
      </c>
      <c r="AB262" s="39" t="n">
        <f aca="false">ROUND(H262-R262-MIN(H262-R262,MAX(0,$AF262-SUMPRODUCT(--($B$4:$K$4&lt;H$4),$B262:$K262-$L262:$U262))),2)</f>
        <v>0</v>
      </c>
      <c r="AC262" s="39" t="n">
        <f aca="false">ROUND(I262-S262-MIN(I262-S262,MAX(0,$AF262-SUMPRODUCT(--($B$4:$K$4&lt;I$4),$B262:$K262-$L262:$U262))),2)</f>
        <v>0</v>
      </c>
      <c r="AD262" s="39" t="n">
        <f aca="false">ROUND(J262-T262-MIN(J262-T262,MAX(0,$AF262-SUMPRODUCT(--($B$4:$K$4&lt;J$4),$B262:$K262-$L262:$U262))),2)</f>
        <v>0</v>
      </c>
      <c r="AE262" s="39" t="n">
        <f aca="false">ROUND(K262-U262-MIN(K262-U262,MAX(0,$AF262-SUMPRODUCT(--($B$4:$K$4&lt;K$4),$B262:$K262-$L262:$U262))),2)</f>
        <v>0</v>
      </c>
      <c r="AF262" s="39" t="n">
        <f aca="false">MAX(0,'Start Here'!$C$5-SUM($L262:$U262))</f>
        <v>1200</v>
      </c>
      <c r="AG262" s="39" t="n">
        <f aca="false">SUM(V262:AE262)</f>
        <v>0</v>
      </c>
      <c r="AH262" s="39" t="n">
        <f aca="false">SUM(B262:K262)-AG261</f>
        <v>0</v>
      </c>
    </row>
    <row r="263" customFormat="false" ht="15" hidden="false" customHeight="false" outlineLevel="0" collapsed="false">
      <c r="A263" s="40" t="n">
        <f aca="false">DATE(YEAR('Start Here'!$C$6),MONTH('Start Here'!$C$6)+256,1)</f>
        <v>54089</v>
      </c>
      <c r="B263" s="39" t="n">
        <f aca="false">ROUND(V262*(1+N('My Debts'!$D$6)/12),2)</f>
        <v>0</v>
      </c>
      <c r="C263" s="39" t="n">
        <f aca="false">ROUND(W262*(1+N('My Debts'!$D$7)/12),2)</f>
        <v>0</v>
      </c>
      <c r="D263" s="39" t="n">
        <f aca="false">ROUND(X262*(1+N('My Debts'!$D$8)/12),2)</f>
        <v>0</v>
      </c>
      <c r="E263" s="39" t="n">
        <f aca="false">ROUND(Y262*(1+N('My Debts'!$D$9)/12),2)</f>
        <v>0</v>
      </c>
      <c r="F263" s="39" t="n">
        <f aca="false">ROUND(Z262*(1+N('My Debts'!$D$10)/12),2)</f>
        <v>0</v>
      </c>
      <c r="G263" s="39" t="n">
        <f aca="false">ROUND(AA262*(1+N('My Debts'!$D$11)/12),2)</f>
        <v>0</v>
      </c>
      <c r="H263" s="39" t="n">
        <f aca="false">ROUND(AB262*(1+N('My Debts'!$D$12)/12),2)</f>
        <v>0</v>
      </c>
      <c r="I263" s="39" t="n">
        <f aca="false">ROUND(AC262*(1+N('My Debts'!$D$13)/12),2)</f>
        <v>0</v>
      </c>
      <c r="J263" s="39" t="n">
        <f aca="false">ROUND(AD262*(1+N('My Debts'!$D$14)/12),2)</f>
        <v>0</v>
      </c>
      <c r="K263" s="39" t="n">
        <f aca="false">ROUND(AE262*(1+N('My Debts'!$D$15)/12),2)</f>
        <v>0</v>
      </c>
      <c r="L263" s="39" t="n">
        <f aca="false">MIN(N('My Debts'!$E$6),B263)</f>
        <v>0</v>
      </c>
      <c r="M263" s="39" t="n">
        <f aca="false">MIN(N('My Debts'!$E$7),C263)</f>
        <v>0</v>
      </c>
      <c r="N263" s="39" t="n">
        <f aca="false">MIN(N('My Debts'!$E$8),D263)</f>
        <v>0</v>
      </c>
      <c r="O263" s="39" t="n">
        <f aca="false">MIN(N('My Debts'!$E$9),E263)</f>
        <v>0</v>
      </c>
      <c r="P263" s="39" t="n">
        <f aca="false">MIN(N('My Debts'!$E$10),F263)</f>
        <v>0</v>
      </c>
      <c r="Q263" s="39" t="n">
        <f aca="false">MIN(N('My Debts'!$E$11),G263)</f>
        <v>0</v>
      </c>
      <c r="R263" s="39" t="n">
        <f aca="false">MIN(N('My Debts'!$E$12),H263)</f>
        <v>0</v>
      </c>
      <c r="S263" s="39" t="n">
        <f aca="false">MIN(N('My Debts'!$E$13),I263)</f>
        <v>0</v>
      </c>
      <c r="T263" s="39" t="n">
        <f aca="false">MIN(N('My Debts'!$E$14),J263)</f>
        <v>0</v>
      </c>
      <c r="U263" s="39" t="n">
        <f aca="false">MIN(N('My Debts'!$E$15),K263)</f>
        <v>0</v>
      </c>
      <c r="V263" s="39" t="n">
        <f aca="false">ROUND(B263-L263-MIN(B263-L263,MAX(0,$AF263-SUMPRODUCT(--($B$4:$K$4&lt;B$4),$B263:$K263-$L263:$U263))),2)</f>
        <v>0</v>
      </c>
      <c r="W263" s="39" t="n">
        <f aca="false">ROUND(C263-M263-MIN(C263-M263,MAX(0,$AF263-SUMPRODUCT(--($B$4:$K$4&lt;C$4),$B263:$K263-$L263:$U263))),2)</f>
        <v>0</v>
      </c>
      <c r="X263" s="39" t="n">
        <f aca="false">ROUND(D263-N263-MIN(D263-N263,MAX(0,$AF263-SUMPRODUCT(--($B$4:$K$4&lt;D$4),$B263:$K263-$L263:$U263))),2)</f>
        <v>0</v>
      </c>
      <c r="Y263" s="39" t="n">
        <f aca="false">ROUND(E263-O263-MIN(E263-O263,MAX(0,$AF263-SUMPRODUCT(--($B$4:$K$4&lt;E$4),$B263:$K263-$L263:$U263))),2)</f>
        <v>0</v>
      </c>
      <c r="Z263" s="39" t="n">
        <f aca="false">ROUND(F263-P263-MIN(F263-P263,MAX(0,$AF263-SUMPRODUCT(--($B$4:$K$4&lt;F$4),$B263:$K263-$L263:$U263))),2)</f>
        <v>0</v>
      </c>
      <c r="AA263" s="39" t="n">
        <f aca="false">ROUND(G263-Q263-MIN(G263-Q263,MAX(0,$AF263-SUMPRODUCT(--($B$4:$K$4&lt;G$4),$B263:$K263-$L263:$U263))),2)</f>
        <v>0</v>
      </c>
      <c r="AB263" s="39" t="n">
        <f aca="false">ROUND(H263-R263-MIN(H263-R263,MAX(0,$AF263-SUMPRODUCT(--($B$4:$K$4&lt;H$4),$B263:$K263-$L263:$U263))),2)</f>
        <v>0</v>
      </c>
      <c r="AC263" s="39" t="n">
        <f aca="false">ROUND(I263-S263-MIN(I263-S263,MAX(0,$AF263-SUMPRODUCT(--($B$4:$K$4&lt;I$4),$B263:$K263-$L263:$U263))),2)</f>
        <v>0</v>
      </c>
      <c r="AD263" s="39" t="n">
        <f aca="false">ROUND(J263-T263-MIN(J263-T263,MAX(0,$AF263-SUMPRODUCT(--($B$4:$K$4&lt;J$4),$B263:$K263-$L263:$U263))),2)</f>
        <v>0</v>
      </c>
      <c r="AE263" s="39" t="n">
        <f aca="false">ROUND(K263-U263-MIN(K263-U263,MAX(0,$AF263-SUMPRODUCT(--($B$4:$K$4&lt;K$4),$B263:$K263-$L263:$U263))),2)</f>
        <v>0</v>
      </c>
      <c r="AF263" s="39" t="n">
        <f aca="false">MAX(0,'Start Here'!$C$5-SUM($L263:$U263))</f>
        <v>1200</v>
      </c>
      <c r="AG263" s="39" t="n">
        <f aca="false">SUM(V263:AE263)</f>
        <v>0</v>
      </c>
      <c r="AH263" s="39" t="n">
        <f aca="false">SUM(B263:K263)-AG262</f>
        <v>0</v>
      </c>
    </row>
    <row r="264" customFormat="false" ht="15" hidden="false" customHeight="false" outlineLevel="0" collapsed="false">
      <c r="A264" s="40" t="n">
        <f aca="false">DATE(YEAR('Start Here'!$C$6),MONTH('Start Here'!$C$6)+257,1)</f>
        <v>54118</v>
      </c>
      <c r="B264" s="39" t="n">
        <f aca="false">ROUND(V263*(1+N('My Debts'!$D$6)/12),2)</f>
        <v>0</v>
      </c>
      <c r="C264" s="39" t="n">
        <f aca="false">ROUND(W263*(1+N('My Debts'!$D$7)/12),2)</f>
        <v>0</v>
      </c>
      <c r="D264" s="39" t="n">
        <f aca="false">ROUND(X263*(1+N('My Debts'!$D$8)/12),2)</f>
        <v>0</v>
      </c>
      <c r="E264" s="39" t="n">
        <f aca="false">ROUND(Y263*(1+N('My Debts'!$D$9)/12),2)</f>
        <v>0</v>
      </c>
      <c r="F264" s="39" t="n">
        <f aca="false">ROUND(Z263*(1+N('My Debts'!$D$10)/12),2)</f>
        <v>0</v>
      </c>
      <c r="G264" s="39" t="n">
        <f aca="false">ROUND(AA263*(1+N('My Debts'!$D$11)/12),2)</f>
        <v>0</v>
      </c>
      <c r="H264" s="39" t="n">
        <f aca="false">ROUND(AB263*(1+N('My Debts'!$D$12)/12),2)</f>
        <v>0</v>
      </c>
      <c r="I264" s="39" t="n">
        <f aca="false">ROUND(AC263*(1+N('My Debts'!$D$13)/12),2)</f>
        <v>0</v>
      </c>
      <c r="J264" s="39" t="n">
        <f aca="false">ROUND(AD263*(1+N('My Debts'!$D$14)/12),2)</f>
        <v>0</v>
      </c>
      <c r="K264" s="39" t="n">
        <f aca="false">ROUND(AE263*(1+N('My Debts'!$D$15)/12),2)</f>
        <v>0</v>
      </c>
      <c r="L264" s="39" t="n">
        <f aca="false">MIN(N('My Debts'!$E$6),B264)</f>
        <v>0</v>
      </c>
      <c r="M264" s="39" t="n">
        <f aca="false">MIN(N('My Debts'!$E$7),C264)</f>
        <v>0</v>
      </c>
      <c r="N264" s="39" t="n">
        <f aca="false">MIN(N('My Debts'!$E$8),D264)</f>
        <v>0</v>
      </c>
      <c r="O264" s="39" t="n">
        <f aca="false">MIN(N('My Debts'!$E$9),E264)</f>
        <v>0</v>
      </c>
      <c r="P264" s="39" t="n">
        <f aca="false">MIN(N('My Debts'!$E$10),F264)</f>
        <v>0</v>
      </c>
      <c r="Q264" s="39" t="n">
        <f aca="false">MIN(N('My Debts'!$E$11),G264)</f>
        <v>0</v>
      </c>
      <c r="R264" s="39" t="n">
        <f aca="false">MIN(N('My Debts'!$E$12),H264)</f>
        <v>0</v>
      </c>
      <c r="S264" s="39" t="n">
        <f aca="false">MIN(N('My Debts'!$E$13),I264)</f>
        <v>0</v>
      </c>
      <c r="T264" s="39" t="n">
        <f aca="false">MIN(N('My Debts'!$E$14),J264)</f>
        <v>0</v>
      </c>
      <c r="U264" s="39" t="n">
        <f aca="false">MIN(N('My Debts'!$E$15),K264)</f>
        <v>0</v>
      </c>
      <c r="V264" s="39" t="n">
        <f aca="false">ROUND(B264-L264-MIN(B264-L264,MAX(0,$AF264-SUMPRODUCT(--($B$4:$K$4&lt;B$4),$B264:$K264-$L264:$U264))),2)</f>
        <v>0</v>
      </c>
      <c r="W264" s="39" t="n">
        <f aca="false">ROUND(C264-M264-MIN(C264-M264,MAX(0,$AF264-SUMPRODUCT(--($B$4:$K$4&lt;C$4),$B264:$K264-$L264:$U264))),2)</f>
        <v>0</v>
      </c>
      <c r="X264" s="39" t="n">
        <f aca="false">ROUND(D264-N264-MIN(D264-N264,MAX(0,$AF264-SUMPRODUCT(--($B$4:$K$4&lt;D$4),$B264:$K264-$L264:$U264))),2)</f>
        <v>0</v>
      </c>
      <c r="Y264" s="39" t="n">
        <f aca="false">ROUND(E264-O264-MIN(E264-O264,MAX(0,$AF264-SUMPRODUCT(--($B$4:$K$4&lt;E$4),$B264:$K264-$L264:$U264))),2)</f>
        <v>0</v>
      </c>
      <c r="Z264" s="39" t="n">
        <f aca="false">ROUND(F264-P264-MIN(F264-P264,MAX(0,$AF264-SUMPRODUCT(--($B$4:$K$4&lt;F$4),$B264:$K264-$L264:$U264))),2)</f>
        <v>0</v>
      </c>
      <c r="AA264" s="39" t="n">
        <f aca="false">ROUND(G264-Q264-MIN(G264-Q264,MAX(0,$AF264-SUMPRODUCT(--($B$4:$K$4&lt;G$4),$B264:$K264-$L264:$U264))),2)</f>
        <v>0</v>
      </c>
      <c r="AB264" s="39" t="n">
        <f aca="false">ROUND(H264-R264-MIN(H264-R264,MAX(0,$AF264-SUMPRODUCT(--($B$4:$K$4&lt;H$4),$B264:$K264-$L264:$U264))),2)</f>
        <v>0</v>
      </c>
      <c r="AC264" s="39" t="n">
        <f aca="false">ROUND(I264-S264-MIN(I264-S264,MAX(0,$AF264-SUMPRODUCT(--($B$4:$K$4&lt;I$4),$B264:$K264-$L264:$U264))),2)</f>
        <v>0</v>
      </c>
      <c r="AD264" s="39" t="n">
        <f aca="false">ROUND(J264-T264-MIN(J264-T264,MAX(0,$AF264-SUMPRODUCT(--($B$4:$K$4&lt;J$4),$B264:$K264-$L264:$U264))),2)</f>
        <v>0</v>
      </c>
      <c r="AE264" s="39" t="n">
        <f aca="false">ROUND(K264-U264-MIN(K264-U264,MAX(0,$AF264-SUMPRODUCT(--($B$4:$K$4&lt;K$4),$B264:$K264-$L264:$U264))),2)</f>
        <v>0</v>
      </c>
      <c r="AF264" s="39" t="n">
        <f aca="false">MAX(0,'Start Here'!$C$5-SUM($L264:$U264))</f>
        <v>1200</v>
      </c>
      <c r="AG264" s="39" t="n">
        <f aca="false">SUM(V264:AE264)</f>
        <v>0</v>
      </c>
      <c r="AH264" s="39" t="n">
        <f aca="false">SUM(B264:K264)-AG263</f>
        <v>0</v>
      </c>
    </row>
    <row r="265" customFormat="false" ht="15" hidden="false" customHeight="false" outlineLevel="0" collapsed="false">
      <c r="A265" s="40" t="n">
        <f aca="false">DATE(YEAR('Start Here'!$C$6),MONTH('Start Here'!$C$6)+258,1)</f>
        <v>54149</v>
      </c>
      <c r="B265" s="39" t="n">
        <f aca="false">ROUND(V264*(1+N('My Debts'!$D$6)/12),2)</f>
        <v>0</v>
      </c>
      <c r="C265" s="39" t="n">
        <f aca="false">ROUND(W264*(1+N('My Debts'!$D$7)/12),2)</f>
        <v>0</v>
      </c>
      <c r="D265" s="39" t="n">
        <f aca="false">ROUND(X264*(1+N('My Debts'!$D$8)/12),2)</f>
        <v>0</v>
      </c>
      <c r="E265" s="39" t="n">
        <f aca="false">ROUND(Y264*(1+N('My Debts'!$D$9)/12),2)</f>
        <v>0</v>
      </c>
      <c r="F265" s="39" t="n">
        <f aca="false">ROUND(Z264*(1+N('My Debts'!$D$10)/12),2)</f>
        <v>0</v>
      </c>
      <c r="G265" s="39" t="n">
        <f aca="false">ROUND(AA264*(1+N('My Debts'!$D$11)/12),2)</f>
        <v>0</v>
      </c>
      <c r="H265" s="39" t="n">
        <f aca="false">ROUND(AB264*(1+N('My Debts'!$D$12)/12),2)</f>
        <v>0</v>
      </c>
      <c r="I265" s="39" t="n">
        <f aca="false">ROUND(AC264*(1+N('My Debts'!$D$13)/12),2)</f>
        <v>0</v>
      </c>
      <c r="J265" s="39" t="n">
        <f aca="false">ROUND(AD264*(1+N('My Debts'!$D$14)/12),2)</f>
        <v>0</v>
      </c>
      <c r="K265" s="39" t="n">
        <f aca="false">ROUND(AE264*(1+N('My Debts'!$D$15)/12),2)</f>
        <v>0</v>
      </c>
      <c r="L265" s="39" t="n">
        <f aca="false">MIN(N('My Debts'!$E$6),B265)</f>
        <v>0</v>
      </c>
      <c r="M265" s="39" t="n">
        <f aca="false">MIN(N('My Debts'!$E$7),C265)</f>
        <v>0</v>
      </c>
      <c r="N265" s="39" t="n">
        <f aca="false">MIN(N('My Debts'!$E$8),D265)</f>
        <v>0</v>
      </c>
      <c r="O265" s="39" t="n">
        <f aca="false">MIN(N('My Debts'!$E$9),E265)</f>
        <v>0</v>
      </c>
      <c r="P265" s="39" t="n">
        <f aca="false">MIN(N('My Debts'!$E$10),F265)</f>
        <v>0</v>
      </c>
      <c r="Q265" s="39" t="n">
        <f aca="false">MIN(N('My Debts'!$E$11),G265)</f>
        <v>0</v>
      </c>
      <c r="R265" s="39" t="n">
        <f aca="false">MIN(N('My Debts'!$E$12),H265)</f>
        <v>0</v>
      </c>
      <c r="S265" s="39" t="n">
        <f aca="false">MIN(N('My Debts'!$E$13),I265)</f>
        <v>0</v>
      </c>
      <c r="T265" s="39" t="n">
        <f aca="false">MIN(N('My Debts'!$E$14),J265)</f>
        <v>0</v>
      </c>
      <c r="U265" s="39" t="n">
        <f aca="false">MIN(N('My Debts'!$E$15),K265)</f>
        <v>0</v>
      </c>
      <c r="V265" s="39" t="n">
        <f aca="false">ROUND(B265-L265-MIN(B265-L265,MAX(0,$AF265-SUMPRODUCT(--($B$4:$K$4&lt;B$4),$B265:$K265-$L265:$U265))),2)</f>
        <v>0</v>
      </c>
      <c r="W265" s="39" t="n">
        <f aca="false">ROUND(C265-M265-MIN(C265-M265,MAX(0,$AF265-SUMPRODUCT(--($B$4:$K$4&lt;C$4),$B265:$K265-$L265:$U265))),2)</f>
        <v>0</v>
      </c>
      <c r="X265" s="39" t="n">
        <f aca="false">ROUND(D265-N265-MIN(D265-N265,MAX(0,$AF265-SUMPRODUCT(--($B$4:$K$4&lt;D$4),$B265:$K265-$L265:$U265))),2)</f>
        <v>0</v>
      </c>
      <c r="Y265" s="39" t="n">
        <f aca="false">ROUND(E265-O265-MIN(E265-O265,MAX(0,$AF265-SUMPRODUCT(--($B$4:$K$4&lt;E$4),$B265:$K265-$L265:$U265))),2)</f>
        <v>0</v>
      </c>
      <c r="Z265" s="39" t="n">
        <f aca="false">ROUND(F265-P265-MIN(F265-P265,MAX(0,$AF265-SUMPRODUCT(--($B$4:$K$4&lt;F$4),$B265:$K265-$L265:$U265))),2)</f>
        <v>0</v>
      </c>
      <c r="AA265" s="39" t="n">
        <f aca="false">ROUND(G265-Q265-MIN(G265-Q265,MAX(0,$AF265-SUMPRODUCT(--($B$4:$K$4&lt;G$4),$B265:$K265-$L265:$U265))),2)</f>
        <v>0</v>
      </c>
      <c r="AB265" s="39" t="n">
        <f aca="false">ROUND(H265-R265-MIN(H265-R265,MAX(0,$AF265-SUMPRODUCT(--($B$4:$K$4&lt;H$4),$B265:$K265-$L265:$U265))),2)</f>
        <v>0</v>
      </c>
      <c r="AC265" s="39" t="n">
        <f aca="false">ROUND(I265-S265-MIN(I265-S265,MAX(0,$AF265-SUMPRODUCT(--($B$4:$K$4&lt;I$4),$B265:$K265-$L265:$U265))),2)</f>
        <v>0</v>
      </c>
      <c r="AD265" s="39" t="n">
        <f aca="false">ROUND(J265-T265-MIN(J265-T265,MAX(0,$AF265-SUMPRODUCT(--($B$4:$K$4&lt;J$4),$B265:$K265-$L265:$U265))),2)</f>
        <v>0</v>
      </c>
      <c r="AE265" s="39" t="n">
        <f aca="false">ROUND(K265-U265-MIN(K265-U265,MAX(0,$AF265-SUMPRODUCT(--($B$4:$K$4&lt;K$4),$B265:$K265-$L265:$U265))),2)</f>
        <v>0</v>
      </c>
      <c r="AF265" s="39" t="n">
        <f aca="false">MAX(0,'Start Here'!$C$5-SUM($L265:$U265))</f>
        <v>1200</v>
      </c>
      <c r="AG265" s="39" t="n">
        <f aca="false">SUM(V265:AE265)</f>
        <v>0</v>
      </c>
      <c r="AH265" s="39" t="n">
        <f aca="false">SUM(B265:K265)-AG264</f>
        <v>0</v>
      </c>
    </row>
    <row r="266" customFormat="false" ht="15" hidden="false" customHeight="false" outlineLevel="0" collapsed="false">
      <c r="A266" s="40" t="n">
        <f aca="false">DATE(YEAR('Start Here'!$C$6),MONTH('Start Here'!$C$6)+259,1)</f>
        <v>54179</v>
      </c>
      <c r="B266" s="39" t="n">
        <f aca="false">ROUND(V265*(1+N('My Debts'!$D$6)/12),2)</f>
        <v>0</v>
      </c>
      <c r="C266" s="39" t="n">
        <f aca="false">ROUND(W265*(1+N('My Debts'!$D$7)/12),2)</f>
        <v>0</v>
      </c>
      <c r="D266" s="39" t="n">
        <f aca="false">ROUND(X265*(1+N('My Debts'!$D$8)/12),2)</f>
        <v>0</v>
      </c>
      <c r="E266" s="39" t="n">
        <f aca="false">ROUND(Y265*(1+N('My Debts'!$D$9)/12),2)</f>
        <v>0</v>
      </c>
      <c r="F266" s="39" t="n">
        <f aca="false">ROUND(Z265*(1+N('My Debts'!$D$10)/12),2)</f>
        <v>0</v>
      </c>
      <c r="G266" s="39" t="n">
        <f aca="false">ROUND(AA265*(1+N('My Debts'!$D$11)/12),2)</f>
        <v>0</v>
      </c>
      <c r="H266" s="39" t="n">
        <f aca="false">ROUND(AB265*(1+N('My Debts'!$D$12)/12),2)</f>
        <v>0</v>
      </c>
      <c r="I266" s="39" t="n">
        <f aca="false">ROUND(AC265*(1+N('My Debts'!$D$13)/12),2)</f>
        <v>0</v>
      </c>
      <c r="J266" s="39" t="n">
        <f aca="false">ROUND(AD265*(1+N('My Debts'!$D$14)/12),2)</f>
        <v>0</v>
      </c>
      <c r="K266" s="39" t="n">
        <f aca="false">ROUND(AE265*(1+N('My Debts'!$D$15)/12),2)</f>
        <v>0</v>
      </c>
      <c r="L266" s="39" t="n">
        <f aca="false">MIN(N('My Debts'!$E$6),B266)</f>
        <v>0</v>
      </c>
      <c r="M266" s="39" t="n">
        <f aca="false">MIN(N('My Debts'!$E$7),C266)</f>
        <v>0</v>
      </c>
      <c r="N266" s="39" t="n">
        <f aca="false">MIN(N('My Debts'!$E$8),D266)</f>
        <v>0</v>
      </c>
      <c r="O266" s="39" t="n">
        <f aca="false">MIN(N('My Debts'!$E$9),E266)</f>
        <v>0</v>
      </c>
      <c r="P266" s="39" t="n">
        <f aca="false">MIN(N('My Debts'!$E$10),F266)</f>
        <v>0</v>
      </c>
      <c r="Q266" s="39" t="n">
        <f aca="false">MIN(N('My Debts'!$E$11),G266)</f>
        <v>0</v>
      </c>
      <c r="R266" s="39" t="n">
        <f aca="false">MIN(N('My Debts'!$E$12),H266)</f>
        <v>0</v>
      </c>
      <c r="S266" s="39" t="n">
        <f aca="false">MIN(N('My Debts'!$E$13),I266)</f>
        <v>0</v>
      </c>
      <c r="T266" s="39" t="n">
        <f aca="false">MIN(N('My Debts'!$E$14),J266)</f>
        <v>0</v>
      </c>
      <c r="U266" s="39" t="n">
        <f aca="false">MIN(N('My Debts'!$E$15),K266)</f>
        <v>0</v>
      </c>
      <c r="V266" s="39" t="n">
        <f aca="false">ROUND(B266-L266-MIN(B266-L266,MAX(0,$AF266-SUMPRODUCT(--($B$4:$K$4&lt;B$4),$B266:$K266-$L266:$U266))),2)</f>
        <v>0</v>
      </c>
      <c r="W266" s="39" t="n">
        <f aca="false">ROUND(C266-M266-MIN(C266-M266,MAX(0,$AF266-SUMPRODUCT(--($B$4:$K$4&lt;C$4),$B266:$K266-$L266:$U266))),2)</f>
        <v>0</v>
      </c>
      <c r="X266" s="39" t="n">
        <f aca="false">ROUND(D266-N266-MIN(D266-N266,MAX(0,$AF266-SUMPRODUCT(--($B$4:$K$4&lt;D$4),$B266:$K266-$L266:$U266))),2)</f>
        <v>0</v>
      </c>
      <c r="Y266" s="39" t="n">
        <f aca="false">ROUND(E266-O266-MIN(E266-O266,MAX(0,$AF266-SUMPRODUCT(--($B$4:$K$4&lt;E$4),$B266:$K266-$L266:$U266))),2)</f>
        <v>0</v>
      </c>
      <c r="Z266" s="39" t="n">
        <f aca="false">ROUND(F266-P266-MIN(F266-P266,MAX(0,$AF266-SUMPRODUCT(--($B$4:$K$4&lt;F$4),$B266:$K266-$L266:$U266))),2)</f>
        <v>0</v>
      </c>
      <c r="AA266" s="39" t="n">
        <f aca="false">ROUND(G266-Q266-MIN(G266-Q266,MAX(0,$AF266-SUMPRODUCT(--($B$4:$K$4&lt;G$4),$B266:$K266-$L266:$U266))),2)</f>
        <v>0</v>
      </c>
      <c r="AB266" s="39" t="n">
        <f aca="false">ROUND(H266-R266-MIN(H266-R266,MAX(0,$AF266-SUMPRODUCT(--($B$4:$K$4&lt;H$4),$B266:$K266-$L266:$U266))),2)</f>
        <v>0</v>
      </c>
      <c r="AC266" s="39" t="n">
        <f aca="false">ROUND(I266-S266-MIN(I266-S266,MAX(0,$AF266-SUMPRODUCT(--($B$4:$K$4&lt;I$4),$B266:$K266-$L266:$U266))),2)</f>
        <v>0</v>
      </c>
      <c r="AD266" s="39" t="n">
        <f aca="false">ROUND(J266-T266-MIN(J266-T266,MAX(0,$AF266-SUMPRODUCT(--($B$4:$K$4&lt;J$4),$B266:$K266-$L266:$U266))),2)</f>
        <v>0</v>
      </c>
      <c r="AE266" s="39" t="n">
        <f aca="false">ROUND(K266-U266-MIN(K266-U266,MAX(0,$AF266-SUMPRODUCT(--($B$4:$K$4&lt;K$4),$B266:$K266-$L266:$U266))),2)</f>
        <v>0</v>
      </c>
      <c r="AF266" s="39" t="n">
        <f aca="false">MAX(0,'Start Here'!$C$5-SUM($L266:$U266))</f>
        <v>1200</v>
      </c>
      <c r="AG266" s="39" t="n">
        <f aca="false">SUM(V266:AE266)</f>
        <v>0</v>
      </c>
      <c r="AH266" s="39" t="n">
        <f aca="false">SUM(B266:K266)-AG265</f>
        <v>0</v>
      </c>
    </row>
    <row r="267" customFormat="false" ht="15" hidden="false" customHeight="false" outlineLevel="0" collapsed="false">
      <c r="A267" s="40" t="n">
        <f aca="false">DATE(YEAR('Start Here'!$C$6),MONTH('Start Here'!$C$6)+260,1)</f>
        <v>54210</v>
      </c>
      <c r="B267" s="39" t="n">
        <f aca="false">ROUND(V266*(1+N('My Debts'!$D$6)/12),2)</f>
        <v>0</v>
      </c>
      <c r="C267" s="39" t="n">
        <f aca="false">ROUND(W266*(1+N('My Debts'!$D$7)/12),2)</f>
        <v>0</v>
      </c>
      <c r="D267" s="39" t="n">
        <f aca="false">ROUND(X266*(1+N('My Debts'!$D$8)/12),2)</f>
        <v>0</v>
      </c>
      <c r="E267" s="39" t="n">
        <f aca="false">ROUND(Y266*(1+N('My Debts'!$D$9)/12),2)</f>
        <v>0</v>
      </c>
      <c r="F267" s="39" t="n">
        <f aca="false">ROUND(Z266*(1+N('My Debts'!$D$10)/12),2)</f>
        <v>0</v>
      </c>
      <c r="G267" s="39" t="n">
        <f aca="false">ROUND(AA266*(1+N('My Debts'!$D$11)/12),2)</f>
        <v>0</v>
      </c>
      <c r="H267" s="39" t="n">
        <f aca="false">ROUND(AB266*(1+N('My Debts'!$D$12)/12),2)</f>
        <v>0</v>
      </c>
      <c r="I267" s="39" t="n">
        <f aca="false">ROUND(AC266*(1+N('My Debts'!$D$13)/12),2)</f>
        <v>0</v>
      </c>
      <c r="J267" s="39" t="n">
        <f aca="false">ROUND(AD266*(1+N('My Debts'!$D$14)/12),2)</f>
        <v>0</v>
      </c>
      <c r="K267" s="39" t="n">
        <f aca="false">ROUND(AE266*(1+N('My Debts'!$D$15)/12),2)</f>
        <v>0</v>
      </c>
      <c r="L267" s="39" t="n">
        <f aca="false">MIN(N('My Debts'!$E$6),B267)</f>
        <v>0</v>
      </c>
      <c r="M267" s="39" t="n">
        <f aca="false">MIN(N('My Debts'!$E$7),C267)</f>
        <v>0</v>
      </c>
      <c r="N267" s="39" t="n">
        <f aca="false">MIN(N('My Debts'!$E$8),D267)</f>
        <v>0</v>
      </c>
      <c r="O267" s="39" t="n">
        <f aca="false">MIN(N('My Debts'!$E$9),E267)</f>
        <v>0</v>
      </c>
      <c r="P267" s="39" t="n">
        <f aca="false">MIN(N('My Debts'!$E$10),F267)</f>
        <v>0</v>
      </c>
      <c r="Q267" s="39" t="n">
        <f aca="false">MIN(N('My Debts'!$E$11),G267)</f>
        <v>0</v>
      </c>
      <c r="R267" s="39" t="n">
        <f aca="false">MIN(N('My Debts'!$E$12),H267)</f>
        <v>0</v>
      </c>
      <c r="S267" s="39" t="n">
        <f aca="false">MIN(N('My Debts'!$E$13),I267)</f>
        <v>0</v>
      </c>
      <c r="T267" s="39" t="n">
        <f aca="false">MIN(N('My Debts'!$E$14),J267)</f>
        <v>0</v>
      </c>
      <c r="U267" s="39" t="n">
        <f aca="false">MIN(N('My Debts'!$E$15),K267)</f>
        <v>0</v>
      </c>
      <c r="V267" s="39" t="n">
        <f aca="false">ROUND(B267-L267-MIN(B267-L267,MAX(0,$AF267-SUMPRODUCT(--($B$4:$K$4&lt;B$4),$B267:$K267-$L267:$U267))),2)</f>
        <v>0</v>
      </c>
      <c r="W267" s="39" t="n">
        <f aca="false">ROUND(C267-M267-MIN(C267-M267,MAX(0,$AF267-SUMPRODUCT(--($B$4:$K$4&lt;C$4),$B267:$K267-$L267:$U267))),2)</f>
        <v>0</v>
      </c>
      <c r="X267" s="39" t="n">
        <f aca="false">ROUND(D267-N267-MIN(D267-N267,MAX(0,$AF267-SUMPRODUCT(--($B$4:$K$4&lt;D$4),$B267:$K267-$L267:$U267))),2)</f>
        <v>0</v>
      </c>
      <c r="Y267" s="39" t="n">
        <f aca="false">ROUND(E267-O267-MIN(E267-O267,MAX(0,$AF267-SUMPRODUCT(--($B$4:$K$4&lt;E$4),$B267:$K267-$L267:$U267))),2)</f>
        <v>0</v>
      </c>
      <c r="Z267" s="39" t="n">
        <f aca="false">ROUND(F267-P267-MIN(F267-P267,MAX(0,$AF267-SUMPRODUCT(--($B$4:$K$4&lt;F$4),$B267:$K267-$L267:$U267))),2)</f>
        <v>0</v>
      </c>
      <c r="AA267" s="39" t="n">
        <f aca="false">ROUND(G267-Q267-MIN(G267-Q267,MAX(0,$AF267-SUMPRODUCT(--($B$4:$K$4&lt;G$4),$B267:$K267-$L267:$U267))),2)</f>
        <v>0</v>
      </c>
      <c r="AB267" s="39" t="n">
        <f aca="false">ROUND(H267-R267-MIN(H267-R267,MAX(0,$AF267-SUMPRODUCT(--($B$4:$K$4&lt;H$4),$B267:$K267-$L267:$U267))),2)</f>
        <v>0</v>
      </c>
      <c r="AC267" s="39" t="n">
        <f aca="false">ROUND(I267-S267-MIN(I267-S267,MAX(0,$AF267-SUMPRODUCT(--($B$4:$K$4&lt;I$4),$B267:$K267-$L267:$U267))),2)</f>
        <v>0</v>
      </c>
      <c r="AD267" s="39" t="n">
        <f aca="false">ROUND(J267-T267-MIN(J267-T267,MAX(0,$AF267-SUMPRODUCT(--($B$4:$K$4&lt;J$4),$B267:$K267-$L267:$U267))),2)</f>
        <v>0</v>
      </c>
      <c r="AE267" s="39" t="n">
        <f aca="false">ROUND(K267-U267-MIN(K267-U267,MAX(0,$AF267-SUMPRODUCT(--($B$4:$K$4&lt;K$4),$B267:$K267-$L267:$U267))),2)</f>
        <v>0</v>
      </c>
      <c r="AF267" s="39" t="n">
        <f aca="false">MAX(0,'Start Here'!$C$5-SUM($L267:$U267))</f>
        <v>1200</v>
      </c>
      <c r="AG267" s="39" t="n">
        <f aca="false">SUM(V267:AE267)</f>
        <v>0</v>
      </c>
      <c r="AH267" s="39" t="n">
        <f aca="false">SUM(B267:K267)-AG266</f>
        <v>0</v>
      </c>
    </row>
    <row r="268" customFormat="false" ht="15" hidden="false" customHeight="false" outlineLevel="0" collapsed="false">
      <c r="A268" s="40" t="n">
        <f aca="false">DATE(YEAR('Start Here'!$C$6),MONTH('Start Here'!$C$6)+261,1)</f>
        <v>54240</v>
      </c>
      <c r="B268" s="39" t="n">
        <f aca="false">ROUND(V267*(1+N('My Debts'!$D$6)/12),2)</f>
        <v>0</v>
      </c>
      <c r="C268" s="39" t="n">
        <f aca="false">ROUND(W267*(1+N('My Debts'!$D$7)/12),2)</f>
        <v>0</v>
      </c>
      <c r="D268" s="39" t="n">
        <f aca="false">ROUND(X267*(1+N('My Debts'!$D$8)/12),2)</f>
        <v>0</v>
      </c>
      <c r="E268" s="39" t="n">
        <f aca="false">ROUND(Y267*(1+N('My Debts'!$D$9)/12),2)</f>
        <v>0</v>
      </c>
      <c r="F268" s="39" t="n">
        <f aca="false">ROUND(Z267*(1+N('My Debts'!$D$10)/12),2)</f>
        <v>0</v>
      </c>
      <c r="G268" s="39" t="n">
        <f aca="false">ROUND(AA267*(1+N('My Debts'!$D$11)/12),2)</f>
        <v>0</v>
      </c>
      <c r="H268" s="39" t="n">
        <f aca="false">ROUND(AB267*(1+N('My Debts'!$D$12)/12),2)</f>
        <v>0</v>
      </c>
      <c r="I268" s="39" t="n">
        <f aca="false">ROUND(AC267*(1+N('My Debts'!$D$13)/12),2)</f>
        <v>0</v>
      </c>
      <c r="J268" s="39" t="n">
        <f aca="false">ROUND(AD267*(1+N('My Debts'!$D$14)/12),2)</f>
        <v>0</v>
      </c>
      <c r="K268" s="39" t="n">
        <f aca="false">ROUND(AE267*(1+N('My Debts'!$D$15)/12),2)</f>
        <v>0</v>
      </c>
      <c r="L268" s="39" t="n">
        <f aca="false">MIN(N('My Debts'!$E$6),B268)</f>
        <v>0</v>
      </c>
      <c r="M268" s="39" t="n">
        <f aca="false">MIN(N('My Debts'!$E$7),C268)</f>
        <v>0</v>
      </c>
      <c r="N268" s="39" t="n">
        <f aca="false">MIN(N('My Debts'!$E$8),D268)</f>
        <v>0</v>
      </c>
      <c r="O268" s="39" t="n">
        <f aca="false">MIN(N('My Debts'!$E$9),E268)</f>
        <v>0</v>
      </c>
      <c r="P268" s="39" t="n">
        <f aca="false">MIN(N('My Debts'!$E$10),F268)</f>
        <v>0</v>
      </c>
      <c r="Q268" s="39" t="n">
        <f aca="false">MIN(N('My Debts'!$E$11),G268)</f>
        <v>0</v>
      </c>
      <c r="R268" s="39" t="n">
        <f aca="false">MIN(N('My Debts'!$E$12),H268)</f>
        <v>0</v>
      </c>
      <c r="S268" s="39" t="n">
        <f aca="false">MIN(N('My Debts'!$E$13),I268)</f>
        <v>0</v>
      </c>
      <c r="T268" s="39" t="n">
        <f aca="false">MIN(N('My Debts'!$E$14),J268)</f>
        <v>0</v>
      </c>
      <c r="U268" s="39" t="n">
        <f aca="false">MIN(N('My Debts'!$E$15),K268)</f>
        <v>0</v>
      </c>
      <c r="V268" s="39" t="n">
        <f aca="false">ROUND(B268-L268-MIN(B268-L268,MAX(0,$AF268-SUMPRODUCT(--($B$4:$K$4&lt;B$4),$B268:$K268-$L268:$U268))),2)</f>
        <v>0</v>
      </c>
      <c r="W268" s="39" t="n">
        <f aca="false">ROUND(C268-M268-MIN(C268-M268,MAX(0,$AF268-SUMPRODUCT(--($B$4:$K$4&lt;C$4),$B268:$K268-$L268:$U268))),2)</f>
        <v>0</v>
      </c>
      <c r="X268" s="39" t="n">
        <f aca="false">ROUND(D268-N268-MIN(D268-N268,MAX(0,$AF268-SUMPRODUCT(--($B$4:$K$4&lt;D$4),$B268:$K268-$L268:$U268))),2)</f>
        <v>0</v>
      </c>
      <c r="Y268" s="39" t="n">
        <f aca="false">ROUND(E268-O268-MIN(E268-O268,MAX(0,$AF268-SUMPRODUCT(--($B$4:$K$4&lt;E$4),$B268:$K268-$L268:$U268))),2)</f>
        <v>0</v>
      </c>
      <c r="Z268" s="39" t="n">
        <f aca="false">ROUND(F268-P268-MIN(F268-P268,MAX(0,$AF268-SUMPRODUCT(--($B$4:$K$4&lt;F$4),$B268:$K268-$L268:$U268))),2)</f>
        <v>0</v>
      </c>
      <c r="AA268" s="39" t="n">
        <f aca="false">ROUND(G268-Q268-MIN(G268-Q268,MAX(0,$AF268-SUMPRODUCT(--($B$4:$K$4&lt;G$4),$B268:$K268-$L268:$U268))),2)</f>
        <v>0</v>
      </c>
      <c r="AB268" s="39" t="n">
        <f aca="false">ROUND(H268-R268-MIN(H268-R268,MAX(0,$AF268-SUMPRODUCT(--($B$4:$K$4&lt;H$4),$B268:$K268-$L268:$U268))),2)</f>
        <v>0</v>
      </c>
      <c r="AC268" s="39" t="n">
        <f aca="false">ROUND(I268-S268-MIN(I268-S268,MAX(0,$AF268-SUMPRODUCT(--($B$4:$K$4&lt;I$4),$B268:$K268-$L268:$U268))),2)</f>
        <v>0</v>
      </c>
      <c r="AD268" s="39" t="n">
        <f aca="false">ROUND(J268-T268-MIN(J268-T268,MAX(0,$AF268-SUMPRODUCT(--($B$4:$K$4&lt;J$4),$B268:$K268-$L268:$U268))),2)</f>
        <v>0</v>
      </c>
      <c r="AE268" s="39" t="n">
        <f aca="false">ROUND(K268-U268-MIN(K268-U268,MAX(0,$AF268-SUMPRODUCT(--($B$4:$K$4&lt;K$4),$B268:$K268-$L268:$U268))),2)</f>
        <v>0</v>
      </c>
      <c r="AF268" s="39" t="n">
        <f aca="false">MAX(0,'Start Here'!$C$5-SUM($L268:$U268))</f>
        <v>1200</v>
      </c>
      <c r="AG268" s="39" t="n">
        <f aca="false">SUM(V268:AE268)</f>
        <v>0</v>
      </c>
      <c r="AH268" s="39" t="n">
        <f aca="false">SUM(B268:K268)-AG267</f>
        <v>0</v>
      </c>
    </row>
    <row r="269" customFormat="false" ht="15" hidden="false" customHeight="false" outlineLevel="0" collapsed="false">
      <c r="A269" s="40" t="n">
        <f aca="false">DATE(YEAR('Start Here'!$C$6),MONTH('Start Here'!$C$6)+262,1)</f>
        <v>54271</v>
      </c>
      <c r="B269" s="39" t="n">
        <f aca="false">ROUND(V268*(1+N('My Debts'!$D$6)/12),2)</f>
        <v>0</v>
      </c>
      <c r="C269" s="39" t="n">
        <f aca="false">ROUND(W268*(1+N('My Debts'!$D$7)/12),2)</f>
        <v>0</v>
      </c>
      <c r="D269" s="39" t="n">
        <f aca="false">ROUND(X268*(1+N('My Debts'!$D$8)/12),2)</f>
        <v>0</v>
      </c>
      <c r="E269" s="39" t="n">
        <f aca="false">ROUND(Y268*(1+N('My Debts'!$D$9)/12),2)</f>
        <v>0</v>
      </c>
      <c r="F269" s="39" t="n">
        <f aca="false">ROUND(Z268*(1+N('My Debts'!$D$10)/12),2)</f>
        <v>0</v>
      </c>
      <c r="G269" s="39" t="n">
        <f aca="false">ROUND(AA268*(1+N('My Debts'!$D$11)/12),2)</f>
        <v>0</v>
      </c>
      <c r="H269" s="39" t="n">
        <f aca="false">ROUND(AB268*(1+N('My Debts'!$D$12)/12),2)</f>
        <v>0</v>
      </c>
      <c r="I269" s="39" t="n">
        <f aca="false">ROUND(AC268*(1+N('My Debts'!$D$13)/12),2)</f>
        <v>0</v>
      </c>
      <c r="J269" s="39" t="n">
        <f aca="false">ROUND(AD268*(1+N('My Debts'!$D$14)/12),2)</f>
        <v>0</v>
      </c>
      <c r="K269" s="39" t="n">
        <f aca="false">ROUND(AE268*(1+N('My Debts'!$D$15)/12),2)</f>
        <v>0</v>
      </c>
      <c r="L269" s="39" t="n">
        <f aca="false">MIN(N('My Debts'!$E$6),B269)</f>
        <v>0</v>
      </c>
      <c r="M269" s="39" t="n">
        <f aca="false">MIN(N('My Debts'!$E$7),C269)</f>
        <v>0</v>
      </c>
      <c r="N269" s="39" t="n">
        <f aca="false">MIN(N('My Debts'!$E$8),D269)</f>
        <v>0</v>
      </c>
      <c r="O269" s="39" t="n">
        <f aca="false">MIN(N('My Debts'!$E$9),E269)</f>
        <v>0</v>
      </c>
      <c r="P269" s="39" t="n">
        <f aca="false">MIN(N('My Debts'!$E$10),F269)</f>
        <v>0</v>
      </c>
      <c r="Q269" s="39" t="n">
        <f aca="false">MIN(N('My Debts'!$E$11),G269)</f>
        <v>0</v>
      </c>
      <c r="R269" s="39" t="n">
        <f aca="false">MIN(N('My Debts'!$E$12),H269)</f>
        <v>0</v>
      </c>
      <c r="S269" s="39" t="n">
        <f aca="false">MIN(N('My Debts'!$E$13),I269)</f>
        <v>0</v>
      </c>
      <c r="T269" s="39" t="n">
        <f aca="false">MIN(N('My Debts'!$E$14),J269)</f>
        <v>0</v>
      </c>
      <c r="U269" s="39" t="n">
        <f aca="false">MIN(N('My Debts'!$E$15),K269)</f>
        <v>0</v>
      </c>
      <c r="V269" s="39" t="n">
        <f aca="false">ROUND(B269-L269-MIN(B269-L269,MAX(0,$AF269-SUMPRODUCT(--($B$4:$K$4&lt;B$4),$B269:$K269-$L269:$U269))),2)</f>
        <v>0</v>
      </c>
      <c r="W269" s="39" t="n">
        <f aca="false">ROUND(C269-M269-MIN(C269-M269,MAX(0,$AF269-SUMPRODUCT(--($B$4:$K$4&lt;C$4),$B269:$K269-$L269:$U269))),2)</f>
        <v>0</v>
      </c>
      <c r="X269" s="39" t="n">
        <f aca="false">ROUND(D269-N269-MIN(D269-N269,MAX(0,$AF269-SUMPRODUCT(--($B$4:$K$4&lt;D$4),$B269:$K269-$L269:$U269))),2)</f>
        <v>0</v>
      </c>
      <c r="Y269" s="39" t="n">
        <f aca="false">ROUND(E269-O269-MIN(E269-O269,MAX(0,$AF269-SUMPRODUCT(--($B$4:$K$4&lt;E$4),$B269:$K269-$L269:$U269))),2)</f>
        <v>0</v>
      </c>
      <c r="Z269" s="39" t="n">
        <f aca="false">ROUND(F269-P269-MIN(F269-P269,MAX(0,$AF269-SUMPRODUCT(--($B$4:$K$4&lt;F$4),$B269:$K269-$L269:$U269))),2)</f>
        <v>0</v>
      </c>
      <c r="AA269" s="39" t="n">
        <f aca="false">ROUND(G269-Q269-MIN(G269-Q269,MAX(0,$AF269-SUMPRODUCT(--($B$4:$K$4&lt;G$4),$B269:$K269-$L269:$U269))),2)</f>
        <v>0</v>
      </c>
      <c r="AB269" s="39" t="n">
        <f aca="false">ROUND(H269-R269-MIN(H269-R269,MAX(0,$AF269-SUMPRODUCT(--($B$4:$K$4&lt;H$4),$B269:$K269-$L269:$U269))),2)</f>
        <v>0</v>
      </c>
      <c r="AC269" s="39" t="n">
        <f aca="false">ROUND(I269-S269-MIN(I269-S269,MAX(0,$AF269-SUMPRODUCT(--($B$4:$K$4&lt;I$4),$B269:$K269-$L269:$U269))),2)</f>
        <v>0</v>
      </c>
      <c r="AD269" s="39" t="n">
        <f aca="false">ROUND(J269-T269-MIN(J269-T269,MAX(0,$AF269-SUMPRODUCT(--($B$4:$K$4&lt;J$4),$B269:$K269-$L269:$U269))),2)</f>
        <v>0</v>
      </c>
      <c r="AE269" s="39" t="n">
        <f aca="false">ROUND(K269-U269-MIN(K269-U269,MAX(0,$AF269-SUMPRODUCT(--($B$4:$K$4&lt;K$4),$B269:$K269-$L269:$U269))),2)</f>
        <v>0</v>
      </c>
      <c r="AF269" s="39" t="n">
        <f aca="false">MAX(0,'Start Here'!$C$5-SUM($L269:$U269))</f>
        <v>1200</v>
      </c>
      <c r="AG269" s="39" t="n">
        <f aca="false">SUM(V269:AE269)</f>
        <v>0</v>
      </c>
      <c r="AH269" s="39" t="n">
        <f aca="false">SUM(B269:K269)-AG268</f>
        <v>0</v>
      </c>
    </row>
    <row r="270" customFormat="false" ht="15" hidden="false" customHeight="false" outlineLevel="0" collapsed="false">
      <c r="A270" s="40" t="n">
        <f aca="false">DATE(YEAR('Start Here'!$C$6),MONTH('Start Here'!$C$6)+263,1)</f>
        <v>54302</v>
      </c>
      <c r="B270" s="39" t="n">
        <f aca="false">ROUND(V269*(1+N('My Debts'!$D$6)/12),2)</f>
        <v>0</v>
      </c>
      <c r="C270" s="39" t="n">
        <f aca="false">ROUND(W269*(1+N('My Debts'!$D$7)/12),2)</f>
        <v>0</v>
      </c>
      <c r="D270" s="39" t="n">
        <f aca="false">ROUND(X269*(1+N('My Debts'!$D$8)/12),2)</f>
        <v>0</v>
      </c>
      <c r="E270" s="39" t="n">
        <f aca="false">ROUND(Y269*(1+N('My Debts'!$D$9)/12),2)</f>
        <v>0</v>
      </c>
      <c r="F270" s="39" t="n">
        <f aca="false">ROUND(Z269*(1+N('My Debts'!$D$10)/12),2)</f>
        <v>0</v>
      </c>
      <c r="G270" s="39" t="n">
        <f aca="false">ROUND(AA269*(1+N('My Debts'!$D$11)/12),2)</f>
        <v>0</v>
      </c>
      <c r="H270" s="39" t="n">
        <f aca="false">ROUND(AB269*(1+N('My Debts'!$D$12)/12),2)</f>
        <v>0</v>
      </c>
      <c r="I270" s="39" t="n">
        <f aca="false">ROUND(AC269*(1+N('My Debts'!$D$13)/12),2)</f>
        <v>0</v>
      </c>
      <c r="J270" s="39" t="n">
        <f aca="false">ROUND(AD269*(1+N('My Debts'!$D$14)/12),2)</f>
        <v>0</v>
      </c>
      <c r="K270" s="39" t="n">
        <f aca="false">ROUND(AE269*(1+N('My Debts'!$D$15)/12),2)</f>
        <v>0</v>
      </c>
      <c r="L270" s="39" t="n">
        <f aca="false">MIN(N('My Debts'!$E$6),B270)</f>
        <v>0</v>
      </c>
      <c r="M270" s="39" t="n">
        <f aca="false">MIN(N('My Debts'!$E$7),C270)</f>
        <v>0</v>
      </c>
      <c r="N270" s="39" t="n">
        <f aca="false">MIN(N('My Debts'!$E$8),D270)</f>
        <v>0</v>
      </c>
      <c r="O270" s="39" t="n">
        <f aca="false">MIN(N('My Debts'!$E$9),E270)</f>
        <v>0</v>
      </c>
      <c r="P270" s="39" t="n">
        <f aca="false">MIN(N('My Debts'!$E$10),F270)</f>
        <v>0</v>
      </c>
      <c r="Q270" s="39" t="n">
        <f aca="false">MIN(N('My Debts'!$E$11),G270)</f>
        <v>0</v>
      </c>
      <c r="R270" s="39" t="n">
        <f aca="false">MIN(N('My Debts'!$E$12),H270)</f>
        <v>0</v>
      </c>
      <c r="S270" s="39" t="n">
        <f aca="false">MIN(N('My Debts'!$E$13),I270)</f>
        <v>0</v>
      </c>
      <c r="T270" s="39" t="n">
        <f aca="false">MIN(N('My Debts'!$E$14),J270)</f>
        <v>0</v>
      </c>
      <c r="U270" s="39" t="n">
        <f aca="false">MIN(N('My Debts'!$E$15),K270)</f>
        <v>0</v>
      </c>
      <c r="V270" s="39" t="n">
        <f aca="false">ROUND(B270-L270-MIN(B270-L270,MAX(0,$AF270-SUMPRODUCT(--($B$4:$K$4&lt;B$4),$B270:$K270-$L270:$U270))),2)</f>
        <v>0</v>
      </c>
      <c r="W270" s="39" t="n">
        <f aca="false">ROUND(C270-M270-MIN(C270-M270,MAX(0,$AF270-SUMPRODUCT(--($B$4:$K$4&lt;C$4),$B270:$K270-$L270:$U270))),2)</f>
        <v>0</v>
      </c>
      <c r="X270" s="39" t="n">
        <f aca="false">ROUND(D270-N270-MIN(D270-N270,MAX(0,$AF270-SUMPRODUCT(--($B$4:$K$4&lt;D$4),$B270:$K270-$L270:$U270))),2)</f>
        <v>0</v>
      </c>
      <c r="Y270" s="39" t="n">
        <f aca="false">ROUND(E270-O270-MIN(E270-O270,MAX(0,$AF270-SUMPRODUCT(--($B$4:$K$4&lt;E$4),$B270:$K270-$L270:$U270))),2)</f>
        <v>0</v>
      </c>
      <c r="Z270" s="39" t="n">
        <f aca="false">ROUND(F270-P270-MIN(F270-P270,MAX(0,$AF270-SUMPRODUCT(--($B$4:$K$4&lt;F$4),$B270:$K270-$L270:$U270))),2)</f>
        <v>0</v>
      </c>
      <c r="AA270" s="39" t="n">
        <f aca="false">ROUND(G270-Q270-MIN(G270-Q270,MAX(0,$AF270-SUMPRODUCT(--($B$4:$K$4&lt;G$4),$B270:$K270-$L270:$U270))),2)</f>
        <v>0</v>
      </c>
      <c r="AB270" s="39" t="n">
        <f aca="false">ROUND(H270-R270-MIN(H270-R270,MAX(0,$AF270-SUMPRODUCT(--($B$4:$K$4&lt;H$4),$B270:$K270-$L270:$U270))),2)</f>
        <v>0</v>
      </c>
      <c r="AC270" s="39" t="n">
        <f aca="false">ROUND(I270-S270-MIN(I270-S270,MAX(0,$AF270-SUMPRODUCT(--($B$4:$K$4&lt;I$4),$B270:$K270-$L270:$U270))),2)</f>
        <v>0</v>
      </c>
      <c r="AD270" s="39" t="n">
        <f aca="false">ROUND(J270-T270-MIN(J270-T270,MAX(0,$AF270-SUMPRODUCT(--($B$4:$K$4&lt;J$4),$B270:$K270-$L270:$U270))),2)</f>
        <v>0</v>
      </c>
      <c r="AE270" s="39" t="n">
        <f aca="false">ROUND(K270-U270-MIN(K270-U270,MAX(0,$AF270-SUMPRODUCT(--($B$4:$K$4&lt;K$4),$B270:$K270-$L270:$U270))),2)</f>
        <v>0</v>
      </c>
      <c r="AF270" s="39" t="n">
        <f aca="false">MAX(0,'Start Here'!$C$5-SUM($L270:$U270))</f>
        <v>1200</v>
      </c>
      <c r="AG270" s="39" t="n">
        <f aca="false">SUM(V270:AE270)</f>
        <v>0</v>
      </c>
      <c r="AH270" s="39" t="n">
        <f aca="false">SUM(B270:K270)-AG269</f>
        <v>0</v>
      </c>
    </row>
    <row r="271" customFormat="false" ht="15" hidden="false" customHeight="false" outlineLevel="0" collapsed="false">
      <c r="A271" s="40" t="n">
        <f aca="false">DATE(YEAR('Start Here'!$C$6),MONTH('Start Here'!$C$6)+264,1)</f>
        <v>54332</v>
      </c>
      <c r="B271" s="39" t="n">
        <f aca="false">ROUND(V270*(1+N('My Debts'!$D$6)/12),2)</f>
        <v>0</v>
      </c>
      <c r="C271" s="39" t="n">
        <f aca="false">ROUND(W270*(1+N('My Debts'!$D$7)/12),2)</f>
        <v>0</v>
      </c>
      <c r="D271" s="39" t="n">
        <f aca="false">ROUND(X270*(1+N('My Debts'!$D$8)/12),2)</f>
        <v>0</v>
      </c>
      <c r="E271" s="39" t="n">
        <f aca="false">ROUND(Y270*(1+N('My Debts'!$D$9)/12),2)</f>
        <v>0</v>
      </c>
      <c r="F271" s="39" t="n">
        <f aca="false">ROUND(Z270*(1+N('My Debts'!$D$10)/12),2)</f>
        <v>0</v>
      </c>
      <c r="G271" s="39" t="n">
        <f aca="false">ROUND(AA270*(1+N('My Debts'!$D$11)/12),2)</f>
        <v>0</v>
      </c>
      <c r="H271" s="39" t="n">
        <f aca="false">ROUND(AB270*(1+N('My Debts'!$D$12)/12),2)</f>
        <v>0</v>
      </c>
      <c r="I271" s="39" t="n">
        <f aca="false">ROUND(AC270*(1+N('My Debts'!$D$13)/12),2)</f>
        <v>0</v>
      </c>
      <c r="J271" s="39" t="n">
        <f aca="false">ROUND(AD270*(1+N('My Debts'!$D$14)/12),2)</f>
        <v>0</v>
      </c>
      <c r="K271" s="39" t="n">
        <f aca="false">ROUND(AE270*(1+N('My Debts'!$D$15)/12),2)</f>
        <v>0</v>
      </c>
      <c r="L271" s="39" t="n">
        <f aca="false">MIN(N('My Debts'!$E$6),B271)</f>
        <v>0</v>
      </c>
      <c r="M271" s="39" t="n">
        <f aca="false">MIN(N('My Debts'!$E$7),C271)</f>
        <v>0</v>
      </c>
      <c r="N271" s="39" t="n">
        <f aca="false">MIN(N('My Debts'!$E$8),D271)</f>
        <v>0</v>
      </c>
      <c r="O271" s="39" t="n">
        <f aca="false">MIN(N('My Debts'!$E$9),E271)</f>
        <v>0</v>
      </c>
      <c r="P271" s="39" t="n">
        <f aca="false">MIN(N('My Debts'!$E$10),F271)</f>
        <v>0</v>
      </c>
      <c r="Q271" s="39" t="n">
        <f aca="false">MIN(N('My Debts'!$E$11),G271)</f>
        <v>0</v>
      </c>
      <c r="R271" s="39" t="n">
        <f aca="false">MIN(N('My Debts'!$E$12),H271)</f>
        <v>0</v>
      </c>
      <c r="S271" s="39" t="n">
        <f aca="false">MIN(N('My Debts'!$E$13),I271)</f>
        <v>0</v>
      </c>
      <c r="T271" s="39" t="n">
        <f aca="false">MIN(N('My Debts'!$E$14),J271)</f>
        <v>0</v>
      </c>
      <c r="U271" s="39" t="n">
        <f aca="false">MIN(N('My Debts'!$E$15),K271)</f>
        <v>0</v>
      </c>
      <c r="V271" s="39" t="n">
        <f aca="false">ROUND(B271-L271-MIN(B271-L271,MAX(0,$AF271-SUMPRODUCT(--($B$4:$K$4&lt;B$4),$B271:$K271-$L271:$U271))),2)</f>
        <v>0</v>
      </c>
      <c r="W271" s="39" t="n">
        <f aca="false">ROUND(C271-M271-MIN(C271-M271,MAX(0,$AF271-SUMPRODUCT(--($B$4:$K$4&lt;C$4),$B271:$K271-$L271:$U271))),2)</f>
        <v>0</v>
      </c>
      <c r="X271" s="39" t="n">
        <f aca="false">ROUND(D271-N271-MIN(D271-N271,MAX(0,$AF271-SUMPRODUCT(--($B$4:$K$4&lt;D$4),$B271:$K271-$L271:$U271))),2)</f>
        <v>0</v>
      </c>
      <c r="Y271" s="39" t="n">
        <f aca="false">ROUND(E271-O271-MIN(E271-O271,MAX(0,$AF271-SUMPRODUCT(--($B$4:$K$4&lt;E$4),$B271:$K271-$L271:$U271))),2)</f>
        <v>0</v>
      </c>
      <c r="Z271" s="39" t="n">
        <f aca="false">ROUND(F271-P271-MIN(F271-P271,MAX(0,$AF271-SUMPRODUCT(--($B$4:$K$4&lt;F$4),$B271:$K271-$L271:$U271))),2)</f>
        <v>0</v>
      </c>
      <c r="AA271" s="39" t="n">
        <f aca="false">ROUND(G271-Q271-MIN(G271-Q271,MAX(0,$AF271-SUMPRODUCT(--($B$4:$K$4&lt;G$4),$B271:$K271-$L271:$U271))),2)</f>
        <v>0</v>
      </c>
      <c r="AB271" s="39" t="n">
        <f aca="false">ROUND(H271-R271-MIN(H271-R271,MAX(0,$AF271-SUMPRODUCT(--($B$4:$K$4&lt;H$4),$B271:$K271-$L271:$U271))),2)</f>
        <v>0</v>
      </c>
      <c r="AC271" s="39" t="n">
        <f aca="false">ROUND(I271-S271-MIN(I271-S271,MAX(0,$AF271-SUMPRODUCT(--($B$4:$K$4&lt;I$4),$B271:$K271-$L271:$U271))),2)</f>
        <v>0</v>
      </c>
      <c r="AD271" s="39" t="n">
        <f aca="false">ROUND(J271-T271-MIN(J271-T271,MAX(0,$AF271-SUMPRODUCT(--($B$4:$K$4&lt;J$4),$B271:$K271-$L271:$U271))),2)</f>
        <v>0</v>
      </c>
      <c r="AE271" s="39" t="n">
        <f aca="false">ROUND(K271-U271-MIN(K271-U271,MAX(0,$AF271-SUMPRODUCT(--($B$4:$K$4&lt;K$4),$B271:$K271-$L271:$U271))),2)</f>
        <v>0</v>
      </c>
      <c r="AF271" s="39" t="n">
        <f aca="false">MAX(0,'Start Here'!$C$5-SUM($L271:$U271))</f>
        <v>1200</v>
      </c>
      <c r="AG271" s="39" t="n">
        <f aca="false">SUM(V271:AE271)</f>
        <v>0</v>
      </c>
      <c r="AH271" s="39" t="n">
        <f aca="false">SUM(B271:K271)-AG270</f>
        <v>0</v>
      </c>
    </row>
    <row r="272" customFormat="false" ht="15" hidden="false" customHeight="false" outlineLevel="0" collapsed="false">
      <c r="A272" s="40" t="n">
        <f aca="false">DATE(YEAR('Start Here'!$C$6),MONTH('Start Here'!$C$6)+265,1)</f>
        <v>54363</v>
      </c>
      <c r="B272" s="39" t="n">
        <f aca="false">ROUND(V271*(1+N('My Debts'!$D$6)/12),2)</f>
        <v>0</v>
      </c>
      <c r="C272" s="39" t="n">
        <f aca="false">ROUND(W271*(1+N('My Debts'!$D$7)/12),2)</f>
        <v>0</v>
      </c>
      <c r="D272" s="39" t="n">
        <f aca="false">ROUND(X271*(1+N('My Debts'!$D$8)/12),2)</f>
        <v>0</v>
      </c>
      <c r="E272" s="39" t="n">
        <f aca="false">ROUND(Y271*(1+N('My Debts'!$D$9)/12),2)</f>
        <v>0</v>
      </c>
      <c r="F272" s="39" t="n">
        <f aca="false">ROUND(Z271*(1+N('My Debts'!$D$10)/12),2)</f>
        <v>0</v>
      </c>
      <c r="G272" s="39" t="n">
        <f aca="false">ROUND(AA271*(1+N('My Debts'!$D$11)/12),2)</f>
        <v>0</v>
      </c>
      <c r="H272" s="39" t="n">
        <f aca="false">ROUND(AB271*(1+N('My Debts'!$D$12)/12),2)</f>
        <v>0</v>
      </c>
      <c r="I272" s="39" t="n">
        <f aca="false">ROUND(AC271*(1+N('My Debts'!$D$13)/12),2)</f>
        <v>0</v>
      </c>
      <c r="J272" s="39" t="n">
        <f aca="false">ROUND(AD271*(1+N('My Debts'!$D$14)/12),2)</f>
        <v>0</v>
      </c>
      <c r="K272" s="39" t="n">
        <f aca="false">ROUND(AE271*(1+N('My Debts'!$D$15)/12),2)</f>
        <v>0</v>
      </c>
      <c r="L272" s="39" t="n">
        <f aca="false">MIN(N('My Debts'!$E$6),B272)</f>
        <v>0</v>
      </c>
      <c r="M272" s="39" t="n">
        <f aca="false">MIN(N('My Debts'!$E$7),C272)</f>
        <v>0</v>
      </c>
      <c r="N272" s="39" t="n">
        <f aca="false">MIN(N('My Debts'!$E$8),D272)</f>
        <v>0</v>
      </c>
      <c r="O272" s="39" t="n">
        <f aca="false">MIN(N('My Debts'!$E$9),E272)</f>
        <v>0</v>
      </c>
      <c r="P272" s="39" t="n">
        <f aca="false">MIN(N('My Debts'!$E$10),F272)</f>
        <v>0</v>
      </c>
      <c r="Q272" s="39" t="n">
        <f aca="false">MIN(N('My Debts'!$E$11),G272)</f>
        <v>0</v>
      </c>
      <c r="R272" s="39" t="n">
        <f aca="false">MIN(N('My Debts'!$E$12),H272)</f>
        <v>0</v>
      </c>
      <c r="S272" s="39" t="n">
        <f aca="false">MIN(N('My Debts'!$E$13),I272)</f>
        <v>0</v>
      </c>
      <c r="T272" s="39" t="n">
        <f aca="false">MIN(N('My Debts'!$E$14),J272)</f>
        <v>0</v>
      </c>
      <c r="U272" s="39" t="n">
        <f aca="false">MIN(N('My Debts'!$E$15),K272)</f>
        <v>0</v>
      </c>
      <c r="V272" s="39" t="n">
        <f aca="false">ROUND(B272-L272-MIN(B272-L272,MAX(0,$AF272-SUMPRODUCT(--($B$4:$K$4&lt;B$4),$B272:$K272-$L272:$U272))),2)</f>
        <v>0</v>
      </c>
      <c r="W272" s="39" t="n">
        <f aca="false">ROUND(C272-M272-MIN(C272-M272,MAX(0,$AF272-SUMPRODUCT(--($B$4:$K$4&lt;C$4),$B272:$K272-$L272:$U272))),2)</f>
        <v>0</v>
      </c>
      <c r="X272" s="39" t="n">
        <f aca="false">ROUND(D272-N272-MIN(D272-N272,MAX(0,$AF272-SUMPRODUCT(--($B$4:$K$4&lt;D$4),$B272:$K272-$L272:$U272))),2)</f>
        <v>0</v>
      </c>
      <c r="Y272" s="39" t="n">
        <f aca="false">ROUND(E272-O272-MIN(E272-O272,MAX(0,$AF272-SUMPRODUCT(--($B$4:$K$4&lt;E$4),$B272:$K272-$L272:$U272))),2)</f>
        <v>0</v>
      </c>
      <c r="Z272" s="39" t="n">
        <f aca="false">ROUND(F272-P272-MIN(F272-P272,MAX(0,$AF272-SUMPRODUCT(--($B$4:$K$4&lt;F$4),$B272:$K272-$L272:$U272))),2)</f>
        <v>0</v>
      </c>
      <c r="AA272" s="39" t="n">
        <f aca="false">ROUND(G272-Q272-MIN(G272-Q272,MAX(0,$AF272-SUMPRODUCT(--($B$4:$K$4&lt;G$4),$B272:$K272-$L272:$U272))),2)</f>
        <v>0</v>
      </c>
      <c r="AB272" s="39" t="n">
        <f aca="false">ROUND(H272-R272-MIN(H272-R272,MAX(0,$AF272-SUMPRODUCT(--($B$4:$K$4&lt;H$4),$B272:$K272-$L272:$U272))),2)</f>
        <v>0</v>
      </c>
      <c r="AC272" s="39" t="n">
        <f aca="false">ROUND(I272-S272-MIN(I272-S272,MAX(0,$AF272-SUMPRODUCT(--($B$4:$K$4&lt;I$4),$B272:$K272-$L272:$U272))),2)</f>
        <v>0</v>
      </c>
      <c r="AD272" s="39" t="n">
        <f aca="false">ROUND(J272-T272-MIN(J272-T272,MAX(0,$AF272-SUMPRODUCT(--($B$4:$K$4&lt;J$4),$B272:$K272-$L272:$U272))),2)</f>
        <v>0</v>
      </c>
      <c r="AE272" s="39" t="n">
        <f aca="false">ROUND(K272-U272-MIN(K272-U272,MAX(0,$AF272-SUMPRODUCT(--($B$4:$K$4&lt;K$4),$B272:$K272-$L272:$U272))),2)</f>
        <v>0</v>
      </c>
      <c r="AF272" s="39" t="n">
        <f aca="false">MAX(0,'Start Here'!$C$5-SUM($L272:$U272))</f>
        <v>1200</v>
      </c>
      <c r="AG272" s="39" t="n">
        <f aca="false">SUM(V272:AE272)</f>
        <v>0</v>
      </c>
      <c r="AH272" s="39" t="n">
        <f aca="false">SUM(B272:K272)-AG271</f>
        <v>0</v>
      </c>
    </row>
    <row r="273" customFormat="false" ht="15" hidden="false" customHeight="false" outlineLevel="0" collapsed="false">
      <c r="A273" s="40" t="n">
        <f aca="false">DATE(YEAR('Start Here'!$C$6),MONTH('Start Here'!$C$6)+266,1)</f>
        <v>54393</v>
      </c>
      <c r="B273" s="39" t="n">
        <f aca="false">ROUND(V272*(1+N('My Debts'!$D$6)/12),2)</f>
        <v>0</v>
      </c>
      <c r="C273" s="39" t="n">
        <f aca="false">ROUND(W272*(1+N('My Debts'!$D$7)/12),2)</f>
        <v>0</v>
      </c>
      <c r="D273" s="39" t="n">
        <f aca="false">ROUND(X272*(1+N('My Debts'!$D$8)/12),2)</f>
        <v>0</v>
      </c>
      <c r="E273" s="39" t="n">
        <f aca="false">ROUND(Y272*(1+N('My Debts'!$D$9)/12),2)</f>
        <v>0</v>
      </c>
      <c r="F273" s="39" t="n">
        <f aca="false">ROUND(Z272*(1+N('My Debts'!$D$10)/12),2)</f>
        <v>0</v>
      </c>
      <c r="G273" s="39" t="n">
        <f aca="false">ROUND(AA272*(1+N('My Debts'!$D$11)/12),2)</f>
        <v>0</v>
      </c>
      <c r="H273" s="39" t="n">
        <f aca="false">ROUND(AB272*(1+N('My Debts'!$D$12)/12),2)</f>
        <v>0</v>
      </c>
      <c r="I273" s="39" t="n">
        <f aca="false">ROUND(AC272*(1+N('My Debts'!$D$13)/12),2)</f>
        <v>0</v>
      </c>
      <c r="J273" s="39" t="n">
        <f aca="false">ROUND(AD272*(1+N('My Debts'!$D$14)/12),2)</f>
        <v>0</v>
      </c>
      <c r="K273" s="39" t="n">
        <f aca="false">ROUND(AE272*(1+N('My Debts'!$D$15)/12),2)</f>
        <v>0</v>
      </c>
      <c r="L273" s="39" t="n">
        <f aca="false">MIN(N('My Debts'!$E$6),B273)</f>
        <v>0</v>
      </c>
      <c r="M273" s="39" t="n">
        <f aca="false">MIN(N('My Debts'!$E$7),C273)</f>
        <v>0</v>
      </c>
      <c r="N273" s="39" t="n">
        <f aca="false">MIN(N('My Debts'!$E$8),D273)</f>
        <v>0</v>
      </c>
      <c r="O273" s="39" t="n">
        <f aca="false">MIN(N('My Debts'!$E$9),E273)</f>
        <v>0</v>
      </c>
      <c r="P273" s="39" t="n">
        <f aca="false">MIN(N('My Debts'!$E$10),F273)</f>
        <v>0</v>
      </c>
      <c r="Q273" s="39" t="n">
        <f aca="false">MIN(N('My Debts'!$E$11),G273)</f>
        <v>0</v>
      </c>
      <c r="R273" s="39" t="n">
        <f aca="false">MIN(N('My Debts'!$E$12),H273)</f>
        <v>0</v>
      </c>
      <c r="S273" s="39" t="n">
        <f aca="false">MIN(N('My Debts'!$E$13),I273)</f>
        <v>0</v>
      </c>
      <c r="T273" s="39" t="n">
        <f aca="false">MIN(N('My Debts'!$E$14),J273)</f>
        <v>0</v>
      </c>
      <c r="U273" s="39" t="n">
        <f aca="false">MIN(N('My Debts'!$E$15),K273)</f>
        <v>0</v>
      </c>
      <c r="V273" s="39" t="n">
        <f aca="false">ROUND(B273-L273-MIN(B273-L273,MAX(0,$AF273-SUMPRODUCT(--($B$4:$K$4&lt;B$4),$B273:$K273-$L273:$U273))),2)</f>
        <v>0</v>
      </c>
      <c r="W273" s="39" t="n">
        <f aca="false">ROUND(C273-M273-MIN(C273-M273,MAX(0,$AF273-SUMPRODUCT(--($B$4:$K$4&lt;C$4),$B273:$K273-$L273:$U273))),2)</f>
        <v>0</v>
      </c>
      <c r="X273" s="39" t="n">
        <f aca="false">ROUND(D273-N273-MIN(D273-N273,MAX(0,$AF273-SUMPRODUCT(--($B$4:$K$4&lt;D$4),$B273:$K273-$L273:$U273))),2)</f>
        <v>0</v>
      </c>
      <c r="Y273" s="39" t="n">
        <f aca="false">ROUND(E273-O273-MIN(E273-O273,MAX(0,$AF273-SUMPRODUCT(--($B$4:$K$4&lt;E$4),$B273:$K273-$L273:$U273))),2)</f>
        <v>0</v>
      </c>
      <c r="Z273" s="39" t="n">
        <f aca="false">ROUND(F273-P273-MIN(F273-P273,MAX(0,$AF273-SUMPRODUCT(--($B$4:$K$4&lt;F$4),$B273:$K273-$L273:$U273))),2)</f>
        <v>0</v>
      </c>
      <c r="AA273" s="39" t="n">
        <f aca="false">ROUND(G273-Q273-MIN(G273-Q273,MAX(0,$AF273-SUMPRODUCT(--($B$4:$K$4&lt;G$4),$B273:$K273-$L273:$U273))),2)</f>
        <v>0</v>
      </c>
      <c r="AB273" s="39" t="n">
        <f aca="false">ROUND(H273-R273-MIN(H273-R273,MAX(0,$AF273-SUMPRODUCT(--($B$4:$K$4&lt;H$4),$B273:$K273-$L273:$U273))),2)</f>
        <v>0</v>
      </c>
      <c r="AC273" s="39" t="n">
        <f aca="false">ROUND(I273-S273-MIN(I273-S273,MAX(0,$AF273-SUMPRODUCT(--($B$4:$K$4&lt;I$4),$B273:$K273-$L273:$U273))),2)</f>
        <v>0</v>
      </c>
      <c r="AD273" s="39" t="n">
        <f aca="false">ROUND(J273-T273-MIN(J273-T273,MAX(0,$AF273-SUMPRODUCT(--($B$4:$K$4&lt;J$4),$B273:$K273-$L273:$U273))),2)</f>
        <v>0</v>
      </c>
      <c r="AE273" s="39" t="n">
        <f aca="false">ROUND(K273-U273-MIN(K273-U273,MAX(0,$AF273-SUMPRODUCT(--($B$4:$K$4&lt;K$4),$B273:$K273-$L273:$U273))),2)</f>
        <v>0</v>
      </c>
      <c r="AF273" s="39" t="n">
        <f aca="false">MAX(0,'Start Here'!$C$5-SUM($L273:$U273))</f>
        <v>1200</v>
      </c>
      <c r="AG273" s="39" t="n">
        <f aca="false">SUM(V273:AE273)</f>
        <v>0</v>
      </c>
      <c r="AH273" s="39" t="n">
        <f aca="false">SUM(B273:K273)-AG272</f>
        <v>0</v>
      </c>
    </row>
    <row r="274" customFormat="false" ht="15" hidden="false" customHeight="false" outlineLevel="0" collapsed="false">
      <c r="A274" s="40" t="n">
        <f aca="false">DATE(YEAR('Start Here'!$C$6),MONTH('Start Here'!$C$6)+267,1)</f>
        <v>54424</v>
      </c>
      <c r="B274" s="39" t="n">
        <f aca="false">ROUND(V273*(1+N('My Debts'!$D$6)/12),2)</f>
        <v>0</v>
      </c>
      <c r="C274" s="39" t="n">
        <f aca="false">ROUND(W273*(1+N('My Debts'!$D$7)/12),2)</f>
        <v>0</v>
      </c>
      <c r="D274" s="39" t="n">
        <f aca="false">ROUND(X273*(1+N('My Debts'!$D$8)/12),2)</f>
        <v>0</v>
      </c>
      <c r="E274" s="39" t="n">
        <f aca="false">ROUND(Y273*(1+N('My Debts'!$D$9)/12),2)</f>
        <v>0</v>
      </c>
      <c r="F274" s="39" t="n">
        <f aca="false">ROUND(Z273*(1+N('My Debts'!$D$10)/12),2)</f>
        <v>0</v>
      </c>
      <c r="G274" s="39" t="n">
        <f aca="false">ROUND(AA273*(1+N('My Debts'!$D$11)/12),2)</f>
        <v>0</v>
      </c>
      <c r="H274" s="39" t="n">
        <f aca="false">ROUND(AB273*(1+N('My Debts'!$D$12)/12),2)</f>
        <v>0</v>
      </c>
      <c r="I274" s="39" t="n">
        <f aca="false">ROUND(AC273*(1+N('My Debts'!$D$13)/12),2)</f>
        <v>0</v>
      </c>
      <c r="J274" s="39" t="n">
        <f aca="false">ROUND(AD273*(1+N('My Debts'!$D$14)/12),2)</f>
        <v>0</v>
      </c>
      <c r="K274" s="39" t="n">
        <f aca="false">ROUND(AE273*(1+N('My Debts'!$D$15)/12),2)</f>
        <v>0</v>
      </c>
      <c r="L274" s="39" t="n">
        <f aca="false">MIN(N('My Debts'!$E$6),B274)</f>
        <v>0</v>
      </c>
      <c r="M274" s="39" t="n">
        <f aca="false">MIN(N('My Debts'!$E$7),C274)</f>
        <v>0</v>
      </c>
      <c r="N274" s="39" t="n">
        <f aca="false">MIN(N('My Debts'!$E$8),D274)</f>
        <v>0</v>
      </c>
      <c r="O274" s="39" t="n">
        <f aca="false">MIN(N('My Debts'!$E$9),E274)</f>
        <v>0</v>
      </c>
      <c r="P274" s="39" t="n">
        <f aca="false">MIN(N('My Debts'!$E$10),F274)</f>
        <v>0</v>
      </c>
      <c r="Q274" s="39" t="n">
        <f aca="false">MIN(N('My Debts'!$E$11),G274)</f>
        <v>0</v>
      </c>
      <c r="R274" s="39" t="n">
        <f aca="false">MIN(N('My Debts'!$E$12),H274)</f>
        <v>0</v>
      </c>
      <c r="S274" s="39" t="n">
        <f aca="false">MIN(N('My Debts'!$E$13),I274)</f>
        <v>0</v>
      </c>
      <c r="T274" s="39" t="n">
        <f aca="false">MIN(N('My Debts'!$E$14),J274)</f>
        <v>0</v>
      </c>
      <c r="U274" s="39" t="n">
        <f aca="false">MIN(N('My Debts'!$E$15),K274)</f>
        <v>0</v>
      </c>
      <c r="V274" s="39" t="n">
        <f aca="false">ROUND(B274-L274-MIN(B274-L274,MAX(0,$AF274-SUMPRODUCT(--($B$4:$K$4&lt;B$4),$B274:$K274-$L274:$U274))),2)</f>
        <v>0</v>
      </c>
      <c r="W274" s="39" t="n">
        <f aca="false">ROUND(C274-M274-MIN(C274-M274,MAX(0,$AF274-SUMPRODUCT(--($B$4:$K$4&lt;C$4),$B274:$K274-$L274:$U274))),2)</f>
        <v>0</v>
      </c>
      <c r="X274" s="39" t="n">
        <f aca="false">ROUND(D274-N274-MIN(D274-N274,MAX(0,$AF274-SUMPRODUCT(--($B$4:$K$4&lt;D$4),$B274:$K274-$L274:$U274))),2)</f>
        <v>0</v>
      </c>
      <c r="Y274" s="39" t="n">
        <f aca="false">ROUND(E274-O274-MIN(E274-O274,MAX(0,$AF274-SUMPRODUCT(--($B$4:$K$4&lt;E$4),$B274:$K274-$L274:$U274))),2)</f>
        <v>0</v>
      </c>
      <c r="Z274" s="39" t="n">
        <f aca="false">ROUND(F274-P274-MIN(F274-P274,MAX(0,$AF274-SUMPRODUCT(--($B$4:$K$4&lt;F$4),$B274:$K274-$L274:$U274))),2)</f>
        <v>0</v>
      </c>
      <c r="AA274" s="39" t="n">
        <f aca="false">ROUND(G274-Q274-MIN(G274-Q274,MAX(0,$AF274-SUMPRODUCT(--($B$4:$K$4&lt;G$4),$B274:$K274-$L274:$U274))),2)</f>
        <v>0</v>
      </c>
      <c r="AB274" s="39" t="n">
        <f aca="false">ROUND(H274-R274-MIN(H274-R274,MAX(0,$AF274-SUMPRODUCT(--($B$4:$K$4&lt;H$4),$B274:$K274-$L274:$U274))),2)</f>
        <v>0</v>
      </c>
      <c r="AC274" s="39" t="n">
        <f aca="false">ROUND(I274-S274-MIN(I274-S274,MAX(0,$AF274-SUMPRODUCT(--($B$4:$K$4&lt;I$4),$B274:$K274-$L274:$U274))),2)</f>
        <v>0</v>
      </c>
      <c r="AD274" s="39" t="n">
        <f aca="false">ROUND(J274-T274-MIN(J274-T274,MAX(0,$AF274-SUMPRODUCT(--($B$4:$K$4&lt;J$4),$B274:$K274-$L274:$U274))),2)</f>
        <v>0</v>
      </c>
      <c r="AE274" s="39" t="n">
        <f aca="false">ROUND(K274-U274-MIN(K274-U274,MAX(0,$AF274-SUMPRODUCT(--($B$4:$K$4&lt;K$4),$B274:$K274-$L274:$U274))),2)</f>
        <v>0</v>
      </c>
      <c r="AF274" s="39" t="n">
        <f aca="false">MAX(0,'Start Here'!$C$5-SUM($L274:$U274))</f>
        <v>1200</v>
      </c>
      <c r="AG274" s="39" t="n">
        <f aca="false">SUM(V274:AE274)</f>
        <v>0</v>
      </c>
      <c r="AH274" s="39" t="n">
        <f aca="false">SUM(B274:K274)-AG273</f>
        <v>0</v>
      </c>
    </row>
    <row r="275" customFormat="false" ht="15" hidden="false" customHeight="false" outlineLevel="0" collapsed="false">
      <c r="A275" s="40" t="n">
        <f aca="false">DATE(YEAR('Start Here'!$C$6),MONTH('Start Here'!$C$6)+268,1)</f>
        <v>54455</v>
      </c>
      <c r="B275" s="39" t="n">
        <f aca="false">ROUND(V274*(1+N('My Debts'!$D$6)/12),2)</f>
        <v>0</v>
      </c>
      <c r="C275" s="39" t="n">
        <f aca="false">ROUND(W274*(1+N('My Debts'!$D$7)/12),2)</f>
        <v>0</v>
      </c>
      <c r="D275" s="39" t="n">
        <f aca="false">ROUND(X274*(1+N('My Debts'!$D$8)/12),2)</f>
        <v>0</v>
      </c>
      <c r="E275" s="39" t="n">
        <f aca="false">ROUND(Y274*(1+N('My Debts'!$D$9)/12),2)</f>
        <v>0</v>
      </c>
      <c r="F275" s="39" t="n">
        <f aca="false">ROUND(Z274*(1+N('My Debts'!$D$10)/12),2)</f>
        <v>0</v>
      </c>
      <c r="G275" s="39" t="n">
        <f aca="false">ROUND(AA274*(1+N('My Debts'!$D$11)/12),2)</f>
        <v>0</v>
      </c>
      <c r="H275" s="39" t="n">
        <f aca="false">ROUND(AB274*(1+N('My Debts'!$D$12)/12),2)</f>
        <v>0</v>
      </c>
      <c r="I275" s="39" t="n">
        <f aca="false">ROUND(AC274*(1+N('My Debts'!$D$13)/12),2)</f>
        <v>0</v>
      </c>
      <c r="J275" s="39" t="n">
        <f aca="false">ROUND(AD274*(1+N('My Debts'!$D$14)/12),2)</f>
        <v>0</v>
      </c>
      <c r="K275" s="39" t="n">
        <f aca="false">ROUND(AE274*(1+N('My Debts'!$D$15)/12),2)</f>
        <v>0</v>
      </c>
      <c r="L275" s="39" t="n">
        <f aca="false">MIN(N('My Debts'!$E$6),B275)</f>
        <v>0</v>
      </c>
      <c r="M275" s="39" t="n">
        <f aca="false">MIN(N('My Debts'!$E$7),C275)</f>
        <v>0</v>
      </c>
      <c r="N275" s="39" t="n">
        <f aca="false">MIN(N('My Debts'!$E$8),D275)</f>
        <v>0</v>
      </c>
      <c r="O275" s="39" t="n">
        <f aca="false">MIN(N('My Debts'!$E$9),E275)</f>
        <v>0</v>
      </c>
      <c r="P275" s="39" t="n">
        <f aca="false">MIN(N('My Debts'!$E$10),F275)</f>
        <v>0</v>
      </c>
      <c r="Q275" s="39" t="n">
        <f aca="false">MIN(N('My Debts'!$E$11),G275)</f>
        <v>0</v>
      </c>
      <c r="R275" s="39" t="n">
        <f aca="false">MIN(N('My Debts'!$E$12),H275)</f>
        <v>0</v>
      </c>
      <c r="S275" s="39" t="n">
        <f aca="false">MIN(N('My Debts'!$E$13),I275)</f>
        <v>0</v>
      </c>
      <c r="T275" s="39" t="n">
        <f aca="false">MIN(N('My Debts'!$E$14),J275)</f>
        <v>0</v>
      </c>
      <c r="U275" s="39" t="n">
        <f aca="false">MIN(N('My Debts'!$E$15),K275)</f>
        <v>0</v>
      </c>
      <c r="V275" s="39" t="n">
        <f aca="false">ROUND(B275-L275-MIN(B275-L275,MAX(0,$AF275-SUMPRODUCT(--($B$4:$K$4&lt;B$4),$B275:$K275-$L275:$U275))),2)</f>
        <v>0</v>
      </c>
      <c r="W275" s="39" t="n">
        <f aca="false">ROUND(C275-M275-MIN(C275-M275,MAX(0,$AF275-SUMPRODUCT(--($B$4:$K$4&lt;C$4),$B275:$K275-$L275:$U275))),2)</f>
        <v>0</v>
      </c>
      <c r="X275" s="39" t="n">
        <f aca="false">ROUND(D275-N275-MIN(D275-N275,MAX(0,$AF275-SUMPRODUCT(--($B$4:$K$4&lt;D$4),$B275:$K275-$L275:$U275))),2)</f>
        <v>0</v>
      </c>
      <c r="Y275" s="39" t="n">
        <f aca="false">ROUND(E275-O275-MIN(E275-O275,MAX(0,$AF275-SUMPRODUCT(--($B$4:$K$4&lt;E$4),$B275:$K275-$L275:$U275))),2)</f>
        <v>0</v>
      </c>
      <c r="Z275" s="39" t="n">
        <f aca="false">ROUND(F275-P275-MIN(F275-P275,MAX(0,$AF275-SUMPRODUCT(--($B$4:$K$4&lt;F$4),$B275:$K275-$L275:$U275))),2)</f>
        <v>0</v>
      </c>
      <c r="AA275" s="39" t="n">
        <f aca="false">ROUND(G275-Q275-MIN(G275-Q275,MAX(0,$AF275-SUMPRODUCT(--($B$4:$K$4&lt;G$4),$B275:$K275-$L275:$U275))),2)</f>
        <v>0</v>
      </c>
      <c r="AB275" s="39" t="n">
        <f aca="false">ROUND(H275-R275-MIN(H275-R275,MAX(0,$AF275-SUMPRODUCT(--($B$4:$K$4&lt;H$4),$B275:$K275-$L275:$U275))),2)</f>
        <v>0</v>
      </c>
      <c r="AC275" s="39" t="n">
        <f aca="false">ROUND(I275-S275-MIN(I275-S275,MAX(0,$AF275-SUMPRODUCT(--($B$4:$K$4&lt;I$4),$B275:$K275-$L275:$U275))),2)</f>
        <v>0</v>
      </c>
      <c r="AD275" s="39" t="n">
        <f aca="false">ROUND(J275-T275-MIN(J275-T275,MAX(0,$AF275-SUMPRODUCT(--($B$4:$K$4&lt;J$4),$B275:$K275-$L275:$U275))),2)</f>
        <v>0</v>
      </c>
      <c r="AE275" s="39" t="n">
        <f aca="false">ROUND(K275-U275-MIN(K275-U275,MAX(0,$AF275-SUMPRODUCT(--($B$4:$K$4&lt;K$4),$B275:$K275-$L275:$U275))),2)</f>
        <v>0</v>
      </c>
      <c r="AF275" s="39" t="n">
        <f aca="false">MAX(0,'Start Here'!$C$5-SUM($L275:$U275))</f>
        <v>1200</v>
      </c>
      <c r="AG275" s="39" t="n">
        <f aca="false">SUM(V275:AE275)</f>
        <v>0</v>
      </c>
      <c r="AH275" s="39" t="n">
        <f aca="false">SUM(B275:K275)-AG274</f>
        <v>0</v>
      </c>
    </row>
    <row r="276" customFormat="false" ht="15" hidden="false" customHeight="false" outlineLevel="0" collapsed="false">
      <c r="A276" s="40" t="n">
        <f aca="false">DATE(YEAR('Start Here'!$C$6),MONTH('Start Here'!$C$6)+269,1)</f>
        <v>54483</v>
      </c>
      <c r="B276" s="39" t="n">
        <f aca="false">ROUND(V275*(1+N('My Debts'!$D$6)/12),2)</f>
        <v>0</v>
      </c>
      <c r="C276" s="39" t="n">
        <f aca="false">ROUND(W275*(1+N('My Debts'!$D$7)/12),2)</f>
        <v>0</v>
      </c>
      <c r="D276" s="39" t="n">
        <f aca="false">ROUND(X275*(1+N('My Debts'!$D$8)/12),2)</f>
        <v>0</v>
      </c>
      <c r="E276" s="39" t="n">
        <f aca="false">ROUND(Y275*(1+N('My Debts'!$D$9)/12),2)</f>
        <v>0</v>
      </c>
      <c r="F276" s="39" t="n">
        <f aca="false">ROUND(Z275*(1+N('My Debts'!$D$10)/12),2)</f>
        <v>0</v>
      </c>
      <c r="G276" s="39" t="n">
        <f aca="false">ROUND(AA275*(1+N('My Debts'!$D$11)/12),2)</f>
        <v>0</v>
      </c>
      <c r="H276" s="39" t="n">
        <f aca="false">ROUND(AB275*(1+N('My Debts'!$D$12)/12),2)</f>
        <v>0</v>
      </c>
      <c r="I276" s="39" t="n">
        <f aca="false">ROUND(AC275*(1+N('My Debts'!$D$13)/12),2)</f>
        <v>0</v>
      </c>
      <c r="J276" s="39" t="n">
        <f aca="false">ROUND(AD275*(1+N('My Debts'!$D$14)/12),2)</f>
        <v>0</v>
      </c>
      <c r="K276" s="39" t="n">
        <f aca="false">ROUND(AE275*(1+N('My Debts'!$D$15)/12),2)</f>
        <v>0</v>
      </c>
      <c r="L276" s="39" t="n">
        <f aca="false">MIN(N('My Debts'!$E$6),B276)</f>
        <v>0</v>
      </c>
      <c r="M276" s="39" t="n">
        <f aca="false">MIN(N('My Debts'!$E$7),C276)</f>
        <v>0</v>
      </c>
      <c r="N276" s="39" t="n">
        <f aca="false">MIN(N('My Debts'!$E$8),D276)</f>
        <v>0</v>
      </c>
      <c r="O276" s="39" t="n">
        <f aca="false">MIN(N('My Debts'!$E$9),E276)</f>
        <v>0</v>
      </c>
      <c r="P276" s="39" t="n">
        <f aca="false">MIN(N('My Debts'!$E$10),F276)</f>
        <v>0</v>
      </c>
      <c r="Q276" s="39" t="n">
        <f aca="false">MIN(N('My Debts'!$E$11),G276)</f>
        <v>0</v>
      </c>
      <c r="R276" s="39" t="n">
        <f aca="false">MIN(N('My Debts'!$E$12),H276)</f>
        <v>0</v>
      </c>
      <c r="S276" s="39" t="n">
        <f aca="false">MIN(N('My Debts'!$E$13),I276)</f>
        <v>0</v>
      </c>
      <c r="T276" s="39" t="n">
        <f aca="false">MIN(N('My Debts'!$E$14),J276)</f>
        <v>0</v>
      </c>
      <c r="U276" s="39" t="n">
        <f aca="false">MIN(N('My Debts'!$E$15),K276)</f>
        <v>0</v>
      </c>
      <c r="V276" s="39" t="n">
        <f aca="false">ROUND(B276-L276-MIN(B276-L276,MAX(0,$AF276-SUMPRODUCT(--($B$4:$K$4&lt;B$4),$B276:$K276-$L276:$U276))),2)</f>
        <v>0</v>
      </c>
      <c r="W276" s="39" t="n">
        <f aca="false">ROUND(C276-M276-MIN(C276-M276,MAX(0,$AF276-SUMPRODUCT(--($B$4:$K$4&lt;C$4),$B276:$K276-$L276:$U276))),2)</f>
        <v>0</v>
      </c>
      <c r="X276" s="39" t="n">
        <f aca="false">ROUND(D276-N276-MIN(D276-N276,MAX(0,$AF276-SUMPRODUCT(--($B$4:$K$4&lt;D$4),$B276:$K276-$L276:$U276))),2)</f>
        <v>0</v>
      </c>
      <c r="Y276" s="39" t="n">
        <f aca="false">ROUND(E276-O276-MIN(E276-O276,MAX(0,$AF276-SUMPRODUCT(--($B$4:$K$4&lt;E$4),$B276:$K276-$L276:$U276))),2)</f>
        <v>0</v>
      </c>
      <c r="Z276" s="39" t="n">
        <f aca="false">ROUND(F276-P276-MIN(F276-P276,MAX(0,$AF276-SUMPRODUCT(--($B$4:$K$4&lt;F$4),$B276:$K276-$L276:$U276))),2)</f>
        <v>0</v>
      </c>
      <c r="AA276" s="39" t="n">
        <f aca="false">ROUND(G276-Q276-MIN(G276-Q276,MAX(0,$AF276-SUMPRODUCT(--($B$4:$K$4&lt;G$4),$B276:$K276-$L276:$U276))),2)</f>
        <v>0</v>
      </c>
      <c r="AB276" s="39" t="n">
        <f aca="false">ROUND(H276-R276-MIN(H276-R276,MAX(0,$AF276-SUMPRODUCT(--($B$4:$K$4&lt;H$4),$B276:$K276-$L276:$U276))),2)</f>
        <v>0</v>
      </c>
      <c r="AC276" s="39" t="n">
        <f aca="false">ROUND(I276-S276-MIN(I276-S276,MAX(0,$AF276-SUMPRODUCT(--($B$4:$K$4&lt;I$4),$B276:$K276-$L276:$U276))),2)</f>
        <v>0</v>
      </c>
      <c r="AD276" s="39" t="n">
        <f aca="false">ROUND(J276-T276-MIN(J276-T276,MAX(0,$AF276-SUMPRODUCT(--($B$4:$K$4&lt;J$4),$B276:$K276-$L276:$U276))),2)</f>
        <v>0</v>
      </c>
      <c r="AE276" s="39" t="n">
        <f aca="false">ROUND(K276-U276-MIN(K276-U276,MAX(0,$AF276-SUMPRODUCT(--($B$4:$K$4&lt;K$4),$B276:$K276-$L276:$U276))),2)</f>
        <v>0</v>
      </c>
      <c r="AF276" s="39" t="n">
        <f aca="false">MAX(0,'Start Here'!$C$5-SUM($L276:$U276))</f>
        <v>1200</v>
      </c>
      <c r="AG276" s="39" t="n">
        <f aca="false">SUM(V276:AE276)</f>
        <v>0</v>
      </c>
      <c r="AH276" s="39" t="n">
        <f aca="false">SUM(B276:K276)-AG275</f>
        <v>0</v>
      </c>
    </row>
    <row r="277" customFormat="false" ht="15" hidden="false" customHeight="false" outlineLevel="0" collapsed="false">
      <c r="A277" s="40" t="n">
        <f aca="false">DATE(YEAR('Start Here'!$C$6),MONTH('Start Here'!$C$6)+270,1)</f>
        <v>54514</v>
      </c>
      <c r="B277" s="39" t="n">
        <f aca="false">ROUND(V276*(1+N('My Debts'!$D$6)/12),2)</f>
        <v>0</v>
      </c>
      <c r="C277" s="39" t="n">
        <f aca="false">ROUND(W276*(1+N('My Debts'!$D$7)/12),2)</f>
        <v>0</v>
      </c>
      <c r="D277" s="39" t="n">
        <f aca="false">ROUND(X276*(1+N('My Debts'!$D$8)/12),2)</f>
        <v>0</v>
      </c>
      <c r="E277" s="39" t="n">
        <f aca="false">ROUND(Y276*(1+N('My Debts'!$D$9)/12),2)</f>
        <v>0</v>
      </c>
      <c r="F277" s="39" t="n">
        <f aca="false">ROUND(Z276*(1+N('My Debts'!$D$10)/12),2)</f>
        <v>0</v>
      </c>
      <c r="G277" s="39" t="n">
        <f aca="false">ROUND(AA276*(1+N('My Debts'!$D$11)/12),2)</f>
        <v>0</v>
      </c>
      <c r="H277" s="39" t="n">
        <f aca="false">ROUND(AB276*(1+N('My Debts'!$D$12)/12),2)</f>
        <v>0</v>
      </c>
      <c r="I277" s="39" t="n">
        <f aca="false">ROUND(AC276*(1+N('My Debts'!$D$13)/12),2)</f>
        <v>0</v>
      </c>
      <c r="J277" s="39" t="n">
        <f aca="false">ROUND(AD276*(1+N('My Debts'!$D$14)/12),2)</f>
        <v>0</v>
      </c>
      <c r="K277" s="39" t="n">
        <f aca="false">ROUND(AE276*(1+N('My Debts'!$D$15)/12),2)</f>
        <v>0</v>
      </c>
      <c r="L277" s="39" t="n">
        <f aca="false">MIN(N('My Debts'!$E$6),B277)</f>
        <v>0</v>
      </c>
      <c r="M277" s="39" t="n">
        <f aca="false">MIN(N('My Debts'!$E$7),C277)</f>
        <v>0</v>
      </c>
      <c r="N277" s="39" t="n">
        <f aca="false">MIN(N('My Debts'!$E$8),D277)</f>
        <v>0</v>
      </c>
      <c r="O277" s="39" t="n">
        <f aca="false">MIN(N('My Debts'!$E$9),E277)</f>
        <v>0</v>
      </c>
      <c r="P277" s="39" t="n">
        <f aca="false">MIN(N('My Debts'!$E$10),F277)</f>
        <v>0</v>
      </c>
      <c r="Q277" s="39" t="n">
        <f aca="false">MIN(N('My Debts'!$E$11),G277)</f>
        <v>0</v>
      </c>
      <c r="R277" s="39" t="n">
        <f aca="false">MIN(N('My Debts'!$E$12),H277)</f>
        <v>0</v>
      </c>
      <c r="S277" s="39" t="n">
        <f aca="false">MIN(N('My Debts'!$E$13),I277)</f>
        <v>0</v>
      </c>
      <c r="T277" s="39" t="n">
        <f aca="false">MIN(N('My Debts'!$E$14),J277)</f>
        <v>0</v>
      </c>
      <c r="U277" s="39" t="n">
        <f aca="false">MIN(N('My Debts'!$E$15),K277)</f>
        <v>0</v>
      </c>
      <c r="V277" s="39" t="n">
        <f aca="false">ROUND(B277-L277-MIN(B277-L277,MAX(0,$AF277-SUMPRODUCT(--($B$4:$K$4&lt;B$4),$B277:$K277-$L277:$U277))),2)</f>
        <v>0</v>
      </c>
      <c r="W277" s="39" t="n">
        <f aca="false">ROUND(C277-M277-MIN(C277-M277,MAX(0,$AF277-SUMPRODUCT(--($B$4:$K$4&lt;C$4),$B277:$K277-$L277:$U277))),2)</f>
        <v>0</v>
      </c>
      <c r="X277" s="39" t="n">
        <f aca="false">ROUND(D277-N277-MIN(D277-N277,MAX(0,$AF277-SUMPRODUCT(--($B$4:$K$4&lt;D$4),$B277:$K277-$L277:$U277))),2)</f>
        <v>0</v>
      </c>
      <c r="Y277" s="39" t="n">
        <f aca="false">ROUND(E277-O277-MIN(E277-O277,MAX(0,$AF277-SUMPRODUCT(--($B$4:$K$4&lt;E$4),$B277:$K277-$L277:$U277))),2)</f>
        <v>0</v>
      </c>
      <c r="Z277" s="39" t="n">
        <f aca="false">ROUND(F277-P277-MIN(F277-P277,MAX(0,$AF277-SUMPRODUCT(--($B$4:$K$4&lt;F$4),$B277:$K277-$L277:$U277))),2)</f>
        <v>0</v>
      </c>
      <c r="AA277" s="39" t="n">
        <f aca="false">ROUND(G277-Q277-MIN(G277-Q277,MAX(0,$AF277-SUMPRODUCT(--($B$4:$K$4&lt;G$4),$B277:$K277-$L277:$U277))),2)</f>
        <v>0</v>
      </c>
      <c r="AB277" s="39" t="n">
        <f aca="false">ROUND(H277-R277-MIN(H277-R277,MAX(0,$AF277-SUMPRODUCT(--($B$4:$K$4&lt;H$4),$B277:$K277-$L277:$U277))),2)</f>
        <v>0</v>
      </c>
      <c r="AC277" s="39" t="n">
        <f aca="false">ROUND(I277-S277-MIN(I277-S277,MAX(0,$AF277-SUMPRODUCT(--($B$4:$K$4&lt;I$4),$B277:$K277-$L277:$U277))),2)</f>
        <v>0</v>
      </c>
      <c r="AD277" s="39" t="n">
        <f aca="false">ROUND(J277-T277-MIN(J277-T277,MAX(0,$AF277-SUMPRODUCT(--($B$4:$K$4&lt;J$4),$B277:$K277-$L277:$U277))),2)</f>
        <v>0</v>
      </c>
      <c r="AE277" s="39" t="n">
        <f aca="false">ROUND(K277-U277-MIN(K277-U277,MAX(0,$AF277-SUMPRODUCT(--($B$4:$K$4&lt;K$4),$B277:$K277-$L277:$U277))),2)</f>
        <v>0</v>
      </c>
      <c r="AF277" s="39" t="n">
        <f aca="false">MAX(0,'Start Here'!$C$5-SUM($L277:$U277))</f>
        <v>1200</v>
      </c>
      <c r="AG277" s="39" t="n">
        <f aca="false">SUM(V277:AE277)</f>
        <v>0</v>
      </c>
      <c r="AH277" s="39" t="n">
        <f aca="false">SUM(B277:K277)-AG276</f>
        <v>0</v>
      </c>
    </row>
    <row r="278" customFormat="false" ht="15" hidden="false" customHeight="false" outlineLevel="0" collapsed="false">
      <c r="A278" s="40" t="n">
        <f aca="false">DATE(YEAR('Start Here'!$C$6),MONTH('Start Here'!$C$6)+271,1)</f>
        <v>54544</v>
      </c>
      <c r="B278" s="39" t="n">
        <f aca="false">ROUND(V277*(1+N('My Debts'!$D$6)/12),2)</f>
        <v>0</v>
      </c>
      <c r="C278" s="39" t="n">
        <f aca="false">ROUND(W277*(1+N('My Debts'!$D$7)/12),2)</f>
        <v>0</v>
      </c>
      <c r="D278" s="39" t="n">
        <f aca="false">ROUND(X277*(1+N('My Debts'!$D$8)/12),2)</f>
        <v>0</v>
      </c>
      <c r="E278" s="39" t="n">
        <f aca="false">ROUND(Y277*(1+N('My Debts'!$D$9)/12),2)</f>
        <v>0</v>
      </c>
      <c r="F278" s="39" t="n">
        <f aca="false">ROUND(Z277*(1+N('My Debts'!$D$10)/12),2)</f>
        <v>0</v>
      </c>
      <c r="G278" s="39" t="n">
        <f aca="false">ROUND(AA277*(1+N('My Debts'!$D$11)/12),2)</f>
        <v>0</v>
      </c>
      <c r="H278" s="39" t="n">
        <f aca="false">ROUND(AB277*(1+N('My Debts'!$D$12)/12),2)</f>
        <v>0</v>
      </c>
      <c r="I278" s="39" t="n">
        <f aca="false">ROUND(AC277*(1+N('My Debts'!$D$13)/12),2)</f>
        <v>0</v>
      </c>
      <c r="J278" s="39" t="n">
        <f aca="false">ROUND(AD277*(1+N('My Debts'!$D$14)/12),2)</f>
        <v>0</v>
      </c>
      <c r="K278" s="39" t="n">
        <f aca="false">ROUND(AE277*(1+N('My Debts'!$D$15)/12),2)</f>
        <v>0</v>
      </c>
      <c r="L278" s="39" t="n">
        <f aca="false">MIN(N('My Debts'!$E$6),B278)</f>
        <v>0</v>
      </c>
      <c r="M278" s="39" t="n">
        <f aca="false">MIN(N('My Debts'!$E$7),C278)</f>
        <v>0</v>
      </c>
      <c r="N278" s="39" t="n">
        <f aca="false">MIN(N('My Debts'!$E$8),D278)</f>
        <v>0</v>
      </c>
      <c r="O278" s="39" t="n">
        <f aca="false">MIN(N('My Debts'!$E$9),E278)</f>
        <v>0</v>
      </c>
      <c r="P278" s="39" t="n">
        <f aca="false">MIN(N('My Debts'!$E$10),F278)</f>
        <v>0</v>
      </c>
      <c r="Q278" s="39" t="n">
        <f aca="false">MIN(N('My Debts'!$E$11),G278)</f>
        <v>0</v>
      </c>
      <c r="R278" s="39" t="n">
        <f aca="false">MIN(N('My Debts'!$E$12),H278)</f>
        <v>0</v>
      </c>
      <c r="S278" s="39" t="n">
        <f aca="false">MIN(N('My Debts'!$E$13),I278)</f>
        <v>0</v>
      </c>
      <c r="T278" s="39" t="n">
        <f aca="false">MIN(N('My Debts'!$E$14),J278)</f>
        <v>0</v>
      </c>
      <c r="U278" s="39" t="n">
        <f aca="false">MIN(N('My Debts'!$E$15),K278)</f>
        <v>0</v>
      </c>
      <c r="V278" s="39" t="n">
        <f aca="false">ROUND(B278-L278-MIN(B278-L278,MAX(0,$AF278-SUMPRODUCT(--($B$4:$K$4&lt;B$4),$B278:$K278-$L278:$U278))),2)</f>
        <v>0</v>
      </c>
      <c r="W278" s="39" t="n">
        <f aca="false">ROUND(C278-M278-MIN(C278-M278,MAX(0,$AF278-SUMPRODUCT(--($B$4:$K$4&lt;C$4),$B278:$K278-$L278:$U278))),2)</f>
        <v>0</v>
      </c>
      <c r="X278" s="39" t="n">
        <f aca="false">ROUND(D278-N278-MIN(D278-N278,MAX(0,$AF278-SUMPRODUCT(--($B$4:$K$4&lt;D$4),$B278:$K278-$L278:$U278))),2)</f>
        <v>0</v>
      </c>
      <c r="Y278" s="39" t="n">
        <f aca="false">ROUND(E278-O278-MIN(E278-O278,MAX(0,$AF278-SUMPRODUCT(--($B$4:$K$4&lt;E$4),$B278:$K278-$L278:$U278))),2)</f>
        <v>0</v>
      </c>
      <c r="Z278" s="39" t="n">
        <f aca="false">ROUND(F278-P278-MIN(F278-P278,MAX(0,$AF278-SUMPRODUCT(--($B$4:$K$4&lt;F$4),$B278:$K278-$L278:$U278))),2)</f>
        <v>0</v>
      </c>
      <c r="AA278" s="39" t="n">
        <f aca="false">ROUND(G278-Q278-MIN(G278-Q278,MAX(0,$AF278-SUMPRODUCT(--($B$4:$K$4&lt;G$4),$B278:$K278-$L278:$U278))),2)</f>
        <v>0</v>
      </c>
      <c r="AB278" s="39" t="n">
        <f aca="false">ROUND(H278-R278-MIN(H278-R278,MAX(0,$AF278-SUMPRODUCT(--($B$4:$K$4&lt;H$4),$B278:$K278-$L278:$U278))),2)</f>
        <v>0</v>
      </c>
      <c r="AC278" s="39" t="n">
        <f aca="false">ROUND(I278-S278-MIN(I278-S278,MAX(0,$AF278-SUMPRODUCT(--($B$4:$K$4&lt;I$4),$B278:$K278-$L278:$U278))),2)</f>
        <v>0</v>
      </c>
      <c r="AD278" s="39" t="n">
        <f aca="false">ROUND(J278-T278-MIN(J278-T278,MAX(0,$AF278-SUMPRODUCT(--($B$4:$K$4&lt;J$4),$B278:$K278-$L278:$U278))),2)</f>
        <v>0</v>
      </c>
      <c r="AE278" s="39" t="n">
        <f aca="false">ROUND(K278-U278-MIN(K278-U278,MAX(0,$AF278-SUMPRODUCT(--($B$4:$K$4&lt;K$4),$B278:$K278-$L278:$U278))),2)</f>
        <v>0</v>
      </c>
      <c r="AF278" s="39" t="n">
        <f aca="false">MAX(0,'Start Here'!$C$5-SUM($L278:$U278))</f>
        <v>1200</v>
      </c>
      <c r="AG278" s="39" t="n">
        <f aca="false">SUM(V278:AE278)</f>
        <v>0</v>
      </c>
      <c r="AH278" s="39" t="n">
        <f aca="false">SUM(B278:K278)-AG277</f>
        <v>0</v>
      </c>
    </row>
    <row r="279" customFormat="false" ht="15" hidden="false" customHeight="false" outlineLevel="0" collapsed="false">
      <c r="A279" s="40" t="n">
        <f aca="false">DATE(YEAR('Start Here'!$C$6),MONTH('Start Here'!$C$6)+272,1)</f>
        <v>54575</v>
      </c>
      <c r="B279" s="39" t="n">
        <f aca="false">ROUND(V278*(1+N('My Debts'!$D$6)/12),2)</f>
        <v>0</v>
      </c>
      <c r="C279" s="39" t="n">
        <f aca="false">ROUND(W278*(1+N('My Debts'!$D$7)/12),2)</f>
        <v>0</v>
      </c>
      <c r="D279" s="39" t="n">
        <f aca="false">ROUND(X278*(1+N('My Debts'!$D$8)/12),2)</f>
        <v>0</v>
      </c>
      <c r="E279" s="39" t="n">
        <f aca="false">ROUND(Y278*(1+N('My Debts'!$D$9)/12),2)</f>
        <v>0</v>
      </c>
      <c r="F279" s="39" t="n">
        <f aca="false">ROUND(Z278*(1+N('My Debts'!$D$10)/12),2)</f>
        <v>0</v>
      </c>
      <c r="G279" s="39" t="n">
        <f aca="false">ROUND(AA278*(1+N('My Debts'!$D$11)/12),2)</f>
        <v>0</v>
      </c>
      <c r="H279" s="39" t="n">
        <f aca="false">ROUND(AB278*(1+N('My Debts'!$D$12)/12),2)</f>
        <v>0</v>
      </c>
      <c r="I279" s="39" t="n">
        <f aca="false">ROUND(AC278*(1+N('My Debts'!$D$13)/12),2)</f>
        <v>0</v>
      </c>
      <c r="J279" s="39" t="n">
        <f aca="false">ROUND(AD278*(1+N('My Debts'!$D$14)/12),2)</f>
        <v>0</v>
      </c>
      <c r="K279" s="39" t="n">
        <f aca="false">ROUND(AE278*(1+N('My Debts'!$D$15)/12),2)</f>
        <v>0</v>
      </c>
      <c r="L279" s="39" t="n">
        <f aca="false">MIN(N('My Debts'!$E$6),B279)</f>
        <v>0</v>
      </c>
      <c r="M279" s="39" t="n">
        <f aca="false">MIN(N('My Debts'!$E$7),C279)</f>
        <v>0</v>
      </c>
      <c r="N279" s="39" t="n">
        <f aca="false">MIN(N('My Debts'!$E$8),D279)</f>
        <v>0</v>
      </c>
      <c r="O279" s="39" t="n">
        <f aca="false">MIN(N('My Debts'!$E$9),E279)</f>
        <v>0</v>
      </c>
      <c r="P279" s="39" t="n">
        <f aca="false">MIN(N('My Debts'!$E$10),F279)</f>
        <v>0</v>
      </c>
      <c r="Q279" s="39" t="n">
        <f aca="false">MIN(N('My Debts'!$E$11),G279)</f>
        <v>0</v>
      </c>
      <c r="R279" s="39" t="n">
        <f aca="false">MIN(N('My Debts'!$E$12),H279)</f>
        <v>0</v>
      </c>
      <c r="S279" s="39" t="n">
        <f aca="false">MIN(N('My Debts'!$E$13),I279)</f>
        <v>0</v>
      </c>
      <c r="T279" s="39" t="n">
        <f aca="false">MIN(N('My Debts'!$E$14),J279)</f>
        <v>0</v>
      </c>
      <c r="U279" s="39" t="n">
        <f aca="false">MIN(N('My Debts'!$E$15),K279)</f>
        <v>0</v>
      </c>
      <c r="V279" s="39" t="n">
        <f aca="false">ROUND(B279-L279-MIN(B279-L279,MAX(0,$AF279-SUMPRODUCT(--($B$4:$K$4&lt;B$4),$B279:$K279-$L279:$U279))),2)</f>
        <v>0</v>
      </c>
      <c r="W279" s="39" t="n">
        <f aca="false">ROUND(C279-M279-MIN(C279-M279,MAX(0,$AF279-SUMPRODUCT(--($B$4:$K$4&lt;C$4),$B279:$K279-$L279:$U279))),2)</f>
        <v>0</v>
      </c>
      <c r="X279" s="39" t="n">
        <f aca="false">ROUND(D279-N279-MIN(D279-N279,MAX(0,$AF279-SUMPRODUCT(--($B$4:$K$4&lt;D$4),$B279:$K279-$L279:$U279))),2)</f>
        <v>0</v>
      </c>
      <c r="Y279" s="39" t="n">
        <f aca="false">ROUND(E279-O279-MIN(E279-O279,MAX(0,$AF279-SUMPRODUCT(--($B$4:$K$4&lt;E$4),$B279:$K279-$L279:$U279))),2)</f>
        <v>0</v>
      </c>
      <c r="Z279" s="39" t="n">
        <f aca="false">ROUND(F279-P279-MIN(F279-P279,MAX(0,$AF279-SUMPRODUCT(--($B$4:$K$4&lt;F$4),$B279:$K279-$L279:$U279))),2)</f>
        <v>0</v>
      </c>
      <c r="AA279" s="39" t="n">
        <f aca="false">ROUND(G279-Q279-MIN(G279-Q279,MAX(0,$AF279-SUMPRODUCT(--($B$4:$K$4&lt;G$4),$B279:$K279-$L279:$U279))),2)</f>
        <v>0</v>
      </c>
      <c r="AB279" s="39" t="n">
        <f aca="false">ROUND(H279-R279-MIN(H279-R279,MAX(0,$AF279-SUMPRODUCT(--($B$4:$K$4&lt;H$4),$B279:$K279-$L279:$U279))),2)</f>
        <v>0</v>
      </c>
      <c r="AC279" s="39" t="n">
        <f aca="false">ROUND(I279-S279-MIN(I279-S279,MAX(0,$AF279-SUMPRODUCT(--($B$4:$K$4&lt;I$4),$B279:$K279-$L279:$U279))),2)</f>
        <v>0</v>
      </c>
      <c r="AD279" s="39" t="n">
        <f aca="false">ROUND(J279-T279-MIN(J279-T279,MAX(0,$AF279-SUMPRODUCT(--($B$4:$K$4&lt;J$4),$B279:$K279-$L279:$U279))),2)</f>
        <v>0</v>
      </c>
      <c r="AE279" s="39" t="n">
        <f aca="false">ROUND(K279-U279-MIN(K279-U279,MAX(0,$AF279-SUMPRODUCT(--($B$4:$K$4&lt;K$4),$B279:$K279-$L279:$U279))),2)</f>
        <v>0</v>
      </c>
      <c r="AF279" s="39" t="n">
        <f aca="false">MAX(0,'Start Here'!$C$5-SUM($L279:$U279))</f>
        <v>1200</v>
      </c>
      <c r="AG279" s="39" t="n">
        <f aca="false">SUM(V279:AE279)</f>
        <v>0</v>
      </c>
      <c r="AH279" s="39" t="n">
        <f aca="false">SUM(B279:K279)-AG278</f>
        <v>0</v>
      </c>
    </row>
    <row r="280" customFormat="false" ht="15" hidden="false" customHeight="false" outlineLevel="0" collapsed="false">
      <c r="A280" s="40" t="n">
        <f aca="false">DATE(YEAR('Start Here'!$C$6),MONTH('Start Here'!$C$6)+273,1)</f>
        <v>54605</v>
      </c>
      <c r="B280" s="39" t="n">
        <f aca="false">ROUND(V279*(1+N('My Debts'!$D$6)/12),2)</f>
        <v>0</v>
      </c>
      <c r="C280" s="39" t="n">
        <f aca="false">ROUND(W279*(1+N('My Debts'!$D$7)/12),2)</f>
        <v>0</v>
      </c>
      <c r="D280" s="39" t="n">
        <f aca="false">ROUND(X279*(1+N('My Debts'!$D$8)/12),2)</f>
        <v>0</v>
      </c>
      <c r="E280" s="39" t="n">
        <f aca="false">ROUND(Y279*(1+N('My Debts'!$D$9)/12),2)</f>
        <v>0</v>
      </c>
      <c r="F280" s="39" t="n">
        <f aca="false">ROUND(Z279*(1+N('My Debts'!$D$10)/12),2)</f>
        <v>0</v>
      </c>
      <c r="G280" s="39" t="n">
        <f aca="false">ROUND(AA279*(1+N('My Debts'!$D$11)/12),2)</f>
        <v>0</v>
      </c>
      <c r="H280" s="39" t="n">
        <f aca="false">ROUND(AB279*(1+N('My Debts'!$D$12)/12),2)</f>
        <v>0</v>
      </c>
      <c r="I280" s="39" t="n">
        <f aca="false">ROUND(AC279*(1+N('My Debts'!$D$13)/12),2)</f>
        <v>0</v>
      </c>
      <c r="J280" s="39" t="n">
        <f aca="false">ROUND(AD279*(1+N('My Debts'!$D$14)/12),2)</f>
        <v>0</v>
      </c>
      <c r="K280" s="39" t="n">
        <f aca="false">ROUND(AE279*(1+N('My Debts'!$D$15)/12),2)</f>
        <v>0</v>
      </c>
      <c r="L280" s="39" t="n">
        <f aca="false">MIN(N('My Debts'!$E$6),B280)</f>
        <v>0</v>
      </c>
      <c r="M280" s="39" t="n">
        <f aca="false">MIN(N('My Debts'!$E$7),C280)</f>
        <v>0</v>
      </c>
      <c r="N280" s="39" t="n">
        <f aca="false">MIN(N('My Debts'!$E$8),D280)</f>
        <v>0</v>
      </c>
      <c r="O280" s="39" t="n">
        <f aca="false">MIN(N('My Debts'!$E$9),E280)</f>
        <v>0</v>
      </c>
      <c r="P280" s="39" t="n">
        <f aca="false">MIN(N('My Debts'!$E$10),F280)</f>
        <v>0</v>
      </c>
      <c r="Q280" s="39" t="n">
        <f aca="false">MIN(N('My Debts'!$E$11),G280)</f>
        <v>0</v>
      </c>
      <c r="R280" s="39" t="n">
        <f aca="false">MIN(N('My Debts'!$E$12),H280)</f>
        <v>0</v>
      </c>
      <c r="S280" s="39" t="n">
        <f aca="false">MIN(N('My Debts'!$E$13),I280)</f>
        <v>0</v>
      </c>
      <c r="T280" s="39" t="n">
        <f aca="false">MIN(N('My Debts'!$E$14),J280)</f>
        <v>0</v>
      </c>
      <c r="U280" s="39" t="n">
        <f aca="false">MIN(N('My Debts'!$E$15),K280)</f>
        <v>0</v>
      </c>
      <c r="V280" s="39" t="n">
        <f aca="false">ROUND(B280-L280-MIN(B280-L280,MAX(0,$AF280-SUMPRODUCT(--($B$4:$K$4&lt;B$4),$B280:$K280-$L280:$U280))),2)</f>
        <v>0</v>
      </c>
      <c r="W280" s="39" t="n">
        <f aca="false">ROUND(C280-M280-MIN(C280-M280,MAX(0,$AF280-SUMPRODUCT(--($B$4:$K$4&lt;C$4),$B280:$K280-$L280:$U280))),2)</f>
        <v>0</v>
      </c>
      <c r="X280" s="39" t="n">
        <f aca="false">ROUND(D280-N280-MIN(D280-N280,MAX(0,$AF280-SUMPRODUCT(--($B$4:$K$4&lt;D$4),$B280:$K280-$L280:$U280))),2)</f>
        <v>0</v>
      </c>
      <c r="Y280" s="39" t="n">
        <f aca="false">ROUND(E280-O280-MIN(E280-O280,MAX(0,$AF280-SUMPRODUCT(--($B$4:$K$4&lt;E$4),$B280:$K280-$L280:$U280))),2)</f>
        <v>0</v>
      </c>
      <c r="Z280" s="39" t="n">
        <f aca="false">ROUND(F280-P280-MIN(F280-P280,MAX(0,$AF280-SUMPRODUCT(--($B$4:$K$4&lt;F$4),$B280:$K280-$L280:$U280))),2)</f>
        <v>0</v>
      </c>
      <c r="AA280" s="39" t="n">
        <f aca="false">ROUND(G280-Q280-MIN(G280-Q280,MAX(0,$AF280-SUMPRODUCT(--($B$4:$K$4&lt;G$4),$B280:$K280-$L280:$U280))),2)</f>
        <v>0</v>
      </c>
      <c r="AB280" s="39" t="n">
        <f aca="false">ROUND(H280-R280-MIN(H280-R280,MAX(0,$AF280-SUMPRODUCT(--($B$4:$K$4&lt;H$4),$B280:$K280-$L280:$U280))),2)</f>
        <v>0</v>
      </c>
      <c r="AC280" s="39" t="n">
        <f aca="false">ROUND(I280-S280-MIN(I280-S280,MAX(0,$AF280-SUMPRODUCT(--($B$4:$K$4&lt;I$4),$B280:$K280-$L280:$U280))),2)</f>
        <v>0</v>
      </c>
      <c r="AD280" s="39" t="n">
        <f aca="false">ROUND(J280-T280-MIN(J280-T280,MAX(0,$AF280-SUMPRODUCT(--($B$4:$K$4&lt;J$4),$B280:$K280-$L280:$U280))),2)</f>
        <v>0</v>
      </c>
      <c r="AE280" s="39" t="n">
        <f aca="false">ROUND(K280-U280-MIN(K280-U280,MAX(0,$AF280-SUMPRODUCT(--($B$4:$K$4&lt;K$4),$B280:$K280-$L280:$U280))),2)</f>
        <v>0</v>
      </c>
      <c r="AF280" s="39" t="n">
        <f aca="false">MAX(0,'Start Here'!$C$5-SUM($L280:$U280))</f>
        <v>1200</v>
      </c>
      <c r="AG280" s="39" t="n">
        <f aca="false">SUM(V280:AE280)</f>
        <v>0</v>
      </c>
      <c r="AH280" s="39" t="n">
        <f aca="false">SUM(B280:K280)-AG279</f>
        <v>0</v>
      </c>
    </row>
    <row r="281" customFormat="false" ht="15" hidden="false" customHeight="false" outlineLevel="0" collapsed="false">
      <c r="A281" s="40" t="n">
        <f aca="false">DATE(YEAR('Start Here'!$C$6),MONTH('Start Here'!$C$6)+274,1)</f>
        <v>54636</v>
      </c>
      <c r="B281" s="39" t="n">
        <f aca="false">ROUND(V280*(1+N('My Debts'!$D$6)/12),2)</f>
        <v>0</v>
      </c>
      <c r="C281" s="39" t="n">
        <f aca="false">ROUND(W280*(1+N('My Debts'!$D$7)/12),2)</f>
        <v>0</v>
      </c>
      <c r="D281" s="39" t="n">
        <f aca="false">ROUND(X280*(1+N('My Debts'!$D$8)/12),2)</f>
        <v>0</v>
      </c>
      <c r="E281" s="39" t="n">
        <f aca="false">ROUND(Y280*(1+N('My Debts'!$D$9)/12),2)</f>
        <v>0</v>
      </c>
      <c r="F281" s="39" t="n">
        <f aca="false">ROUND(Z280*(1+N('My Debts'!$D$10)/12),2)</f>
        <v>0</v>
      </c>
      <c r="G281" s="39" t="n">
        <f aca="false">ROUND(AA280*(1+N('My Debts'!$D$11)/12),2)</f>
        <v>0</v>
      </c>
      <c r="H281" s="39" t="n">
        <f aca="false">ROUND(AB280*(1+N('My Debts'!$D$12)/12),2)</f>
        <v>0</v>
      </c>
      <c r="I281" s="39" t="n">
        <f aca="false">ROUND(AC280*(1+N('My Debts'!$D$13)/12),2)</f>
        <v>0</v>
      </c>
      <c r="J281" s="39" t="n">
        <f aca="false">ROUND(AD280*(1+N('My Debts'!$D$14)/12),2)</f>
        <v>0</v>
      </c>
      <c r="K281" s="39" t="n">
        <f aca="false">ROUND(AE280*(1+N('My Debts'!$D$15)/12),2)</f>
        <v>0</v>
      </c>
      <c r="L281" s="39" t="n">
        <f aca="false">MIN(N('My Debts'!$E$6),B281)</f>
        <v>0</v>
      </c>
      <c r="M281" s="39" t="n">
        <f aca="false">MIN(N('My Debts'!$E$7),C281)</f>
        <v>0</v>
      </c>
      <c r="N281" s="39" t="n">
        <f aca="false">MIN(N('My Debts'!$E$8),D281)</f>
        <v>0</v>
      </c>
      <c r="O281" s="39" t="n">
        <f aca="false">MIN(N('My Debts'!$E$9),E281)</f>
        <v>0</v>
      </c>
      <c r="P281" s="39" t="n">
        <f aca="false">MIN(N('My Debts'!$E$10),F281)</f>
        <v>0</v>
      </c>
      <c r="Q281" s="39" t="n">
        <f aca="false">MIN(N('My Debts'!$E$11),G281)</f>
        <v>0</v>
      </c>
      <c r="R281" s="39" t="n">
        <f aca="false">MIN(N('My Debts'!$E$12),H281)</f>
        <v>0</v>
      </c>
      <c r="S281" s="39" t="n">
        <f aca="false">MIN(N('My Debts'!$E$13),I281)</f>
        <v>0</v>
      </c>
      <c r="T281" s="39" t="n">
        <f aca="false">MIN(N('My Debts'!$E$14),J281)</f>
        <v>0</v>
      </c>
      <c r="U281" s="39" t="n">
        <f aca="false">MIN(N('My Debts'!$E$15),K281)</f>
        <v>0</v>
      </c>
      <c r="V281" s="39" t="n">
        <f aca="false">ROUND(B281-L281-MIN(B281-L281,MAX(0,$AF281-SUMPRODUCT(--($B$4:$K$4&lt;B$4),$B281:$K281-$L281:$U281))),2)</f>
        <v>0</v>
      </c>
      <c r="W281" s="39" t="n">
        <f aca="false">ROUND(C281-M281-MIN(C281-M281,MAX(0,$AF281-SUMPRODUCT(--($B$4:$K$4&lt;C$4),$B281:$K281-$L281:$U281))),2)</f>
        <v>0</v>
      </c>
      <c r="X281" s="39" t="n">
        <f aca="false">ROUND(D281-N281-MIN(D281-N281,MAX(0,$AF281-SUMPRODUCT(--($B$4:$K$4&lt;D$4),$B281:$K281-$L281:$U281))),2)</f>
        <v>0</v>
      </c>
      <c r="Y281" s="39" t="n">
        <f aca="false">ROUND(E281-O281-MIN(E281-O281,MAX(0,$AF281-SUMPRODUCT(--($B$4:$K$4&lt;E$4),$B281:$K281-$L281:$U281))),2)</f>
        <v>0</v>
      </c>
      <c r="Z281" s="39" t="n">
        <f aca="false">ROUND(F281-P281-MIN(F281-P281,MAX(0,$AF281-SUMPRODUCT(--($B$4:$K$4&lt;F$4),$B281:$K281-$L281:$U281))),2)</f>
        <v>0</v>
      </c>
      <c r="AA281" s="39" t="n">
        <f aca="false">ROUND(G281-Q281-MIN(G281-Q281,MAX(0,$AF281-SUMPRODUCT(--($B$4:$K$4&lt;G$4),$B281:$K281-$L281:$U281))),2)</f>
        <v>0</v>
      </c>
      <c r="AB281" s="39" t="n">
        <f aca="false">ROUND(H281-R281-MIN(H281-R281,MAX(0,$AF281-SUMPRODUCT(--($B$4:$K$4&lt;H$4),$B281:$K281-$L281:$U281))),2)</f>
        <v>0</v>
      </c>
      <c r="AC281" s="39" t="n">
        <f aca="false">ROUND(I281-S281-MIN(I281-S281,MAX(0,$AF281-SUMPRODUCT(--($B$4:$K$4&lt;I$4),$B281:$K281-$L281:$U281))),2)</f>
        <v>0</v>
      </c>
      <c r="AD281" s="39" t="n">
        <f aca="false">ROUND(J281-T281-MIN(J281-T281,MAX(0,$AF281-SUMPRODUCT(--($B$4:$K$4&lt;J$4),$B281:$K281-$L281:$U281))),2)</f>
        <v>0</v>
      </c>
      <c r="AE281" s="39" t="n">
        <f aca="false">ROUND(K281-U281-MIN(K281-U281,MAX(0,$AF281-SUMPRODUCT(--($B$4:$K$4&lt;K$4),$B281:$K281-$L281:$U281))),2)</f>
        <v>0</v>
      </c>
      <c r="AF281" s="39" t="n">
        <f aca="false">MAX(0,'Start Here'!$C$5-SUM($L281:$U281))</f>
        <v>1200</v>
      </c>
      <c r="AG281" s="39" t="n">
        <f aca="false">SUM(V281:AE281)</f>
        <v>0</v>
      </c>
      <c r="AH281" s="39" t="n">
        <f aca="false">SUM(B281:K281)-AG280</f>
        <v>0</v>
      </c>
    </row>
    <row r="282" customFormat="false" ht="15" hidden="false" customHeight="false" outlineLevel="0" collapsed="false">
      <c r="A282" s="40" t="n">
        <f aca="false">DATE(YEAR('Start Here'!$C$6),MONTH('Start Here'!$C$6)+275,1)</f>
        <v>54667</v>
      </c>
      <c r="B282" s="39" t="n">
        <f aca="false">ROUND(V281*(1+N('My Debts'!$D$6)/12),2)</f>
        <v>0</v>
      </c>
      <c r="C282" s="39" t="n">
        <f aca="false">ROUND(W281*(1+N('My Debts'!$D$7)/12),2)</f>
        <v>0</v>
      </c>
      <c r="D282" s="39" t="n">
        <f aca="false">ROUND(X281*(1+N('My Debts'!$D$8)/12),2)</f>
        <v>0</v>
      </c>
      <c r="E282" s="39" t="n">
        <f aca="false">ROUND(Y281*(1+N('My Debts'!$D$9)/12),2)</f>
        <v>0</v>
      </c>
      <c r="F282" s="39" t="n">
        <f aca="false">ROUND(Z281*(1+N('My Debts'!$D$10)/12),2)</f>
        <v>0</v>
      </c>
      <c r="G282" s="39" t="n">
        <f aca="false">ROUND(AA281*(1+N('My Debts'!$D$11)/12),2)</f>
        <v>0</v>
      </c>
      <c r="H282" s="39" t="n">
        <f aca="false">ROUND(AB281*(1+N('My Debts'!$D$12)/12),2)</f>
        <v>0</v>
      </c>
      <c r="I282" s="39" t="n">
        <f aca="false">ROUND(AC281*(1+N('My Debts'!$D$13)/12),2)</f>
        <v>0</v>
      </c>
      <c r="J282" s="39" t="n">
        <f aca="false">ROUND(AD281*(1+N('My Debts'!$D$14)/12),2)</f>
        <v>0</v>
      </c>
      <c r="K282" s="39" t="n">
        <f aca="false">ROUND(AE281*(1+N('My Debts'!$D$15)/12),2)</f>
        <v>0</v>
      </c>
      <c r="L282" s="39" t="n">
        <f aca="false">MIN(N('My Debts'!$E$6),B282)</f>
        <v>0</v>
      </c>
      <c r="M282" s="39" t="n">
        <f aca="false">MIN(N('My Debts'!$E$7),C282)</f>
        <v>0</v>
      </c>
      <c r="N282" s="39" t="n">
        <f aca="false">MIN(N('My Debts'!$E$8),D282)</f>
        <v>0</v>
      </c>
      <c r="O282" s="39" t="n">
        <f aca="false">MIN(N('My Debts'!$E$9),E282)</f>
        <v>0</v>
      </c>
      <c r="P282" s="39" t="n">
        <f aca="false">MIN(N('My Debts'!$E$10),F282)</f>
        <v>0</v>
      </c>
      <c r="Q282" s="39" t="n">
        <f aca="false">MIN(N('My Debts'!$E$11),G282)</f>
        <v>0</v>
      </c>
      <c r="R282" s="39" t="n">
        <f aca="false">MIN(N('My Debts'!$E$12),H282)</f>
        <v>0</v>
      </c>
      <c r="S282" s="39" t="n">
        <f aca="false">MIN(N('My Debts'!$E$13),I282)</f>
        <v>0</v>
      </c>
      <c r="T282" s="39" t="n">
        <f aca="false">MIN(N('My Debts'!$E$14),J282)</f>
        <v>0</v>
      </c>
      <c r="U282" s="39" t="n">
        <f aca="false">MIN(N('My Debts'!$E$15),K282)</f>
        <v>0</v>
      </c>
      <c r="V282" s="39" t="n">
        <f aca="false">ROUND(B282-L282-MIN(B282-L282,MAX(0,$AF282-SUMPRODUCT(--($B$4:$K$4&lt;B$4),$B282:$K282-$L282:$U282))),2)</f>
        <v>0</v>
      </c>
      <c r="W282" s="39" t="n">
        <f aca="false">ROUND(C282-M282-MIN(C282-M282,MAX(0,$AF282-SUMPRODUCT(--($B$4:$K$4&lt;C$4),$B282:$K282-$L282:$U282))),2)</f>
        <v>0</v>
      </c>
      <c r="X282" s="39" t="n">
        <f aca="false">ROUND(D282-N282-MIN(D282-N282,MAX(0,$AF282-SUMPRODUCT(--($B$4:$K$4&lt;D$4),$B282:$K282-$L282:$U282))),2)</f>
        <v>0</v>
      </c>
      <c r="Y282" s="39" t="n">
        <f aca="false">ROUND(E282-O282-MIN(E282-O282,MAX(0,$AF282-SUMPRODUCT(--($B$4:$K$4&lt;E$4),$B282:$K282-$L282:$U282))),2)</f>
        <v>0</v>
      </c>
      <c r="Z282" s="39" t="n">
        <f aca="false">ROUND(F282-P282-MIN(F282-P282,MAX(0,$AF282-SUMPRODUCT(--($B$4:$K$4&lt;F$4),$B282:$K282-$L282:$U282))),2)</f>
        <v>0</v>
      </c>
      <c r="AA282" s="39" t="n">
        <f aca="false">ROUND(G282-Q282-MIN(G282-Q282,MAX(0,$AF282-SUMPRODUCT(--($B$4:$K$4&lt;G$4),$B282:$K282-$L282:$U282))),2)</f>
        <v>0</v>
      </c>
      <c r="AB282" s="39" t="n">
        <f aca="false">ROUND(H282-R282-MIN(H282-R282,MAX(0,$AF282-SUMPRODUCT(--($B$4:$K$4&lt;H$4),$B282:$K282-$L282:$U282))),2)</f>
        <v>0</v>
      </c>
      <c r="AC282" s="39" t="n">
        <f aca="false">ROUND(I282-S282-MIN(I282-S282,MAX(0,$AF282-SUMPRODUCT(--($B$4:$K$4&lt;I$4),$B282:$K282-$L282:$U282))),2)</f>
        <v>0</v>
      </c>
      <c r="AD282" s="39" t="n">
        <f aca="false">ROUND(J282-T282-MIN(J282-T282,MAX(0,$AF282-SUMPRODUCT(--($B$4:$K$4&lt;J$4),$B282:$K282-$L282:$U282))),2)</f>
        <v>0</v>
      </c>
      <c r="AE282" s="39" t="n">
        <f aca="false">ROUND(K282-U282-MIN(K282-U282,MAX(0,$AF282-SUMPRODUCT(--($B$4:$K$4&lt;K$4),$B282:$K282-$L282:$U282))),2)</f>
        <v>0</v>
      </c>
      <c r="AF282" s="39" t="n">
        <f aca="false">MAX(0,'Start Here'!$C$5-SUM($L282:$U282))</f>
        <v>1200</v>
      </c>
      <c r="AG282" s="39" t="n">
        <f aca="false">SUM(V282:AE282)</f>
        <v>0</v>
      </c>
      <c r="AH282" s="39" t="n">
        <f aca="false">SUM(B282:K282)-AG281</f>
        <v>0</v>
      </c>
    </row>
    <row r="283" customFormat="false" ht="15" hidden="false" customHeight="false" outlineLevel="0" collapsed="false">
      <c r="A283" s="40" t="n">
        <f aca="false">DATE(YEAR('Start Here'!$C$6),MONTH('Start Here'!$C$6)+276,1)</f>
        <v>54697</v>
      </c>
      <c r="B283" s="39" t="n">
        <f aca="false">ROUND(V282*(1+N('My Debts'!$D$6)/12),2)</f>
        <v>0</v>
      </c>
      <c r="C283" s="39" t="n">
        <f aca="false">ROUND(W282*(1+N('My Debts'!$D$7)/12),2)</f>
        <v>0</v>
      </c>
      <c r="D283" s="39" t="n">
        <f aca="false">ROUND(X282*(1+N('My Debts'!$D$8)/12),2)</f>
        <v>0</v>
      </c>
      <c r="E283" s="39" t="n">
        <f aca="false">ROUND(Y282*(1+N('My Debts'!$D$9)/12),2)</f>
        <v>0</v>
      </c>
      <c r="F283" s="39" t="n">
        <f aca="false">ROUND(Z282*(1+N('My Debts'!$D$10)/12),2)</f>
        <v>0</v>
      </c>
      <c r="G283" s="39" t="n">
        <f aca="false">ROUND(AA282*(1+N('My Debts'!$D$11)/12),2)</f>
        <v>0</v>
      </c>
      <c r="H283" s="39" t="n">
        <f aca="false">ROUND(AB282*(1+N('My Debts'!$D$12)/12),2)</f>
        <v>0</v>
      </c>
      <c r="I283" s="39" t="n">
        <f aca="false">ROUND(AC282*(1+N('My Debts'!$D$13)/12),2)</f>
        <v>0</v>
      </c>
      <c r="J283" s="39" t="n">
        <f aca="false">ROUND(AD282*(1+N('My Debts'!$D$14)/12),2)</f>
        <v>0</v>
      </c>
      <c r="K283" s="39" t="n">
        <f aca="false">ROUND(AE282*(1+N('My Debts'!$D$15)/12),2)</f>
        <v>0</v>
      </c>
      <c r="L283" s="39" t="n">
        <f aca="false">MIN(N('My Debts'!$E$6),B283)</f>
        <v>0</v>
      </c>
      <c r="M283" s="39" t="n">
        <f aca="false">MIN(N('My Debts'!$E$7),C283)</f>
        <v>0</v>
      </c>
      <c r="N283" s="39" t="n">
        <f aca="false">MIN(N('My Debts'!$E$8),D283)</f>
        <v>0</v>
      </c>
      <c r="O283" s="39" t="n">
        <f aca="false">MIN(N('My Debts'!$E$9),E283)</f>
        <v>0</v>
      </c>
      <c r="P283" s="39" t="n">
        <f aca="false">MIN(N('My Debts'!$E$10),F283)</f>
        <v>0</v>
      </c>
      <c r="Q283" s="39" t="n">
        <f aca="false">MIN(N('My Debts'!$E$11),G283)</f>
        <v>0</v>
      </c>
      <c r="R283" s="39" t="n">
        <f aca="false">MIN(N('My Debts'!$E$12),H283)</f>
        <v>0</v>
      </c>
      <c r="S283" s="39" t="n">
        <f aca="false">MIN(N('My Debts'!$E$13),I283)</f>
        <v>0</v>
      </c>
      <c r="T283" s="39" t="n">
        <f aca="false">MIN(N('My Debts'!$E$14),J283)</f>
        <v>0</v>
      </c>
      <c r="U283" s="39" t="n">
        <f aca="false">MIN(N('My Debts'!$E$15),K283)</f>
        <v>0</v>
      </c>
      <c r="V283" s="39" t="n">
        <f aca="false">ROUND(B283-L283-MIN(B283-L283,MAX(0,$AF283-SUMPRODUCT(--($B$4:$K$4&lt;B$4),$B283:$K283-$L283:$U283))),2)</f>
        <v>0</v>
      </c>
      <c r="W283" s="39" t="n">
        <f aca="false">ROUND(C283-M283-MIN(C283-M283,MAX(0,$AF283-SUMPRODUCT(--($B$4:$K$4&lt;C$4),$B283:$K283-$L283:$U283))),2)</f>
        <v>0</v>
      </c>
      <c r="X283" s="39" t="n">
        <f aca="false">ROUND(D283-N283-MIN(D283-N283,MAX(0,$AF283-SUMPRODUCT(--($B$4:$K$4&lt;D$4),$B283:$K283-$L283:$U283))),2)</f>
        <v>0</v>
      </c>
      <c r="Y283" s="39" t="n">
        <f aca="false">ROUND(E283-O283-MIN(E283-O283,MAX(0,$AF283-SUMPRODUCT(--($B$4:$K$4&lt;E$4),$B283:$K283-$L283:$U283))),2)</f>
        <v>0</v>
      </c>
      <c r="Z283" s="39" t="n">
        <f aca="false">ROUND(F283-P283-MIN(F283-P283,MAX(0,$AF283-SUMPRODUCT(--($B$4:$K$4&lt;F$4),$B283:$K283-$L283:$U283))),2)</f>
        <v>0</v>
      </c>
      <c r="AA283" s="39" t="n">
        <f aca="false">ROUND(G283-Q283-MIN(G283-Q283,MAX(0,$AF283-SUMPRODUCT(--($B$4:$K$4&lt;G$4),$B283:$K283-$L283:$U283))),2)</f>
        <v>0</v>
      </c>
      <c r="AB283" s="39" t="n">
        <f aca="false">ROUND(H283-R283-MIN(H283-R283,MAX(0,$AF283-SUMPRODUCT(--($B$4:$K$4&lt;H$4),$B283:$K283-$L283:$U283))),2)</f>
        <v>0</v>
      </c>
      <c r="AC283" s="39" t="n">
        <f aca="false">ROUND(I283-S283-MIN(I283-S283,MAX(0,$AF283-SUMPRODUCT(--($B$4:$K$4&lt;I$4),$B283:$K283-$L283:$U283))),2)</f>
        <v>0</v>
      </c>
      <c r="AD283" s="39" t="n">
        <f aca="false">ROUND(J283-T283-MIN(J283-T283,MAX(0,$AF283-SUMPRODUCT(--($B$4:$K$4&lt;J$4),$B283:$K283-$L283:$U283))),2)</f>
        <v>0</v>
      </c>
      <c r="AE283" s="39" t="n">
        <f aca="false">ROUND(K283-U283-MIN(K283-U283,MAX(0,$AF283-SUMPRODUCT(--($B$4:$K$4&lt;K$4),$B283:$K283-$L283:$U283))),2)</f>
        <v>0</v>
      </c>
      <c r="AF283" s="39" t="n">
        <f aca="false">MAX(0,'Start Here'!$C$5-SUM($L283:$U283))</f>
        <v>1200</v>
      </c>
      <c r="AG283" s="39" t="n">
        <f aca="false">SUM(V283:AE283)</f>
        <v>0</v>
      </c>
      <c r="AH283" s="39" t="n">
        <f aca="false">SUM(B283:K283)-AG282</f>
        <v>0</v>
      </c>
    </row>
    <row r="284" customFormat="false" ht="15" hidden="false" customHeight="false" outlineLevel="0" collapsed="false">
      <c r="A284" s="40" t="n">
        <f aca="false">DATE(YEAR('Start Here'!$C$6),MONTH('Start Here'!$C$6)+277,1)</f>
        <v>54728</v>
      </c>
      <c r="B284" s="39" t="n">
        <f aca="false">ROUND(V283*(1+N('My Debts'!$D$6)/12),2)</f>
        <v>0</v>
      </c>
      <c r="C284" s="39" t="n">
        <f aca="false">ROUND(W283*(1+N('My Debts'!$D$7)/12),2)</f>
        <v>0</v>
      </c>
      <c r="D284" s="39" t="n">
        <f aca="false">ROUND(X283*(1+N('My Debts'!$D$8)/12),2)</f>
        <v>0</v>
      </c>
      <c r="E284" s="39" t="n">
        <f aca="false">ROUND(Y283*(1+N('My Debts'!$D$9)/12),2)</f>
        <v>0</v>
      </c>
      <c r="F284" s="39" t="n">
        <f aca="false">ROUND(Z283*(1+N('My Debts'!$D$10)/12),2)</f>
        <v>0</v>
      </c>
      <c r="G284" s="39" t="n">
        <f aca="false">ROUND(AA283*(1+N('My Debts'!$D$11)/12),2)</f>
        <v>0</v>
      </c>
      <c r="H284" s="39" t="n">
        <f aca="false">ROUND(AB283*(1+N('My Debts'!$D$12)/12),2)</f>
        <v>0</v>
      </c>
      <c r="I284" s="39" t="n">
        <f aca="false">ROUND(AC283*(1+N('My Debts'!$D$13)/12),2)</f>
        <v>0</v>
      </c>
      <c r="J284" s="39" t="n">
        <f aca="false">ROUND(AD283*(1+N('My Debts'!$D$14)/12),2)</f>
        <v>0</v>
      </c>
      <c r="K284" s="39" t="n">
        <f aca="false">ROUND(AE283*(1+N('My Debts'!$D$15)/12),2)</f>
        <v>0</v>
      </c>
      <c r="L284" s="39" t="n">
        <f aca="false">MIN(N('My Debts'!$E$6),B284)</f>
        <v>0</v>
      </c>
      <c r="M284" s="39" t="n">
        <f aca="false">MIN(N('My Debts'!$E$7),C284)</f>
        <v>0</v>
      </c>
      <c r="N284" s="39" t="n">
        <f aca="false">MIN(N('My Debts'!$E$8),D284)</f>
        <v>0</v>
      </c>
      <c r="O284" s="39" t="n">
        <f aca="false">MIN(N('My Debts'!$E$9),E284)</f>
        <v>0</v>
      </c>
      <c r="P284" s="39" t="n">
        <f aca="false">MIN(N('My Debts'!$E$10),F284)</f>
        <v>0</v>
      </c>
      <c r="Q284" s="39" t="n">
        <f aca="false">MIN(N('My Debts'!$E$11),G284)</f>
        <v>0</v>
      </c>
      <c r="R284" s="39" t="n">
        <f aca="false">MIN(N('My Debts'!$E$12),H284)</f>
        <v>0</v>
      </c>
      <c r="S284" s="39" t="n">
        <f aca="false">MIN(N('My Debts'!$E$13),I284)</f>
        <v>0</v>
      </c>
      <c r="T284" s="39" t="n">
        <f aca="false">MIN(N('My Debts'!$E$14),J284)</f>
        <v>0</v>
      </c>
      <c r="U284" s="39" t="n">
        <f aca="false">MIN(N('My Debts'!$E$15),K284)</f>
        <v>0</v>
      </c>
      <c r="V284" s="39" t="n">
        <f aca="false">ROUND(B284-L284-MIN(B284-L284,MAX(0,$AF284-SUMPRODUCT(--($B$4:$K$4&lt;B$4),$B284:$K284-$L284:$U284))),2)</f>
        <v>0</v>
      </c>
      <c r="W284" s="39" t="n">
        <f aca="false">ROUND(C284-M284-MIN(C284-M284,MAX(0,$AF284-SUMPRODUCT(--($B$4:$K$4&lt;C$4),$B284:$K284-$L284:$U284))),2)</f>
        <v>0</v>
      </c>
      <c r="X284" s="39" t="n">
        <f aca="false">ROUND(D284-N284-MIN(D284-N284,MAX(0,$AF284-SUMPRODUCT(--($B$4:$K$4&lt;D$4),$B284:$K284-$L284:$U284))),2)</f>
        <v>0</v>
      </c>
      <c r="Y284" s="39" t="n">
        <f aca="false">ROUND(E284-O284-MIN(E284-O284,MAX(0,$AF284-SUMPRODUCT(--($B$4:$K$4&lt;E$4),$B284:$K284-$L284:$U284))),2)</f>
        <v>0</v>
      </c>
      <c r="Z284" s="39" t="n">
        <f aca="false">ROUND(F284-P284-MIN(F284-P284,MAX(0,$AF284-SUMPRODUCT(--($B$4:$K$4&lt;F$4),$B284:$K284-$L284:$U284))),2)</f>
        <v>0</v>
      </c>
      <c r="AA284" s="39" t="n">
        <f aca="false">ROUND(G284-Q284-MIN(G284-Q284,MAX(0,$AF284-SUMPRODUCT(--($B$4:$K$4&lt;G$4),$B284:$K284-$L284:$U284))),2)</f>
        <v>0</v>
      </c>
      <c r="AB284" s="39" t="n">
        <f aca="false">ROUND(H284-R284-MIN(H284-R284,MAX(0,$AF284-SUMPRODUCT(--($B$4:$K$4&lt;H$4),$B284:$K284-$L284:$U284))),2)</f>
        <v>0</v>
      </c>
      <c r="AC284" s="39" t="n">
        <f aca="false">ROUND(I284-S284-MIN(I284-S284,MAX(0,$AF284-SUMPRODUCT(--($B$4:$K$4&lt;I$4),$B284:$K284-$L284:$U284))),2)</f>
        <v>0</v>
      </c>
      <c r="AD284" s="39" t="n">
        <f aca="false">ROUND(J284-T284-MIN(J284-T284,MAX(0,$AF284-SUMPRODUCT(--($B$4:$K$4&lt;J$4),$B284:$K284-$L284:$U284))),2)</f>
        <v>0</v>
      </c>
      <c r="AE284" s="39" t="n">
        <f aca="false">ROUND(K284-U284-MIN(K284-U284,MAX(0,$AF284-SUMPRODUCT(--($B$4:$K$4&lt;K$4),$B284:$K284-$L284:$U284))),2)</f>
        <v>0</v>
      </c>
      <c r="AF284" s="39" t="n">
        <f aca="false">MAX(0,'Start Here'!$C$5-SUM($L284:$U284))</f>
        <v>1200</v>
      </c>
      <c r="AG284" s="39" t="n">
        <f aca="false">SUM(V284:AE284)</f>
        <v>0</v>
      </c>
      <c r="AH284" s="39" t="n">
        <f aca="false">SUM(B284:K284)-AG283</f>
        <v>0</v>
      </c>
    </row>
    <row r="285" customFormat="false" ht="15" hidden="false" customHeight="false" outlineLevel="0" collapsed="false">
      <c r="A285" s="40" t="n">
        <f aca="false">DATE(YEAR('Start Here'!$C$6),MONTH('Start Here'!$C$6)+278,1)</f>
        <v>54758</v>
      </c>
      <c r="B285" s="39" t="n">
        <f aca="false">ROUND(V284*(1+N('My Debts'!$D$6)/12),2)</f>
        <v>0</v>
      </c>
      <c r="C285" s="39" t="n">
        <f aca="false">ROUND(W284*(1+N('My Debts'!$D$7)/12),2)</f>
        <v>0</v>
      </c>
      <c r="D285" s="39" t="n">
        <f aca="false">ROUND(X284*(1+N('My Debts'!$D$8)/12),2)</f>
        <v>0</v>
      </c>
      <c r="E285" s="39" t="n">
        <f aca="false">ROUND(Y284*(1+N('My Debts'!$D$9)/12),2)</f>
        <v>0</v>
      </c>
      <c r="F285" s="39" t="n">
        <f aca="false">ROUND(Z284*(1+N('My Debts'!$D$10)/12),2)</f>
        <v>0</v>
      </c>
      <c r="G285" s="39" t="n">
        <f aca="false">ROUND(AA284*(1+N('My Debts'!$D$11)/12),2)</f>
        <v>0</v>
      </c>
      <c r="H285" s="39" t="n">
        <f aca="false">ROUND(AB284*(1+N('My Debts'!$D$12)/12),2)</f>
        <v>0</v>
      </c>
      <c r="I285" s="39" t="n">
        <f aca="false">ROUND(AC284*(1+N('My Debts'!$D$13)/12),2)</f>
        <v>0</v>
      </c>
      <c r="J285" s="39" t="n">
        <f aca="false">ROUND(AD284*(1+N('My Debts'!$D$14)/12),2)</f>
        <v>0</v>
      </c>
      <c r="K285" s="39" t="n">
        <f aca="false">ROUND(AE284*(1+N('My Debts'!$D$15)/12),2)</f>
        <v>0</v>
      </c>
      <c r="L285" s="39" t="n">
        <f aca="false">MIN(N('My Debts'!$E$6),B285)</f>
        <v>0</v>
      </c>
      <c r="M285" s="39" t="n">
        <f aca="false">MIN(N('My Debts'!$E$7),C285)</f>
        <v>0</v>
      </c>
      <c r="N285" s="39" t="n">
        <f aca="false">MIN(N('My Debts'!$E$8),D285)</f>
        <v>0</v>
      </c>
      <c r="O285" s="39" t="n">
        <f aca="false">MIN(N('My Debts'!$E$9),E285)</f>
        <v>0</v>
      </c>
      <c r="P285" s="39" t="n">
        <f aca="false">MIN(N('My Debts'!$E$10),F285)</f>
        <v>0</v>
      </c>
      <c r="Q285" s="39" t="n">
        <f aca="false">MIN(N('My Debts'!$E$11),G285)</f>
        <v>0</v>
      </c>
      <c r="R285" s="39" t="n">
        <f aca="false">MIN(N('My Debts'!$E$12),H285)</f>
        <v>0</v>
      </c>
      <c r="S285" s="39" t="n">
        <f aca="false">MIN(N('My Debts'!$E$13),I285)</f>
        <v>0</v>
      </c>
      <c r="T285" s="39" t="n">
        <f aca="false">MIN(N('My Debts'!$E$14),J285)</f>
        <v>0</v>
      </c>
      <c r="U285" s="39" t="n">
        <f aca="false">MIN(N('My Debts'!$E$15),K285)</f>
        <v>0</v>
      </c>
      <c r="V285" s="39" t="n">
        <f aca="false">ROUND(B285-L285-MIN(B285-L285,MAX(0,$AF285-SUMPRODUCT(--($B$4:$K$4&lt;B$4),$B285:$K285-$L285:$U285))),2)</f>
        <v>0</v>
      </c>
      <c r="W285" s="39" t="n">
        <f aca="false">ROUND(C285-M285-MIN(C285-M285,MAX(0,$AF285-SUMPRODUCT(--($B$4:$K$4&lt;C$4),$B285:$K285-$L285:$U285))),2)</f>
        <v>0</v>
      </c>
      <c r="X285" s="39" t="n">
        <f aca="false">ROUND(D285-N285-MIN(D285-N285,MAX(0,$AF285-SUMPRODUCT(--($B$4:$K$4&lt;D$4),$B285:$K285-$L285:$U285))),2)</f>
        <v>0</v>
      </c>
      <c r="Y285" s="39" t="n">
        <f aca="false">ROUND(E285-O285-MIN(E285-O285,MAX(0,$AF285-SUMPRODUCT(--($B$4:$K$4&lt;E$4),$B285:$K285-$L285:$U285))),2)</f>
        <v>0</v>
      </c>
      <c r="Z285" s="39" t="n">
        <f aca="false">ROUND(F285-P285-MIN(F285-P285,MAX(0,$AF285-SUMPRODUCT(--($B$4:$K$4&lt;F$4),$B285:$K285-$L285:$U285))),2)</f>
        <v>0</v>
      </c>
      <c r="AA285" s="39" t="n">
        <f aca="false">ROUND(G285-Q285-MIN(G285-Q285,MAX(0,$AF285-SUMPRODUCT(--($B$4:$K$4&lt;G$4),$B285:$K285-$L285:$U285))),2)</f>
        <v>0</v>
      </c>
      <c r="AB285" s="39" t="n">
        <f aca="false">ROUND(H285-R285-MIN(H285-R285,MAX(0,$AF285-SUMPRODUCT(--($B$4:$K$4&lt;H$4),$B285:$K285-$L285:$U285))),2)</f>
        <v>0</v>
      </c>
      <c r="AC285" s="39" t="n">
        <f aca="false">ROUND(I285-S285-MIN(I285-S285,MAX(0,$AF285-SUMPRODUCT(--($B$4:$K$4&lt;I$4),$B285:$K285-$L285:$U285))),2)</f>
        <v>0</v>
      </c>
      <c r="AD285" s="39" t="n">
        <f aca="false">ROUND(J285-T285-MIN(J285-T285,MAX(0,$AF285-SUMPRODUCT(--($B$4:$K$4&lt;J$4),$B285:$K285-$L285:$U285))),2)</f>
        <v>0</v>
      </c>
      <c r="AE285" s="39" t="n">
        <f aca="false">ROUND(K285-U285-MIN(K285-U285,MAX(0,$AF285-SUMPRODUCT(--($B$4:$K$4&lt;K$4),$B285:$K285-$L285:$U285))),2)</f>
        <v>0</v>
      </c>
      <c r="AF285" s="39" t="n">
        <f aca="false">MAX(0,'Start Here'!$C$5-SUM($L285:$U285))</f>
        <v>1200</v>
      </c>
      <c r="AG285" s="39" t="n">
        <f aca="false">SUM(V285:AE285)</f>
        <v>0</v>
      </c>
      <c r="AH285" s="39" t="n">
        <f aca="false">SUM(B285:K285)-AG284</f>
        <v>0</v>
      </c>
    </row>
    <row r="286" customFormat="false" ht="15" hidden="false" customHeight="false" outlineLevel="0" collapsed="false">
      <c r="A286" s="40" t="n">
        <f aca="false">DATE(YEAR('Start Here'!$C$6),MONTH('Start Here'!$C$6)+279,1)</f>
        <v>54789</v>
      </c>
      <c r="B286" s="39" t="n">
        <f aca="false">ROUND(V285*(1+N('My Debts'!$D$6)/12),2)</f>
        <v>0</v>
      </c>
      <c r="C286" s="39" t="n">
        <f aca="false">ROUND(W285*(1+N('My Debts'!$D$7)/12),2)</f>
        <v>0</v>
      </c>
      <c r="D286" s="39" t="n">
        <f aca="false">ROUND(X285*(1+N('My Debts'!$D$8)/12),2)</f>
        <v>0</v>
      </c>
      <c r="E286" s="39" t="n">
        <f aca="false">ROUND(Y285*(1+N('My Debts'!$D$9)/12),2)</f>
        <v>0</v>
      </c>
      <c r="F286" s="39" t="n">
        <f aca="false">ROUND(Z285*(1+N('My Debts'!$D$10)/12),2)</f>
        <v>0</v>
      </c>
      <c r="G286" s="39" t="n">
        <f aca="false">ROUND(AA285*(1+N('My Debts'!$D$11)/12),2)</f>
        <v>0</v>
      </c>
      <c r="H286" s="39" t="n">
        <f aca="false">ROUND(AB285*(1+N('My Debts'!$D$12)/12),2)</f>
        <v>0</v>
      </c>
      <c r="I286" s="39" t="n">
        <f aca="false">ROUND(AC285*(1+N('My Debts'!$D$13)/12),2)</f>
        <v>0</v>
      </c>
      <c r="J286" s="39" t="n">
        <f aca="false">ROUND(AD285*(1+N('My Debts'!$D$14)/12),2)</f>
        <v>0</v>
      </c>
      <c r="K286" s="39" t="n">
        <f aca="false">ROUND(AE285*(1+N('My Debts'!$D$15)/12),2)</f>
        <v>0</v>
      </c>
      <c r="L286" s="39" t="n">
        <f aca="false">MIN(N('My Debts'!$E$6),B286)</f>
        <v>0</v>
      </c>
      <c r="M286" s="39" t="n">
        <f aca="false">MIN(N('My Debts'!$E$7),C286)</f>
        <v>0</v>
      </c>
      <c r="N286" s="39" t="n">
        <f aca="false">MIN(N('My Debts'!$E$8),D286)</f>
        <v>0</v>
      </c>
      <c r="O286" s="39" t="n">
        <f aca="false">MIN(N('My Debts'!$E$9),E286)</f>
        <v>0</v>
      </c>
      <c r="P286" s="39" t="n">
        <f aca="false">MIN(N('My Debts'!$E$10),F286)</f>
        <v>0</v>
      </c>
      <c r="Q286" s="39" t="n">
        <f aca="false">MIN(N('My Debts'!$E$11),G286)</f>
        <v>0</v>
      </c>
      <c r="R286" s="39" t="n">
        <f aca="false">MIN(N('My Debts'!$E$12),H286)</f>
        <v>0</v>
      </c>
      <c r="S286" s="39" t="n">
        <f aca="false">MIN(N('My Debts'!$E$13),I286)</f>
        <v>0</v>
      </c>
      <c r="T286" s="39" t="n">
        <f aca="false">MIN(N('My Debts'!$E$14),J286)</f>
        <v>0</v>
      </c>
      <c r="U286" s="39" t="n">
        <f aca="false">MIN(N('My Debts'!$E$15),K286)</f>
        <v>0</v>
      </c>
      <c r="V286" s="39" t="n">
        <f aca="false">ROUND(B286-L286-MIN(B286-L286,MAX(0,$AF286-SUMPRODUCT(--($B$4:$K$4&lt;B$4),$B286:$K286-$L286:$U286))),2)</f>
        <v>0</v>
      </c>
      <c r="W286" s="39" t="n">
        <f aca="false">ROUND(C286-M286-MIN(C286-M286,MAX(0,$AF286-SUMPRODUCT(--($B$4:$K$4&lt;C$4),$B286:$K286-$L286:$U286))),2)</f>
        <v>0</v>
      </c>
      <c r="X286" s="39" t="n">
        <f aca="false">ROUND(D286-N286-MIN(D286-N286,MAX(0,$AF286-SUMPRODUCT(--($B$4:$K$4&lt;D$4),$B286:$K286-$L286:$U286))),2)</f>
        <v>0</v>
      </c>
      <c r="Y286" s="39" t="n">
        <f aca="false">ROUND(E286-O286-MIN(E286-O286,MAX(0,$AF286-SUMPRODUCT(--($B$4:$K$4&lt;E$4),$B286:$K286-$L286:$U286))),2)</f>
        <v>0</v>
      </c>
      <c r="Z286" s="39" t="n">
        <f aca="false">ROUND(F286-P286-MIN(F286-P286,MAX(0,$AF286-SUMPRODUCT(--($B$4:$K$4&lt;F$4),$B286:$K286-$L286:$U286))),2)</f>
        <v>0</v>
      </c>
      <c r="AA286" s="39" t="n">
        <f aca="false">ROUND(G286-Q286-MIN(G286-Q286,MAX(0,$AF286-SUMPRODUCT(--($B$4:$K$4&lt;G$4),$B286:$K286-$L286:$U286))),2)</f>
        <v>0</v>
      </c>
      <c r="AB286" s="39" t="n">
        <f aca="false">ROUND(H286-R286-MIN(H286-R286,MAX(0,$AF286-SUMPRODUCT(--($B$4:$K$4&lt;H$4),$B286:$K286-$L286:$U286))),2)</f>
        <v>0</v>
      </c>
      <c r="AC286" s="39" t="n">
        <f aca="false">ROUND(I286-S286-MIN(I286-S286,MAX(0,$AF286-SUMPRODUCT(--($B$4:$K$4&lt;I$4),$B286:$K286-$L286:$U286))),2)</f>
        <v>0</v>
      </c>
      <c r="AD286" s="39" t="n">
        <f aca="false">ROUND(J286-T286-MIN(J286-T286,MAX(0,$AF286-SUMPRODUCT(--($B$4:$K$4&lt;J$4),$B286:$K286-$L286:$U286))),2)</f>
        <v>0</v>
      </c>
      <c r="AE286" s="39" t="n">
        <f aca="false">ROUND(K286-U286-MIN(K286-U286,MAX(0,$AF286-SUMPRODUCT(--($B$4:$K$4&lt;K$4),$B286:$K286-$L286:$U286))),2)</f>
        <v>0</v>
      </c>
      <c r="AF286" s="39" t="n">
        <f aca="false">MAX(0,'Start Here'!$C$5-SUM($L286:$U286))</f>
        <v>1200</v>
      </c>
      <c r="AG286" s="39" t="n">
        <f aca="false">SUM(V286:AE286)</f>
        <v>0</v>
      </c>
      <c r="AH286" s="39" t="n">
        <f aca="false">SUM(B286:K286)-AG285</f>
        <v>0</v>
      </c>
    </row>
    <row r="287" customFormat="false" ht="15" hidden="false" customHeight="false" outlineLevel="0" collapsed="false">
      <c r="A287" s="40" t="n">
        <f aca="false">DATE(YEAR('Start Here'!$C$6),MONTH('Start Here'!$C$6)+280,1)</f>
        <v>54820</v>
      </c>
      <c r="B287" s="39" t="n">
        <f aca="false">ROUND(V286*(1+N('My Debts'!$D$6)/12),2)</f>
        <v>0</v>
      </c>
      <c r="C287" s="39" t="n">
        <f aca="false">ROUND(W286*(1+N('My Debts'!$D$7)/12),2)</f>
        <v>0</v>
      </c>
      <c r="D287" s="39" t="n">
        <f aca="false">ROUND(X286*(1+N('My Debts'!$D$8)/12),2)</f>
        <v>0</v>
      </c>
      <c r="E287" s="39" t="n">
        <f aca="false">ROUND(Y286*(1+N('My Debts'!$D$9)/12),2)</f>
        <v>0</v>
      </c>
      <c r="F287" s="39" t="n">
        <f aca="false">ROUND(Z286*(1+N('My Debts'!$D$10)/12),2)</f>
        <v>0</v>
      </c>
      <c r="G287" s="39" t="n">
        <f aca="false">ROUND(AA286*(1+N('My Debts'!$D$11)/12),2)</f>
        <v>0</v>
      </c>
      <c r="H287" s="39" t="n">
        <f aca="false">ROUND(AB286*(1+N('My Debts'!$D$12)/12),2)</f>
        <v>0</v>
      </c>
      <c r="I287" s="39" t="n">
        <f aca="false">ROUND(AC286*(1+N('My Debts'!$D$13)/12),2)</f>
        <v>0</v>
      </c>
      <c r="J287" s="39" t="n">
        <f aca="false">ROUND(AD286*(1+N('My Debts'!$D$14)/12),2)</f>
        <v>0</v>
      </c>
      <c r="K287" s="39" t="n">
        <f aca="false">ROUND(AE286*(1+N('My Debts'!$D$15)/12),2)</f>
        <v>0</v>
      </c>
      <c r="L287" s="39" t="n">
        <f aca="false">MIN(N('My Debts'!$E$6),B287)</f>
        <v>0</v>
      </c>
      <c r="M287" s="39" t="n">
        <f aca="false">MIN(N('My Debts'!$E$7),C287)</f>
        <v>0</v>
      </c>
      <c r="N287" s="39" t="n">
        <f aca="false">MIN(N('My Debts'!$E$8),D287)</f>
        <v>0</v>
      </c>
      <c r="O287" s="39" t="n">
        <f aca="false">MIN(N('My Debts'!$E$9),E287)</f>
        <v>0</v>
      </c>
      <c r="P287" s="39" t="n">
        <f aca="false">MIN(N('My Debts'!$E$10),F287)</f>
        <v>0</v>
      </c>
      <c r="Q287" s="39" t="n">
        <f aca="false">MIN(N('My Debts'!$E$11),G287)</f>
        <v>0</v>
      </c>
      <c r="R287" s="39" t="n">
        <f aca="false">MIN(N('My Debts'!$E$12),H287)</f>
        <v>0</v>
      </c>
      <c r="S287" s="39" t="n">
        <f aca="false">MIN(N('My Debts'!$E$13),I287)</f>
        <v>0</v>
      </c>
      <c r="T287" s="39" t="n">
        <f aca="false">MIN(N('My Debts'!$E$14),J287)</f>
        <v>0</v>
      </c>
      <c r="U287" s="39" t="n">
        <f aca="false">MIN(N('My Debts'!$E$15),K287)</f>
        <v>0</v>
      </c>
      <c r="V287" s="39" t="n">
        <f aca="false">ROUND(B287-L287-MIN(B287-L287,MAX(0,$AF287-SUMPRODUCT(--($B$4:$K$4&lt;B$4),$B287:$K287-$L287:$U287))),2)</f>
        <v>0</v>
      </c>
      <c r="W287" s="39" t="n">
        <f aca="false">ROUND(C287-M287-MIN(C287-M287,MAX(0,$AF287-SUMPRODUCT(--($B$4:$K$4&lt;C$4),$B287:$K287-$L287:$U287))),2)</f>
        <v>0</v>
      </c>
      <c r="X287" s="39" t="n">
        <f aca="false">ROUND(D287-N287-MIN(D287-N287,MAX(0,$AF287-SUMPRODUCT(--($B$4:$K$4&lt;D$4),$B287:$K287-$L287:$U287))),2)</f>
        <v>0</v>
      </c>
      <c r="Y287" s="39" t="n">
        <f aca="false">ROUND(E287-O287-MIN(E287-O287,MAX(0,$AF287-SUMPRODUCT(--($B$4:$K$4&lt;E$4),$B287:$K287-$L287:$U287))),2)</f>
        <v>0</v>
      </c>
      <c r="Z287" s="39" t="n">
        <f aca="false">ROUND(F287-P287-MIN(F287-P287,MAX(0,$AF287-SUMPRODUCT(--($B$4:$K$4&lt;F$4),$B287:$K287-$L287:$U287))),2)</f>
        <v>0</v>
      </c>
      <c r="AA287" s="39" t="n">
        <f aca="false">ROUND(G287-Q287-MIN(G287-Q287,MAX(0,$AF287-SUMPRODUCT(--($B$4:$K$4&lt;G$4),$B287:$K287-$L287:$U287))),2)</f>
        <v>0</v>
      </c>
      <c r="AB287" s="39" t="n">
        <f aca="false">ROUND(H287-R287-MIN(H287-R287,MAX(0,$AF287-SUMPRODUCT(--($B$4:$K$4&lt;H$4),$B287:$K287-$L287:$U287))),2)</f>
        <v>0</v>
      </c>
      <c r="AC287" s="39" t="n">
        <f aca="false">ROUND(I287-S287-MIN(I287-S287,MAX(0,$AF287-SUMPRODUCT(--($B$4:$K$4&lt;I$4),$B287:$K287-$L287:$U287))),2)</f>
        <v>0</v>
      </c>
      <c r="AD287" s="39" t="n">
        <f aca="false">ROUND(J287-T287-MIN(J287-T287,MAX(0,$AF287-SUMPRODUCT(--($B$4:$K$4&lt;J$4),$B287:$K287-$L287:$U287))),2)</f>
        <v>0</v>
      </c>
      <c r="AE287" s="39" t="n">
        <f aca="false">ROUND(K287-U287-MIN(K287-U287,MAX(0,$AF287-SUMPRODUCT(--($B$4:$K$4&lt;K$4),$B287:$K287-$L287:$U287))),2)</f>
        <v>0</v>
      </c>
      <c r="AF287" s="39" t="n">
        <f aca="false">MAX(0,'Start Here'!$C$5-SUM($L287:$U287))</f>
        <v>1200</v>
      </c>
      <c r="AG287" s="39" t="n">
        <f aca="false">SUM(V287:AE287)</f>
        <v>0</v>
      </c>
      <c r="AH287" s="39" t="n">
        <f aca="false">SUM(B287:K287)-AG286</f>
        <v>0</v>
      </c>
    </row>
    <row r="288" customFormat="false" ht="15" hidden="false" customHeight="false" outlineLevel="0" collapsed="false">
      <c r="A288" s="40" t="n">
        <f aca="false">DATE(YEAR('Start Here'!$C$6),MONTH('Start Here'!$C$6)+281,1)</f>
        <v>54848</v>
      </c>
      <c r="B288" s="39" t="n">
        <f aca="false">ROUND(V287*(1+N('My Debts'!$D$6)/12),2)</f>
        <v>0</v>
      </c>
      <c r="C288" s="39" t="n">
        <f aca="false">ROUND(W287*(1+N('My Debts'!$D$7)/12),2)</f>
        <v>0</v>
      </c>
      <c r="D288" s="39" t="n">
        <f aca="false">ROUND(X287*(1+N('My Debts'!$D$8)/12),2)</f>
        <v>0</v>
      </c>
      <c r="E288" s="39" t="n">
        <f aca="false">ROUND(Y287*(1+N('My Debts'!$D$9)/12),2)</f>
        <v>0</v>
      </c>
      <c r="F288" s="39" t="n">
        <f aca="false">ROUND(Z287*(1+N('My Debts'!$D$10)/12),2)</f>
        <v>0</v>
      </c>
      <c r="G288" s="39" t="n">
        <f aca="false">ROUND(AA287*(1+N('My Debts'!$D$11)/12),2)</f>
        <v>0</v>
      </c>
      <c r="H288" s="39" t="n">
        <f aca="false">ROUND(AB287*(1+N('My Debts'!$D$12)/12),2)</f>
        <v>0</v>
      </c>
      <c r="I288" s="39" t="n">
        <f aca="false">ROUND(AC287*(1+N('My Debts'!$D$13)/12),2)</f>
        <v>0</v>
      </c>
      <c r="J288" s="39" t="n">
        <f aca="false">ROUND(AD287*(1+N('My Debts'!$D$14)/12),2)</f>
        <v>0</v>
      </c>
      <c r="K288" s="39" t="n">
        <f aca="false">ROUND(AE287*(1+N('My Debts'!$D$15)/12),2)</f>
        <v>0</v>
      </c>
      <c r="L288" s="39" t="n">
        <f aca="false">MIN(N('My Debts'!$E$6),B288)</f>
        <v>0</v>
      </c>
      <c r="M288" s="39" t="n">
        <f aca="false">MIN(N('My Debts'!$E$7),C288)</f>
        <v>0</v>
      </c>
      <c r="N288" s="39" t="n">
        <f aca="false">MIN(N('My Debts'!$E$8),D288)</f>
        <v>0</v>
      </c>
      <c r="O288" s="39" t="n">
        <f aca="false">MIN(N('My Debts'!$E$9),E288)</f>
        <v>0</v>
      </c>
      <c r="P288" s="39" t="n">
        <f aca="false">MIN(N('My Debts'!$E$10),F288)</f>
        <v>0</v>
      </c>
      <c r="Q288" s="39" t="n">
        <f aca="false">MIN(N('My Debts'!$E$11),G288)</f>
        <v>0</v>
      </c>
      <c r="R288" s="39" t="n">
        <f aca="false">MIN(N('My Debts'!$E$12),H288)</f>
        <v>0</v>
      </c>
      <c r="S288" s="39" t="n">
        <f aca="false">MIN(N('My Debts'!$E$13),I288)</f>
        <v>0</v>
      </c>
      <c r="T288" s="39" t="n">
        <f aca="false">MIN(N('My Debts'!$E$14),J288)</f>
        <v>0</v>
      </c>
      <c r="U288" s="39" t="n">
        <f aca="false">MIN(N('My Debts'!$E$15),K288)</f>
        <v>0</v>
      </c>
      <c r="V288" s="39" t="n">
        <f aca="false">ROUND(B288-L288-MIN(B288-L288,MAX(0,$AF288-SUMPRODUCT(--($B$4:$K$4&lt;B$4),$B288:$K288-$L288:$U288))),2)</f>
        <v>0</v>
      </c>
      <c r="W288" s="39" t="n">
        <f aca="false">ROUND(C288-M288-MIN(C288-M288,MAX(0,$AF288-SUMPRODUCT(--($B$4:$K$4&lt;C$4),$B288:$K288-$L288:$U288))),2)</f>
        <v>0</v>
      </c>
      <c r="X288" s="39" t="n">
        <f aca="false">ROUND(D288-N288-MIN(D288-N288,MAX(0,$AF288-SUMPRODUCT(--($B$4:$K$4&lt;D$4),$B288:$K288-$L288:$U288))),2)</f>
        <v>0</v>
      </c>
      <c r="Y288" s="39" t="n">
        <f aca="false">ROUND(E288-O288-MIN(E288-O288,MAX(0,$AF288-SUMPRODUCT(--($B$4:$K$4&lt;E$4),$B288:$K288-$L288:$U288))),2)</f>
        <v>0</v>
      </c>
      <c r="Z288" s="39" t="n">
        <f aca="false">ROUND(F288-P288-MIN(F288-P288,MAX(0,$AF288-SUMPRODUCT(--($B$4:$K$4&lt;F$4),$B288:$K288-$L288:$U288))),2)</f>
        <v>0</v>
      </c>
      <c r="AA288" s="39" t="n">
        <f aca="false">ROUND(G288-Q288-MIN(G288-Q288,MAX(0,$AF288-SUMPRODUCT(--($B$4:$K$4&lt;G$4),$B288:$K288-$L288:$U288))),2)</f>
        <v>0</v>
      </c>
      <c r="AB288" s="39" t="n">
        <f aca="false">ROUND(H288-R288-MIN(H288-R288,MAX(0,$AF288-SUMPRODUCT(--($B$4:$K$4&lt;H$4),$B288:$K288-$L288:$U288))),2)</f>
        <v>0</v>
      </c>
      <c r="AC288" s="39" t="n">
        <f aca="false">ROUND(I288-S288-MIN(I288-S288,MAX(0,$AF288-SUMPRODUCT(--($B$4:$K$4&lt;I$4),$B288:$K288-$L288:$U288))),2)</f>
        <v>0</v>
      </c>
      <c r="AD288" s="39" t="n">
        <f aca="false">ROUND(J288-T288-MIN(J288-T288,MAX(0,$AF288-SUMPRODUCT(--($B$4:$K$4&lt;J$4),$B288:$K288-$L288:$U288))),2)</f>
        <v>0</v>
      </c>
      <c r="AE288" s="39" t="n">
        <f aca="false">ROUND(K288-U288-MIN(K288-U288,MAX(0,$AF288-SUMPRODUCT(--($B$4:$K$4&lt;K$4),$B288:$K288-$L288:$U288))),2)</f>
        <v>0</v>
      </c>
      <c r="AF288" s="39" t="n">
        <f aca="false">MAX(0,'Start Here'!$C$5-SUM($L288:$U288))</f>
        <v>1200</v>
      </c>
      <c r="AG288" s="39" t="n">
        <f aca="false">SUM(V288:AE288)</f>
        <v>0</v>
      </c>
      <c r="AH288" s="39" t="n">
        <f aca="false">SUM(B288:K288)-AG287</f>
        <v>0</v>
      </c>
    </row>
    <row r="289" customFormat="false" ht="15" hidden="false" customHeight="false" outlineLevel="0" collapsed="false">
      <c r="A289" s="40" t="n">
        <f aca="false">DATE(YEAR('Start Here'!$C$6),MONTH('Start Here'!$C$6)+282,1)</f>
        <v>54879</v>
      </c>
      <c r="B289" s="39" t="n">
        <f aca="false">ROUND(V288*(1+N('My Debts'!$D$6)/12),2)</f>
        <v>0</v>
      </c>
      <c r="C289" s="39" t="n">
        <f aca="false">ROUND(W288*(1+N('My Debts'!$D$7)/12),2)</f>
        <v>0</v>
      </c>
      <c r="D289" s="39" t="n">
        <f aca="false">ROUND(X288*(1+N('My Debts'!$D$8)/12),2)</f>
        <v>0</v>
      </c>
      <c r="E289" s="39" t="n">
        <f aca="false">ROUND(Y288*(1+N('My Debts'!$D$9)/12),2)</f>
        <v>0</v>
      </c>
      <c r="F289" s="39" t="n">
        <f aca="false">ROUND(Z288*(1+N('My Debts'!$D$10)/12),2)</f>
        <v>0</v>
      </c>
      <c r="G289" s="39" t="n">
        <f aca="false">ROUND(AA288*(1+N('My Debts'!$D$11)/12),2)</f>
        <v>0</v>
      </c>
      <c r="H289" s="39" t="n">
        <f aca="false">ROUND(AB288*(1+N('My Debts'!$D$12)/12),2)</f>
        <v>0</v>
      </c>
      <c r="I289" s="39" t="n">
        <f aca="false">ROUND(AC288*(1+N('My Debts'!$D$13)/12),2)</f>
        <v>0</v>
      </c>
      <c r="J289" s="39" t="n">
        <f aca="false">ROUND(AD288*(1+N('My Debts'!$D$14)/12),2)</f>
        <v>0</v>
      </c>
      <c r="K289" s="39" t="n">
        <f aca="false">ROUND(AE288*(1+N('My Debts'!$D$15)/12),2)</f>
        <v>0</v>
      </c>
      <c r="L289" s="39" t="n">
        <f aca="false">MIN(N('My Debts'!$E$6),B289)</f>
        <v>0</v>
      </c>
      <c r="M289" s="39" t="n">
        <f aca="false">MIN(N('My Debts'!$E$7),C289)</f>
        <v>0</v>
      </c>
      <c r="N289" s="39" t="n">
        <f aca="false">MIN(N('My Debts'!$E$8),D289)</f>
        <v>0</v>
      </c>
      <c r="O289" s="39" t="n">
        <f aca="false">MIN(N('My Debts'!$E$9),E289)</f>
        <v>0</v>
      </c>
      <c r="P289" s="39" t="n">
        <f aca="false">MIN(N('My Debts'!$E$10),F289)</f>
        <v>0</v>
      </c>
      <c r="Q289" s="39" t="n">
        <f aca="false">MIN(N('My Debts'!$E$11),G289)</f>
        <v>0</v>
      </c>
      <c r="R289" s="39" t="n">
        <f aca="false">MIN(N('My Debts'!$E$12),H289)</f>
        <v>0</v>
      </c>
      <c r="S289" s="39" t="n">
        <f aca="false">MIN(N('My Debts'!$E$13),I289)</f>
        <v>0</v>
      </c>
      <c r="T289" s="39" t="n">
        <f aca="false">MIN(N('My Debts'!$E$14),J289)</f>
        <v>0</v>
      </c>
      <c r="U289" s="39" t="n">
        <f aca="false">MIN(N('My Debts'!$E$15),K289)</f>
        <v>0</v>
      </c>
      <c r="V289" s="39" t="n">
        <f aca="false">ROUND(B289-L289-MIN(B289-L289,MAX(0,$AF289-SUMPRODUCT(--($B$4:$K$4&lt;B$4),$B289:$K289-$L289:$U289))),2)</f>
        <v>0</v>
      </c>
      <c r="W289" s="39" t="n">
        <f aca="false">ROUND(C289-M289-MIN(C289-M289,MAX(0,$AF289-SUMPRODUCT(--($B$4:$K$4&lt;C$4),$B289:$K289-$L289:$U289))),2)</f>
        <v>0</v>
      </c>
      <c r="X289" s="39" t="n">
        <f aca="false">ROUND(D289-N289-MIN(D289-N289,MAX(0,$AF289-SUMPRODUCT(--($B$4:$K$4&lt;D$4),$B289:$K289-$L289:$U289))),2)</f>
        <v>0</v>
      </c>
      <c r="Y289" s="39" t="n">
        <f aca="false">ROUND(E289-O289-MIN(E289-O289,MAX(0,$AF289-SUMPRODUCT(--($B$4:$K$4&lt;E$4),$B289:$K289-$L289:$U289))),2)</f>
        <v>0</v>
      </c>
      <c r="Z289" s="39" t="n">
        <f aca="false">ROUND(F289-P289-MIN(F289-P289,MAX(0,$AF289-SUMPRODUCT(--($B$4:$K$4&lt;F$4),$B289:$K289-$L289:$U289))),2)</f>
        <v>0</v>
      </c>
      <c r="AA289" s="39" t="n">
        <f aca="false">ROUND(G289-Q289-MIN(G289-Q289,MAX(0,$AF289-SUMPRODUCT(--($B$4:$K$4&lt;G$4),$B289:$K289-$L289:$U289))),2)</f>
        <v>0</v>
      </c>
      <c r="AB289" s="39" t="n">
        <f aca="false">ROUND(H289-R289-MIN(H289-R289,MAX(0,$AF289-SUMPRODUCT(--($B$4:$K$4&lt;H$4),$B289:$K289-$L289:$U289))),2)</f>
        <v>0</v>
      </c>
      <c r="AC289" s="39" t="n">
        <f aca="false">ROUND(I289-S289-MIN(I289-S289,MAX(0,$AF289-SUMPRODUCT(--($B$4:$K$4&lt;I$4),$B289:$K289-$L289:$U289))),2)</f>
        <v>0</v>
      </c>
      <c r="AD289" s="39" t="n">
        <f aca="false">ROUND(J289-T289-MIN(J289-T289,MAX(0,$AF289-SUMPRODUCT(--($B$4:$K$4&lt;J$4),$B289:$K289-$L289:$U289))),2)</f>
        <v>0</v>
      </c>
      <c r="AE289" s="39" t="n">
        <f aca="false">ROUND(K289-U289-MIN(K289-U289,MAX(0,$AF289-SUMPRODUCT(--($B$4:$K$4&lt;K$4),$B289:$K289-$L289:$U289))),2)</f>
        <v>0</v>
      </c>
      <c r="AF289" s="39" t="n">
        <f aca="false">MAX(0,'Start Here'!$C$5-SUM($L289:$U289))</f>
        <v>1200</v>
      </c>
      <c r="AG289" s="39" t="n">
        <f aca="false">SUM(V289:AE289)</f>
        <v>0</v>
      </c>
      <c r="AH289" s="39" t="n">
        <f aca="false">SUM(B289:K289)-AG288</f>
        <v>0</v>
      </c>
    </row>
    <row r="290" customFormat="false" ht="15" hidden="false" customHeight="false" outlineLevel="0" collapsed="false">
      <c r="A290" s="40" t="n">
        <f aca="false">DATE(YEAR('Start Here'!$C$6),MONTH('Start Here'!$C$6)+283,1)</f>
        <v>54909</v>
      </c>
      <c r="B290" s="39" t="n">
        <f aca="false">ROUND(V289*(1+N('My Debts'!$D$6)/12),2)</f>
        <v>0</v>
      </c>
      <c r="C290" s="39" t="n">
        <f aca="false">ROUND(W289*(1+N('My Debts'!$D$7)/12),2)</f>
        <v>0</v>
      </c>
      <c r="D290" s="39" t="n">
        <f aca="false">ROUND(X289*(1+N('My Debts'!$D$8)/12),2)</f>
        <v>0</v>
      </c>
      <c r="E290" s="39" t="n">
        <f aca="false">ROUND(Y289*(1+N('My Debts'!$D$9)/12),2)</f>
        <v>0</v>
      </c>
      <c r="F290" s="39" t="n">
        <f aca="false">ROUND(Z289*(1+N('My Debts'!$D$10)/12),2)</f>
        <v>0</v>
      </c>
      <c r="G290" s="39" t="n">
        <f aca="false">ROUND(AA289*(1+N('My Debts'!$D$11)/12),2)</f>
        <v>0</v>
      </c>
      <c r="H290" s="39" t="n">
        <f aca="false">ROUND(AB289*(1+N('My Debts'!$D$12)/12),2)</f>
        <v>0</v>
      </c>
      <c r="I290" s="39" t="n">
        <f aca="false">ROUND(AC289*(1+N('My Debts'!$D$13)/12),2)</f>
        <v>0</v>
      </c>
      <c r="J290" s="39" t="n">
        <f aca="false">ROUND(AD289*(1+N('My Debts'!$D$14)/12),2)</f>
        <v>0</v>
      </c>
      <c r="K290" s="39" t="n">
        <f aca="false">ROUND(AE289*(1+N('My Debts'!$D$15)/12),2)</f>
        <v>0</v>
      </c>
      <c r="L290" s="39" t="n">
        <f aca="false">MIN(N('My Debts'!$E$6),B290)</f>
        <v>0</v>
      </c>
      <c r="M290" s="39" t="n">
        <f aca="false">MIN(N('My Debts'!$E$7),C290)</f>
        <v>0</v>
      </c>
      <c r="N290" s="39" t="n">
        <f aca="false">MIN(N('My Debts'!$E$8),D290)</f>
        <v>0</v>
      </c>
      <c r="O290" s="39" t="n">
        <f aca="false">MIN(N('My Debts'!$E$9),E290)</f>
        <v>0</v>
      </c>
      <c r="P290" s="39" t="n">
        <f aca="false">MIN(N('My Debts'!$E$10),F290)</f>
        <v>0</v>
      </c>
      <c r="Q290" s="39" t="n">
        <f aca="false">MIN(N('My Debts'!$E$11),G290)</f>
        <v>0</v>
      </c>
      <c r="R290" s="39" t="n">
        <f aca="false">MIN(N('My Debts'!$E$12),H290)</f>
        <v>0</v>
      </c>
      <c r="S290" s="39" t="n">
        <f aca="false">MIN(N('My Debts'!$E$13),I290)</f>
        <v>0</v>
      </c>
      <c r="T290" s="39" t="n">
        <f aca="false">MIN(N('My Debts'!$E$14),J290)</f>
        <v>0</v>
      </c>
      <c r="U290" s="39" t="n">
        <f aca="false">MIN(N('My Debts'!$E$15),K290)</f>
        <v>0</v>
      </c>
      <c r="V290" s="39" t="n">
        <f aca="false">ROUND(B290-L290-MIN(B290-L290,MAX(0,$AF290-SUMPRODUCT(--($B$4:$K$4&lt;B$4),$B290:$K290-$L290:$U290))),2)</f>
        <v>0</v>
      </c>
      <c r="W290" s="39" t="n">
        <f aca="false">ROUND(C290-M290-MIN(C290-M290,MAX(0,$AF290-SUMPRODUCT(--($B$4:$K$4&lt;C$4),$B290:$K290-$L290:$U290))),2)</f>
        <v>0</v>
      </c>
      <c r="X290" s="39" t="n">
        <f aca="false">ROUND(D290-N290-MIN(D290-N290,MAX(0,$AF290-SUMPRODUCT(--($B$4:$K$4&lt;D$4),$B290:$K290-$L290:$U290))),2)</f>
        <v>0</v>
      </c>
      <c r="Y290" s="39" t="n">
        <f aca="false">ROUND(E290-O290-MIN(E290-O290,MAX(0,$AF290-SUMPRODUCT(--($B$4:$K$4&lt;E$4),$B290:$K290-$L290:$U290))),2)</f>
        <v>0</v>
      </c>
      <c r="Z290" s="39" t="n">
        <f aca="false">ROUND(F290-P290-MIN(F290-P290,MAX(0,$AF290-SUMPRODUCT(--($B$4:$K$4&lt;F$4),$B290:$K290-$L290:$U290))),2)</f>
        <v>0</v>
      </c>
      <c r="AA290" s="39" t="n">
        <f aca="false">ROUND(G290-Q290-MIN(G290-Q290,MAX(0,$AF290-SUMPRODUCT(--($B$4:$K$4&lt;G$4),$B290:$K290-$L290:$U290))),2)</f>
        <v>0</v>
      </c>
      <c r="AB290" s="39" t="n">
        <f aca="false">ROUND(H290-R290-MIN(H290-R290,MAX(0,$AF290-SUMPRODUCT(--($B$4:$K$4&lt;H$4),$B290:$K290-$L290:$U290))),2)</f>
        <v>0</v>
      </c>
      <c r="AC290" s="39" t="n">
        <f aca="false">ROUND(I290-S290-MIN(I290-S290,MAX(0,$AF290-SUMPRODUCT(--($B$4:$K$4&lt;I$4),$B290:$K290-$L290:$U290))),2)</f>
        <v>0</v>
      </c>
      <c r="AD290" s="39" t="n">
        <f aca="false">ROUND(J290-T290-MIN(J290-T290,MAX(0,$AF290-SUMPRODUCT(--($B$4:$K$4&lt;J$4),$B290:$K290-$L290:$U290))),2)</f>
        <v>0</v>
      </c>
      <c r="AE290" s="39" t="n">
        <f aca="false">ROUND(K290-U290-MIN(K290-U290,MAX(0,$AF290-SUMPRODUCT(--($B$4:$K$4&lt;K$4),$B290:$K290-$L290:$U290))),2)</f>
        <v>0</v>
      </c>
      <c r="AF290" s="39" t="n">
        <f aca="false">MAX(0,'Start Here'!$C$5-SUM($L290:$U290))</f>
        <v>1200</v>
      </c>
      <c r="AG290" s="39" t="n">
        <f aca="false">SUM(V290:AE290)</f>
        <v>0</v>
      </c>
      <c r="AH290" s="39" t="n">
        <f aca="false">SUM(B290:K290)-AG289</f>
        <v>0</v>
      </c>
    </row>
    <row r="291" customFormat="false" ht="15" hidden="false" customHeight="false" outlineLevel="0" collapsed="false">
      <c r="A291" s="40" t="n">
        <f aca="false">DATE(YEAR('Start Here'!$C$6),MONTH('Start Here'!$C$6)+284,1)</f>
        <v>54940</v>
      </c>
      <c r="B291" s="39" t="n">
        <f aca="false">ROUND(V290*(1+N('My Debts'!$D$6)/12),2)</f>
        <v>0</v>
      </c>
      <c r="C291" s="39" t="n">
        <f aca="false">ROUND(W290*(1+N('My Debts'!$D$7)/12),2)</f>
        <v>0</v>
      </c>
      <c r="D291" s="39" t="n">
        <f aca="false">ROUND(X290*(1+N('My Debts'!$D$8)/12),2)</f>
        <v>0</v>
      </c>
      <c r="E291" s="39" t="n">
        <f aca="false">ROUND(Y290*(1+N('My Debts'!$D$9)/12),2)</f>
        <v>0</v>
      </c>
      <c r="F291" s="39" t="n">
        <f aca="false">ROUND(Z290*(1+N('My Debts'!$D$10)/12),2)</f>
        <v>0</v>
      </c>
      <c r="G291" s="39" t="n">
        <f aca="false">ROUND(AA290*(1+N('My Debts'!$D$11)/12),2)</f>
        <v>0</v>
      </c>
      <c r="H291" s="39" t="n">
        <f aca="false">ROUND(AB290*(1+N('My Debts'!$D$12)/12),2)</f>
        <v>0</v>
      </c>
      <c r="I291" s="39" t="n">
        <f aca="false">ROUND(AC290*(1+N('My Debts'!$D$13)/12),2)</f>
        <v>0</v>
      </c>
      <c r="J291" s="39" t="n">
        <f aca="false">ROUND(AD290*(1+N('My Debts'!$D$14)/12),2)</f>
        <v>0</v>
      </c>
      <c r="K291" s="39" t="n">
        <f aca="false">ROUND(AE290*(1+N('My Debts'!$D$15)/12),2)</f>
        <v>0</v>
      </c>
      <c r="L291" s="39" t="n">
        <f aca="false">MIN(N('My Debts'!$E$6),B291)</f>
        <v>0</v>
      </c>
      <c r="M291" s="39" t="n">
        <f aca="false">MIN(N('My Debts'!$E$7),C291)</f>
        <v>0</v>
      </c>
      <c r="N291" s="39" t="n">
        <f aca="false">MIN(N('My Debts'!$E$8),D291)</f>
        <v>0</v>
      </c>
      <c r="O291" s="39" t="n">
        <f aca="false">MIN(N('My Debts'!$E$9),E291)</f>
        <v>0</v>
      </c>
      <c r="P291" s="39" t="n">
        <f aca="false">MIN(N('My Debts'!$E$10),F291)</f>
        <v>0</v>
      </c>
      <c r="Q291" s="39" t="n">
        <f aca="false">MIN(N('My Debts'!$E$11),G291)</f>
        <v>0</v>
      </c>
      <c r="R291" s="39" t="n">
        <f aca="false">MIN(N('My Debts'!$E$12),H291)</f>
        <v>0</v>
      </c>
      <c r="S291" s="39" t="n">
        <f aca="false">MIN(N('My Debts'!$E$13),I291)</f>
        <v>0</v>
      </c>
      <c r="T291" s="39" t="n">
        <f aca="false">MIN(N('My Debts'!$E$14),J291)</f>
        <v>0</v>
      </c>
      <c r="U291" s="39" t="n">
        <f aca="false">MIN(N('My Debts'!$E$15),K291)</f>
        <v>0</v>
      </c>
      <c r="V291" s="39" t="n">
        <f aca="false">ROUND(B291-L291-MIN(B291-L291,MAX(0,$AF291-SUMPRODUCT(--($B$4:$K$4&lt;B$4),$B291:$K291-$L291:$U291))),2)</f>
        <v>0</v>
      </c>
      <c r="W291" s="39" t="n">
        <f aca="false">ROUND(C291-M291-MIN(C291-M291,MAX(0,$AF291-SUMPRODUCT(--($B$4:$K$4&lt;C$4),$B291:$K291-$L291:$U291))),2)</f>
        <v>0</v>
      </c>
      <c r="X291" s="39" t="n">
        <f aca="false">ROUND(D291-N291-MIN(D291-N291,MAX(0,$AF291-SUMPRODUCT(--($B$4:$K$4&lt;D$4),$B291:$K291-$L291:$U291))),2)</f>
        <v>0</v>
      </c>
      <c r="Y291" s="39" t="n">
        <f aca="false">ROUND(E291-O291-MIN(E291-O291,MAX(0,$AF291-SUMPRODUCT(--($B$4:$K$4&lt;E$4),$B291:$K291-$L291:$U291))),2)</f>
        <v>0</v>
      </c>
      <c r="Z291" s="39" t="n">
        <f aca="false">ROUND(F291-P291-MIN(F291-P291,MAX(0,$AF291-SUMPRODUCT(--($B$4:$K$4&lt;F$4),$B291:$K291-$L291:$U291))),2)</f>
        <v>0</v>
      </c>
      <c r="AA291" s="39" t="n">
        <f aca="false">ROUND(G291-Q291-MIN(G291-Q291,MAX(0,$AF291-SUMPRODUCT(--($B$4:$K$4&lt;G$4),$B291:$K291-$L291:$U291))),2)</f>
        <v>0</v>
      </c>
      <c r="AB291" s="39" t="n">
        <f aca="false">ROUND(H291-R291-MIN(H291-R291,MAX(0,$AF291-SUMPRODUCT(--($B$4:$K$4&lt;H$4),$B291:$K291-$L291:$U291))),2)</f>
        <v>0</v>
      </c>
      <c r="AC291" s="39" t="n">
        <f aca="false">ROUND(I291-S291-MIN(I291-S291,MAX(0,$AF291-SUMPRODUCT(--($B$4:$K$4&lt;I$4),$B291:$K291-$L291:$U291))),2)</f>
        <v>0</v>
      </c>
      <c r="AD291" s="39" t="n">
        <f aca="false">ROUND(J291-T291-MIN(J291-T291,MAX(0,$AF291-SUMPRODUCT(--($B$4:$K$4&lt;J$4),$B291:$K291-$L291:$U291))),2)</f>
        <v>0</v>
      </c>
      <c r="AE291" s="39" t="n">
        <f aca="false">ROUND(K291-U291-MIN(K291-U291,MAX(0,$AF291-SUMPRODUCT(--($B$4:$K$4&lt;K$4),$B291:$K291-$L291:$U291))),2)</f>
        <v>0</v>
      </c>
      <c r="AF291" s="39" t="n">
        <f aca="false">MAX(0,'Start Here'!$C$5-SUM($L291:$U291))</f>
        <v>1200</v>
      </c>
      <c r="AG291" s="39" t="n">
        <f aca="false">SUM(V291:AE291)</f>
        <v>0</v>
      </c>
      <c r="AH291" s="39" t="n">
        <f aca="false">SUM(B291:K291)-AG290</f>
        <v>0</v>
      </c>
    </row>
    <row r="292" customFormat="false" ht="15" hidden="false" customHeight="false" outlineLevel="0" collapsed="false">
      <c r="A292" s="40" t="n">
        <f aca="false">DATE(YEAR('Start Here'!$C$6),MONTH('Start Here'!$C$6)+285,1)</f>
        <v>54970</v>
      </c>
      <c r="B292" s="39" t="n">
        <f aca="false">ROUND(V291*(1+N('My Debts'!$D$6)/12),2)</f>
        <v>0</v>
      </c>
      <c r="C292" s="39" t="n">
        <f aca="false">ROUND(W291*(1+N('My Debts'!$D$7)/12),2)</f>
        <v>0</v>
      </c>
      <c r="D292" s="39" t="n">
        <f aca="false">ROUND(X291*(1+N('My Debts'!$D$8)/12),2)</f>
        <v>0</v>
      </c>
      <c r="E292" s="39" t="n">
        <f aca="false">ROUND(Y291*(1+N('My Debts'!$D$9)/12),2)</f>
        <v>0</v>
      </c>
      <c r="F292" s="39" t="n">
        <f aca="false">ROUND(Z291*(1+N('My Debts'!$D$10)/12),2)</f>
        <v>0</v>
      </c>
      <c r="G292" s="39" t="n">
        <f aca="false">ROUND(AA291*(1+N('My Debts'!$D$11)/12),2)</f>
        <v>0</v>
      </c>
      <c r="H292" s="39" t="n">
        <f aca="false">ROUND(AB291*(1+N('My Debts'!$D$12)/12),2)</f>
        <v>0</v>
      </c>
      <c r="I292" s="39" t="n">
        <f aca="false">ROUND(AC291*(1+N('My Debts'!$D$13)/12),2)</f>
        <v>0</v>
      </c>
      <c r="J292" s="39" t="n">
        <f aca="false">ROUND(AD291*(1+N('My Debts'!$D$14)/12),2)</f>
        <v>0</v>
      </c>
      <c r="K292" s="39" t="n">
        <f aca="false">ROUND(AE291*(1+N('My Debts'!$D$15)/12),2)</f>
        <v>0</v>
      </c>
      <c r="L292" s="39" t="n">
        <f aca="false">MIN(N('My Debts'!$E$6),B292)</f>
        <v>0</v>
      </c>
      <c r="M292" s="39" t="n">
        <f aca="false">MIN(N('My Debts'!$E$7),C292)</f>
        <v>0</v>
      </c>
      <c r="N292" s="39" t="n">
        <f aca="false">MIN(N('My Debts'!$E$8),D292)</f>
        <v>0</v>
      </c>
      <c r="O292" s="39" t="n">
        <f aca="false">MIN(N('My Debts'!$E$9),E292)</f>
        <v>0</v>
      </c>
      <c r="P292" s="39" t="n">
        <f aca="false">MIN(N('My Debts'!$E$10),F292)</f>
        <v>0</v>
      </c>
      <c r="Q292" s="39" t="n">
        <f aca="false">MIN(N('My Debts'!$E$11),G292)</f>
        <v>0</v>
      </c>
      <c r="R292" s="39" t="n">
        <f aca="false">MIN(N('My Debts'!$E$12),H292)</f>
        <v>0</v>
      </c>
      <c r="S292" s="39" t="n">
        <f aca="false">MIN(N('My Debts'!$E$13),I292)</f>
        <v>0</v>
      </c>
      <c r="T292" s="39" t="n">
        <f aca="false">MIN(N('My Debts'!$E$14),J292)</f>
        <v>0</v>
      </c>
      <c r="U292" s="39" t="n">
        <f aca="false">MIN(N('My Debts'!$E$15),K292)</f>
        <v>0</v>
      </c>
      <c r="V292" s="39" t="n">
        <f aca="false">ROUND(B292-L292-MIN(B292-L292,MAX(0,$AF292-SUMPRODUCT(--($B$4:$K$4&lt;B$4),$B292:$K292-$L292:$U292))),2)</f>
        <v>0</v>
      </c>
      <c r="W292" s="39" t="n">
        <f aca="false">ROUND(C292-M292-MIN(C292-M292,MAX(0,$AF292-SUMPRODUCT(--($B$4:$K$4&lt;C$4),$B292:$K292-$L292:$U292))),2)</f>
        <v>0</v>
      </c>
      <c r="X292" s="39" t="n">
        <f aca="false">ROUND(D292-N292-MIN(D292-N292,MAX(0,$AF292-SUMPRODUCT(--($B$4:$K$4&lt;D$4),$B292:$K292-$L292:$U292))),2)</f>
        <v>0</v>
      </c>
      <c r="Y292" s="39" t="n">
        <f aca="false">ROUND(E292-O292-MIN(E292-O292,MAX(0,$AF292-SUMPRODUCT(--($B$4:$K$4&lt;E$4),$B292:$K292-$L292:$U292))),2)</f>
        <v>0</v>
      </c>
      <c r="Z292" s="39" t="n">
        <f aca="false">ROUND(F292-P292-MIN(F292-P292,MAX(0,$AF292-SUMPRODUCT(--($B$4:$K$4&lt;F$4),$B292:$K292-$L292:$U292))),2)</f>
        <v>0</v>
      </c>
      <c r="AA292" s="39" t="n">
        <f aca="false">ROUND(G292-Q292-MIN(G292-Q292,MAX(0,$AF292-SUMPRODUCT(--($B$4:$K$4&lt;G$4),$B292:$K292-$L292:$U292))),2)</f>
        <v>0</v>
      </c>
      <c r="AB292" s="39" t="n">
        <f aca="false">ROUND(H292-R292-MIN(H292-R292,MAX(0,$AF292-SUMPRODUCT(--($B$4:$K$4&lt;H$4),$B292:$K292-$L292:$U292))),2)</f>
        <v>0</v>
      </c>
      <c r="AC292" s="39" t="n">
        <f aca="false">ROUND(I292-S292-MIN(I292-S292,MAX(0,$AF292-SUMPRODUCT(--($B$4:$K$4&lt;I$4),$B292:$K292-$L292:$U292))),2)</f>
        <v>0</v>
      </c>
      <c r="AD292" s="39" t="n">
        <f aca="false">ROUND(J292-T292-MIN(J292-T292,MAX(0,$AF292-SUMPRODUCT(--($B$4:$K$4&lt;J$4),$B292:$K292-$L292:$U292))),2)</f>
        <v>0</v>
      </c>
      <c r="AE292" s="39" t="n">
        <f aca="false">ROUND(K292-U292-MIN(K292-U292,MAX(0,$AF292-SUMPRODUCT(--($B$4:$K$4&lt;K$4),$B292:$K292-$L292:$U292))),2)</f>
        <v>0</v>
      </c>
      <c r="AF292" s="39" t="n">
        <f aca="false">MAX(0,'Start Here'!$C$5-SUM($L292:$U292))</f>
        <v>1200</v>
      </c>
      <c r="AG292" s="39" t="n">
        <f aca="false">SUM(V292:AE292)</f>
        <v>0</v>
      </c>
      <c r="AH292" s="39" t="n">
        <f aca="false">SUM(B292:K292)-AG291</f>
        <v>0</v>
      </c>
    </row>
    <row r="293" customFormat="false" ht="15" hidden="false" customHeight="false" outlineLevel="0" collapsed="false">
      <c r="A293" s="40" t="n">
        <f aca="false">DATE(YEAR('Start Here'!$C$6),MONTH('Start Here'!$C$6)+286,1)</f>
        <v>55001</v>
      </c>
      <c r="B293" s="39" t="n">
        <f aca="false">ROUND(V292*(1+N('My Debts'!$D$6)/12),2)</f>
        <v>0</v>
      </c>
      <c r="C293" s="39" t="n">
        <f aca="false">ROUND(W292*(1+N('My Debts'!$D$7)/12),2)</f>
        <v>0</v>
      </c>
      <c r="D293" s="39" t="n">
        <f aca="false">ROUND(X292*(1+N('My Debts'!$D$8)/12),2)</f>
        <v>0</v>
      </c>
      <c r="E293" s="39" t="n">
        <f aca="false">ROUND(Y292*(1+N('My Debts'!$D$9)/12),2)</f>
        <v>0</v>
      </c>
      <c r="F293" s="39" t="n">
        <f aca="false">ROUND(Z292*(1+N('My Debts'!$D$10)/12),2)</f>
        <v>0</v>
      </c>
      <c r="G293" s="39" t="n">
        <f aca="false">ROUND(AA292*(1+N('My Debts'!$D$11)/12),2)</f>
        <v>0</v>
      </c>
      <c r="H293" s="39" t="n">
        <f aca="false">ROUND(AB292*(1+N('My Debts'!$D$12)/12),2)</f>
        <v>0</v>
      </c>
      <c r="I293" s="39" t="n">
        <f aca="false">ROUND(AC292*(1+N('My Debts'!$D$13)/12),2)</f>
        <v>0</v>
      </c>
      <c r="J293" s="39" t="n">
        <f aca="false">ROUND(AD292*(1+N('My Debts'!$D$14)/12),2)</f>
        <v>0</v>
      </c>
      <c r="K293" s="39" t="n">
        <f aca="false">ROUND(AE292*(1+N('My Debts'!$D$15)/12),2)</f>
        <v>0</v>
      </c>
      <c r="L293" s="39" t="n">
        <f aca="false">MIN(N('My Debts'!$E$6),B293)</f>
        <v>0</v>
      </c>
      <c r="M293" s="39" t="n">
        <f aca="false">MIN(N('My Debts'!$E$7),C293)</f>
        <v>0</v>
      </c>
      <c r="N293" s="39" t="n">
        <f aca="false">MIN(N('My Debts'!$E$8),D293)</f>
        <v>0</v>
      </c>
      <c r="O293" s="39" t="n">
        <f aca="false">MIN(N('My Debts'!$E$9),E293)</f>
        <v>0</v>
      </c>
      <c r="P293" s="39" t="n">
        <f aca="false">MIN(N('My Debts'!$E$10),F293)</f>
        <v>0</v>
      </c>
      <c r="Q293" s="39" t="n">
        <f aca="false">MIN(N('My Debts'!$E$11),G293)</f>
        <v>0</v>
      </c>
      <c r="R293" s="39" t="n">
        <f aca="false">MIN(N('My Debts'!$E$12),H293)</f>
        <v>0</v>
      </c>
      <c r="S293" s="39" t="n">
        <f aca="false">MIN(N('My Debts'!$E$13),I293)</f>
        <v>0</v>
      </c>
      <c r="T293" s="39" t="n">
        <f aca="false">MIN(N('My Debts'!$E$14),J293)</f>
        <v>0</v>
      </c>
      <c r="U293" s="39" t="n">
        <f aca="false">MIN(N('My Debts'!$E$15),K293)</f>
        <v>0</v>
      </c>
      <c r="V293" s="39" t="n">
        <f aca="false">ROUND(B293-L293-MIN(B293-L293,MAX(0,$AF293-SUMPRODUCT(--($B$4:$K$4&lt;B$4),$B293:$K293-$L293:$U293))),2)</f>
        <v>0</v>
      </c>
      <c r="W293" s="39" t="n">
        <f aca="false">ROUND(C293-M293-MIN(C293-M293,MAX(0,$AF293-SUMPRODUCT(--($B$4:$K$4&lt;C$4),$B293:$K293-$L293:$U293))),2)</f>
        <v>0</v>
      </c>
      <c r="X293" s="39" t="n">
        <f aca="false">ROUND(D293-N293-MIN(D293-N293,MAX(0,$AF293-SUMPRODUCT(--($B$4:$K$4&lt;D$4),$B293:$K293-$L293:$U293))),2)</f>
        <v>0</v>
      </c>
      <c r="Y293" s="39" t="n">
        <f aca="false">ROUND(E293-O293-MIN(E293-O293,MAX(0,$AF293-SUMPRODUCT(--($B$4:$K$4&lt;E$4),$B293:$K293-$L293:$U293))),2)</f>
        <v>0</v>
      </c>
      <c r="Z293" s="39" t="n">
        <f aca="false">ROUND(F293-P293-MIN(F293-P293,MAX(0,$AF293-SUMPRODUCT(--($B$4:$K$4&lt;F$4),$B293:$K293-$L293:$U293))),2)</f>
        <v>0</v>
      </c>
      <c r="AA293" s="39" t="n">
        <f aca="false">ROUND(G293-Q293-MIN(G293-Q293,MAX(0,$AF293-SUMPRODUCT(--($B$4:$K$4&lt;G$4),$B293:$K293-$L293:$U293))),2)</f>
        <v>0</v>
      </c>
      <c r="AB293" s="39" t="n">
        <f aca="false">ROUND(H293-R293-MIN(H293-R293,MAX(0,$AF293-SUMPRODUCT(--($B$4:$K$4&lt;H$4),$B293:$K293-$L293:$U293))),2)</f>
        <v>0</v>
      </c>
      <c r="AC293" s="39" t="n">
        <f aca="false">ROUND(I293-S293-MIN(I293-S293,MAX(0,$AF293-SUMPRODUCT(--($B$4:$K$4&lt;I$4),$B293:$K293-$L293:$U293))),2)</f>
        <v>0</v>
      </c>
      <c r="AD293" s="39" t="n">
        <f aca="false">ROUND(J293-T293-MIN(J293-T293,MAX(0,$AF293-SUMPRODUCT(--($B$4:$K$4&lt;J$4),$B293:$K293-$L293:$U293))),2)</f>
        <v>0</v>
      </c>
      <c r="AE293" s="39" t="n">
        <f aca="false">ROUND(K293-U293-MIN(K293-U293,MAX(0,$AF293-SUMPRODUCT(--($B$4:$K$4&lt;K$4),$B293:$K293-$L293:$U293))),2)</f>
        <v>0</v>
      </c>
      <c r="AF293" s="39" t="n">
        <f aca="false">MAX(0,'Start Here'!$C$5-SUM($L293:$U293))</f>
        <v>1200</v>
      </c>
      <c r="AG293" s="39" t="n">
        <f aca="false">SUM(V293:AE293)</f>
        <v>0</v>
      </c>
      <c r="AH293" s="39" t="n">
        <f aca="false">SUM(B293:K293)-AG292</f>
        <v>0</v>
      </c>
    </row>
    <row r="294" customFormat="false" ht="15" hidden="false" customHeight="false" outlineLevel="0" collapsed="false">
      <c r="A294" s="40" t="n">
        <f aca="false">DATE(YEAR('Start Here'!$C$6),MONTH('Start Here'!$C$6)+287,1)</f>
        <v>55032</v>
      </c>
      <c r="B294" s="39" t="n">
        <f aca="false">ROUND(V293*(1+N('My Debts'!$D$6)/12),2)</f>
        <v>0</v>
      </c>
      <c r="C294" s="39" t="n">
        <f aca="false">ROUND(W293*(1+N('My Debts'!$D$7)/12),2)</f>
        <v>0</v>
      </c>
      <c r="D294" s="39" t="n">
        <f aca="false">ROUND(X293*(1+N('My Debts'!$D$8)/12),2)</f>
        <v>0</v>
      </c>
      <c r="E294" s="39" t="n">
        <f aca="false">ROUND(Y293*(1+N('My Debts'!$D$9)/12),2)</f>
        <v>0</v>
      </c>
      <c r="F294" s="39" t="n">
        <f aca="false">ROUND(Z293*(1+N('My Debts'!$D$10)/12),2)</f>
        <v>0</v>
      </c>
      <c r="G294" s="39" t="n">
        <f aca="false">ROUND(AA293*(1+N('My Debts'!$D$11)/12),2)</f>
        <v>0</v>
      </c>
      <c r="H294" s="39" t="n">
        <f aca="false">ROUND(AB293*(1+N('My Debts'!$D$12)/12),2)</f>
        <v>0</v>
      </c>
      <c r="I294" s="39" t="n">
        <f aca="false">ROUND(AC293*(1+N('My Debts'!$D$13)/12),2)</f>
        <v>0</v>
      </c>
      <c r="J294" s="39" t="n">
        <f aca="false">ROUND(AD293*(1+N('My Debts'!$D$14)/12),2)</f>
        <v>0</v>
      </c>
      <c r="K294" s="39" t="n">
        <f aca="false">ROUND(AE293*(1+N('My Debts'!$D$15)/12),2)</f>
        <v>0</v>
      </c>
      <c r="L294" s="39" t="n">
        <f aca="false">MIN(N('My Debts'!$E$6),B294)</f>
        <v>0</v>
      </c>
      <c r="M294" s="39" t="n">
        <f aca="false">MIN(N('My Debts'!$E$7),C294)</f>
        <v>0</v>
      </c>
      <c r="N294" s="39" t="n">
        <f aca="false">MIN(N('My Debts'!$E$8),D294)</f>
        <v>0</v>
      </c>
      <c r="O294" s="39" t="n">
        <f aca="false">MIN(N('My Debts'!$E$9),E294)</f>
        <v>0</v>
      </c>
      <c r="P294" s="39" t="n">
        <f aca="false">MIN(N('My Debts'!$E$10),F294)</f>
        <v>0</v>
      </c>
      <c r="Q294" s="39" t="n">
        <f aca="false">MIN(N('My Debts'!$E$11),G294)</f>
        <v>0</v>
      </c>
      <c r="R294" s="39" t="n">
        <f aca="false">MIN(N('My Debts'!$E$12),H294)</f>
        <v>0</v>
      </c>
      <c r="S294" s="39" t="n">
        <f aca="false">MIN(N('My Debts'!$E$13),I294)</f>
        <v>0</v>
      </c>
      <c r="T294" s="39" t="n">
        <f aca="false">MIN(N('My Debts'!$E$14),J294)</f>
        <v>0</v>
      </c>
      <c r="U294" s="39" t="n">
        <f aca="false">MIN(N('My Debts'!$E$15),K294)</f>
        <v>0</v>
      </c>
      <c r="V294" s="39" t="n">
        <f aca="false">ROUND(B294-L294-MIN(B294-L294,MAX(0,$AF294-SUMPRODUCT(--($B$4:$K$4&lt;B$4),$B294:$K294-$L294:$U294))),2)</f>
        <v>0</v>
      </c>
      <c r="W294" s="39" t="n">
        <f aca="false">ROUND(C294-M294-MIN(C294-M294,MAX(0,$AF294-SUMPRODUCT(--($B$4:$K$4&lt;C$4),$B294:$K294-$L294:$U294))),2)</f>
        <v>0</v>
      </c>
      <c r="X294" s="39" t="n">
        <f aca="false">ROUND(D294-N294-MIN(D294-N294,MAX(0,$AF294-SUMPRODUCT(--($B$4:$K$4&lt;D$4),$B294:$K294-$L294:$U294))),2)</f>
        <v>0</v>
      </c>
      <c r="Y294" s="39" t="n">
        <f aca="false">ROUND(E294-O294-MIN(E294-O294,MAX(0,$AF294-SUMPRODUCT(--($B$4:$K$4&lt;E$4),$B294:$K294-$L294:$U294))),2)</f>
        <v>0</v>
      </c>
      <c r="Z294" s="39" t="n">
        <f aca="false">ROUND(F294-P294-MIN(F294-P294,MAX(0,$AF294-SUMPRODUCT(--($B$4:$K$4&lt;F$4),$B294:$K294-$L294:$U294))),2)</f>
        <v>0</v>
      </c>
      <c r="AA294" s="39" t="n">
        <f aca="false">ROUND(G294-Q294-MIN(G294-Q294,MAX(0,$AF294-SUMPRODUCT(--($B$4:$K$4&lt;G$4),$B294:$K294-$L294:$U294))),2)</f>
        <v>0</v>
      </c>
      <c r="AB294" s="39" t="n">
        <f aca="false">ROUND(H294-R294-MIN(H294-R294,MAX(0,$AF294-SUMPRODUCT(--($B$4:$K$4&lt;H$4),$B294:$K294-$L294:$U294))),2)</f>
        <v>0</v>
      </c>
      <c r="AC294" s="39" t="n">
        <f aca="false">ROUND(I294-S294-MIN(I294-S294,MAX(0,$AF294-SUMPRODUCT(--($B$4:$K$4&lt;I$4),$B294:$K294-$L294:$U294))),2)</f>
        <v>0</v>
      </c>
      <c r="AD294" s="39" t="n">
        <f aca="false">ROUND(J294-T294-MIN(J294-T294,MAX(0,$AF294-SUMPRODUCT(--($B$4:$K$4&lt;J$4),$B294:$K294-$L294:$U294))),2)</f>
        <v>0</v>
      </c>
      <c r="AE294" s="39" t="n">
        <f aca="false">ROUND(K294-U294-MIN(K294-U294,MAX(0,$AF294-SUMPRODUCT(--($B$4:$K$4&lt;K$4),$B294:$K294-$L294:$U294))),2)</f>
        <v>0</v>
      </c>
      <c r="AF294" s="39" t="n">
        <f aca="false">MAX(0,'Start Here'!$C$5-SUM($L294:$U294))</f>
        <v>1200</v>
      </c>
      <c r="AG294" s="39" t="n">
        <f aca="false">SUM(V294:AE294)</f>
        <v>0</v>
      </c>
      <c r="AH294" s="39" t="n">
        <f aca="false">SUM(B294:K294)-AG293</f>
        <v>0</v>
      </c>
    </row>
    <row r="295" customFormat="false" ht="15" hidden="false" customHeight="false" outlineLevel="0" collapsed="false">
      <c r="A295" s="40" t="n">
        <f aca="false">DATE(YEAR('Start Here'!$C$6),MONTH('Start Here'!$C$6)+288,1)</f>
        <v>55062</v>
      </c>
      <c r="B295" s="39" t="n">
        <f aca="false">ROUND(V294*(1+N('My Debts'!$D$6)/12),2)</f>
        <v>0</v>
      </c>
      <c r="C295" s="39" t="n">
        <f aca="false">ROUND(W294*(1+N('My Debts'!$D$7)/12),2)</f>
        <v>0</v>
      </c>
      <c r="D295" s="39" t="n">
        <f aca="false">ROUND(X294*(1+N('My Debts'!$D$8)/12),2)</f>
        <v>0</v>
      </c>
      <c r="E295" s="39" t="n">
        <f aca="false">ROUND(Y294*(1+N('My Debts'!$D$9)/12),2)</f>
        <v>0</v>
      </c>
      <c r="F295" s="39" t="n">
        <f aca="false">ROUND(Z294*(1+N('My Debts'!$D$10)/12),2)</f>
        <v>0</v>
      </c>
      <c r="G295" s="39" t="n">
        <f aca="false">ROUND(AA294*(1+N('My Debts'!$D$11)/12),2)</f>
        <v>0</v>
      </c>
      <c r="H295" s="39" t="n">
        <f aca="false">ROUND(AB294*(1+N('My Debts'!$D$12)/12),2)</f>
        <v>0</v>
      </c>
      <c r="I295" s="39" t="n">
        <f aca="false">ROUND(AC294*(1+N('My Debts'!$D$13)/12),2)</f>
        <v>0</v>
      </c>
      <c r="J295" s="39" t="n">
        <f aca="false">ROUND(AD294*(1+N('My Debts'!$D$14)/12),2)</f>
        <v>0</v>
      </c>
      <c r="K295" s="39" t="n">
        <f aca="false">ROUND(AE294*(1+N('My Debts'!$D$15)/12),2)</f>
        <v>0</v>
      </c>
      <c r="L295" s="39" t="n">
        <f aca="false">MIN(N('My Debts'!$E$6),B295)</f>
        <v>0</v>
      </c>
      <c r="M295" s="39" t="n">
        <f aca="false">MIN(N('My Debts'!$E$7),C295)</f>
        <v>0</v>
      </c>
      <c r="N295" s="39" t="n">
        <f aca="false">MIN(N('My Debts'!$E$8),D295)</f>
        <v>0</v>
      </c>
      <c r="O295" s="39" t="n">
        <f aca="false">MIN(N('My Debts'!$E$9),E295)</f>
        <v>0</v>
      </c>
      <c r="P295" s="39" t="n">
        <f aca="false">MIN(N('My Debts'!$E$10),F295)</f>
        <v>0</v>
      </c>
      <c r="Q295" s="39" t="n">
        <f aca="false">MIN(N('My Debts'!$E$11),G295)</f>
        <v>0</v>
      </c>
      <c r="R295" s="39" t="n">
        <f aca="false">MIN(N('My Debts'!$E$12),H295)</f>
        <v>0</v>
      </c>
      <c r="S295" s="39" t="n">
        <f aca="false">MIN(N('My Debts'!$E$13),I295)</f>
        <v>0</v>
      </c>
      <c r="T295" s="39" t="n">
        <f aca="false">MIN(N('My Debts'!$E$14),J295)</f>
        <v>0</v>
      </c>
      <c r="U295" s="39" t="n">
        <f aca="false">MIN(N('My Debts'!$E$15),K295)</f>
        <v>0</v>
      </c>
      <c r="V295" s="39" t="n">
        <f aca="false">ROUND(B295-L295-MIN(B295-L295,MAX(0,$AF295-SUMPRODUCT(--($B$4:$K$4&lt;B$4),$B295:$K295-$L295:$U295))),2)</f>
        <v>0</v>
      </c>
      <c r="W295" s="39" t="n">
        <f aca="false">ROUND(C295-M295-MIN(C295-M295,MAX(0,$AF295-SUMPRODUCT(--($B$4:$K$4&lt;C$4),$B295:$K295-$L295:$U295))),2)</f>
        <v>0</v>
      </c>
      <c r="X295" s="39" t="n">
        <f aca="false">ROUND(D295-N295-MIN(D295-N295,MAX(0,$AF295-SUMPRODUCT(--($B$4:$K$4&lt;D$4),$B295:$K295-$L295:$U295))),2)</f>
        <v>0</v>
      </c>
      <c r="Y295" s="39" t="n">
        <f aca="false">ROUND(E295-O295-MIN(E295-O295,MAX(0,$AF295-SUMPRODUCT(--($B$4:$K$4&lt;E$4),$B295:$K295-$L295:$U295))),2)</f>
        <v>0</v>
      </c>
      <c r="Z295" s="39" t="n">
        <f aca="false">ROUND(F295-P295-MIN(F295-P295,MAX(0,$AF295-SUMPRODUCT(--($B$4:$K$4&lt;F$4),$B295:$K295-$L295:$U295))),2)</f>
        <v>0</v>
      </c>
      <c r="AA295" s="39" t="n">
        <f aca="false">ROUND(G295-Q295-MIN(G295-Q295,MAX(0,$AF295-SUMPRODUCT(--($B$4:$K$4&lt;G$4),$B295:$K295-$L295:$U295))),2)</f>
        <v>0</v>
      </c>
      <c r="AB295" s="39" t="n">
        <f aca="false">ROUND(H295-R295-MIN(H295-R295,MAX(0,$AF295-SUMPRODUCT(--($B$4:$K$4&lt;H$4),$B295:$K295-$L295:$U295))),2)</f>
        <v>0</v>
      </c>
      <c r="AC295" s="39" t="n">
        <f aca="false">ROUND(I295-S295-MIN(I295-S295,MAX(0,$AF295-SUMPRODUCT(--($B$4:$K$4&lt;I$4),$B295:$K295-$L295:$U295))),2)</f>
        <v>0</v>
      </c>
      <c r="AD295" s="39" t="n">
        <f aca="false">ROUND(J295-T295-MIN(J295-T295,MAX(0,$AF295-SUMPRODUCT(--($B$4:$K$4&lt;J$4),$B295:$K295-$L295:$U295))),2)</f>
        <v>0</v>
      </c>
      <c r="AE295" s="39" t="n">
        <f aca="false">ROUND(K295-U295-MIN(K295-U295,MAX(0,$AF295-SUMPRODUCT(--($B$4:$K$4&lt;K$4),$B295:$K295-$L295:$U295))),2)</f>
        <v>0</v>
      </c>
      <c r="AF295" s="39" t="n">
        <f aca="false">MAX(0,'Start Here'!$C$5-SUM($L295:$U295))</f>
        <v>1200</v>
      </c>
      <c r="AG295" s="39" t="n">
        <f aca="false">SUM(V295:AE295)</f>
        <v>0</v>
      </c>
      <c r="AH295" s="39" t="n">
        <f aca="false">SUM(B295:K295)-AG294</f>
        <v>0</v>
      </c>
    </row>
    <row r="296" customFormat="false" ht="15" hidden="false" customHeight="false" outlineLevel="0" collapsed="false">
      <c r="A296" s="40" t="n">
        <f aca="false">DATE(YEAR('Start Here'!$C$6),MONTH('Start Here'!$C$6)+289,1)</f>
        <v>55093</v>
      </c>
      <c r="B296" s="39" t="n">
        <f aca="false">ROUND(V295*(1+N('My Debts'!$D$6)/12),2)</f>
        <v>0</v>
      </c>
      <c r="C296" s="39" t="n">
        <f aca="false">ROUND(W295*(1+N('My Debts'!$D$7)/12),2)</f>
        <v>0</v>
      </c>
      <c r="D296" s="39" t="n">
        <f aca="false">ROUND(X295*(1+N('My Debts'!$D$8)/12),2)</f>
        <v>0</v>
      </c>
      <c r="E296" s="39" t="n">
        <f aca="false">ROUND(Y295*(1+N('My Debts'!$D$9)/12),2)</f>
        <v>0</v>
      </c>
      <c r="F296" s="39" t="n">
        <f aca="false">ROUND(Z295*(1+N('My Debts'!$D$10)/12),2)</f>
        <v>0</v>
      </c>
      <c r="G296" s="39" t="n">
        <f aca="false">ROUND(AA295*(1+N('My Debts'!$D$11)/12),2)</f>
        <v>0</v>
      </c>
      <c r="H296" s="39" t="n">
        <f aca="false">ROUND(AB295*(1+N('My Debts'!$D$12)/12),2)</f>
        <v>0</v>
      </c>
      <c r="I296" s="39" t="n">
        <f aca="false">ROUND(AC295*(1+N('My Debts'!$D$13)/12),2)</f>
        <v>0</v>
      </c>
      <c r="J296" s="39" t="n">
        <f aca="false">ROUND(AD295*(1+N('My Debts'!$D$14)/12),2)</f>
        <v>0</v>
      </c>
      <c r="K296" s="39" t="n">
        <f aca="false">ROUND(AE295*(1+N('My Debts'!$D$15)/12),2)</f>
        <v>0</v>
      </c>
      <c r="L296" s="39" t="n">
        <f aca="false">MIN(N('My Debts'!$E$6),B296)</f>
        <v>0</v>
      </c>
      <c r="M296" s="39" t="n">
        <f aca="false">MIN(N('My Debts'!$E$7),C296)</f>
        <v>0</v>
      </c>
      <c r="N296" s="39" t="n">
        <f aca="false">MIN(N('My Debts'!$E$8),D296)</f>
        <v>0</v>
      </c>
      <c r="O296" s="39" t="n">
        <f aca="false">MIN(N('My Debts'!$E$9),E296)</f>
        <v>0</v>
      </c>
      <c r="P296" s="39" t="n">
        <f aca="false">MIN(N('My Debts'!$E$10),F296)</f>
        <v>0</v>
      </c>
      <c r="Q296" s="39" t="n">
        <f aca="false">MIN(N('My Debts'!$E$11),G296)</f>
        <v>0</v>
      </c>
      <c r="R296" s="39" t="n">
        <f aca="false">MIN(N('My Debts'!$E$12),H296)</f>
        <v>0</v>
      </c>
      <c r="S296" s="39" t="n">
        <f aca="false">MIN(N('My Debts'!$E$13),I296)</f>
        <v>0</v>
      </c>
      <c r="T296" s="39" t="n">
        <f aca="false">MIN(N('My Debts'!$E$14),J296)</f>
        <v>0</v>
      </c>
      <c r="U296" s="39" t="n">
        <f aca="false">MIN(N('My Debts'!$E$15),K296)</f>
        <v>0</v>
      </c>
      <c r="V296" s="39" t="n">
        <f aca="false">ROUND(B296-L296-MIN(B296-L296,MAX(0,$AF296-SUMPRODUCT(--($B$4:$K$4&lt;B$4),$B296:$K296-$L296:$U296))),2)</f>
        <v>0</v>
      </c>
      <c r="W296" s="39" t="n">
        <f aca="false">ROUND(C296-M296-MIN(C296-M296,MAX(0,$AF296-SUMPRODUCT(--($B$4:$K$4&lt;C$4),$B296:$K296-$L296:$U296))),2)</f>
        <v>0</v>
      </c>
      <c r="X296" s="39" t="n">
        <f aca="false">ROUND(D296-N296-MIN(D296-N296,MAX(0,$AF296-SUMPRODUCT(--($B$4:$K$4&lt;D$4),$B296:$K296-$L296:$U296))),2)</f>
        <v>0</v>
      </c>
      <c r="Y296" s="39" t="n">
        <f aca="false">ROUND(E296-O296-MIN(E296-O296,MAX(0,$AF296-SUMPRODUCT(--($B$4:$K$4&lt;E$4),$B296:$K296-$L296:$U296))),2)</f>
        <v>0</v>
      </c>
      <c r="Z296" s="39" t="n">
        <f aca="false">ROUND(F296-P296-MIN(F296-P296,MAX(0,$AF296-SUMPRODUCT(--($B$4:$K$4&lt;F$4),$B296:$K296-$L296:$U296))),2)</f>
        <v>0</v>
      </c>
      <c r="AA296" s="39" t="n">
        <f aca="false">ROUND(G296-Q296-MIN(G296-Q296,MAX(0,$AF296-SUMPRODUCT(--($B$4:$K$4&lt;G$4),$B296:$K296-$L296:$U296))),2)</f>
        <v>0</v>
      </c>
      <c r="AB296" s="39" t="n">
        <f aca="false">ROUND(H296-R296-MIN(H296-R296,MAX(0,$AF296-SUMPRODUCT(--($B$4:$K$4&lt;H$4),$B296:$K296-$L296:$U296))),2)</f>
        <v>0</v>
      </c>
      <c r="AC296" s="39" t="n">
        <f aca="false">ROUND(I296-S296-MIN(I296-S296,MAX(0,$AF296-SUMPRODUCT(--($B$4:$K$4&lt;I$4),$B296:$K296-$L296:$U296))),2)</f>
        <v>0</v>
      </c>
      <c r="AD296" s="39" t="n">
        <f aca="false">ROUND(J296-T296-MIN(J296-T296,MAX(0,$AF296-SUMPRODUCT(--($B$4:$K$4&lt;J$4),$B296:$K296-$L296:$U296))),2)</f>
        <v>0</v>
      </c>
      <c r="AE296" s="39" t="n">
        <f aca="false">ROUND(K296-U296-MIN(K296-U296,MAX(0,$AF296-SUMPRODUCT(--($B$4:$K$4&lt;K$4),$B296:$K296-$L296:$U296))),2)</f>
        <v>0</v>
      </c>
      <c r="AF296" s="39" t="n">
        <f aca="false">MAX(0,'Start Here'!$C$5-SUM($L296:$U296))</f>
        <v>1200</v>
      </c>
      <c r="AG296" s="39" t="n">
        <f aca="false">SUM(V296:AE296)</f>
        <v>0</v>
      </c>
      <c r="AH296" s="39" t="n">
        <f aca="false">SUM(B296:K296)-AG295</f>
        <v>0</v>
      </c>
    </row>
    <row r="297" customFormat="false" ht="15" hidden="false" customHeight="false" outlineLevel="0" collapsed="false">
      <c r="A297" s="40" t="n">
        <f aca="false">DATE(YEAR('Start Here'!$C$6),MONTH('Start Here'!$C$6)+290,1)</f>
        <v>55123</v>
      </c>
      <c r="B297" s="39" t="n">
        <f aca="false">ROUND(V296*(1+N('My Debts'!$D$6)/12),2)</f>
        <v>0</v>
      </c>
      <c r="C297" s="39" t="n">
        <f aca="false">ROUND(W296*(1+N('My Debts'!$D$7)/12),2)</f>
        <v>0</v>
      </c>
      <c r="D297" s="39" t="n">
        <f aca="false">ROUND(X296*(1+N('My Debts'!$D$8)/12),2)</f>
        <v>0</v>
      </c>
      <c r="E297" s="39" t="n">
        <f aca="false">ROUND(Y296*(1+N('My Debts'!$D$9)/12),2)</f>
        <v>0</v>
      </c>
      <c r="F297" s="39" t="n">
        <f aca="false">ROUND(Z296*(1+N('My Debts'!$D$10)/12),2)</f>
        <v>0</v>
      </c>
      <c r="G297" s="39" t="n">
        <f aca="false">ROUND(AA296*(1+N('My Debts'!$D$11)/12),2)</f>
        <v>0</v>
      </c>
      <c r="H297" s="39" t="n">
        <f aca="false">ROUND(AB296*(1+N('My Debts'!$D$12)/12),2)</f>
        <v>0</v>
      </c>
      <c r="I297" s="39" t="n">
        <f aca="false">ROUND(AC296*(1+N('My Debts'!$D$13)/12),2)</f>
        <v>0</v>
      </c>
      <c r="J297" s="39" t="n">
        <f aca="false">ROUND(AD296*(1+N('My Debts'!$D$14)/12),2)</f>
        <v>0</v>
      </c>
      <c r="K297" s="39" t="n">
        <f aca="false">ROUND(AE296*(1+N('My Debts'!$D$15)/12),2)</f>
        <v>0</v>
      </c>
      <c r="L297" s="39" t="n">
        <f aca="false">MIN(N('My Debts'!$E$6),B297)</f>
        <v>0</v>
      </c>
      <c r="M297" s="39" t="n">
        <f aca="false">MIN(N('My Debts'!$E$7),C297)</f>
        <v>0</v>
      </c>
      <c r="N297" s="39" t="n">
        <f aca="false">MIN(N('My Debts'!$E$8),D297)</f>
        <v>0</v>
      </c>
      <c r="O297" s="39" t="n">
        <f aca="false">MIN(N('My Debts'!$E$9),E297)</f>
        <v>0</v>
      </c>
      <c r="P297" s="39" t="n">
        <f aca="false">MIN(N('My Debts'!$E$10),F297)</f>
        <v>0</v>
      </c>
      <c r="Q297" s="39" t="n">
        <f aca="false">MIN(N('My Debts'!$E$11),G297)</f>
        <v>0</v>
      </c>
      <c r="R297" s="39" t="n">
        <f aca="false">MIN(N('My Debts'!$E$12),H297)</f>
        <v>0</v>
      </c>
      <c r="S297" s="39" t="n">
        <f aca="false">MIN(N('My Debts'!$E$13),I297)</f>
        <v>0</v>
      </c>
      <c r="T297" s="39" t="n">
        <f aca="false">MIN(N('My Debts'!$E$14),J297)</f>
        <v>0</v>
      </c>
      <c r="U297" s="39" t="n">
        <f aca="false">MIN(N('My Debts'!$E$15),K297)</f>
        <v>0</v>
      </c>
      <c r="V297" s="39" t="n">
        <f aca="false">ROUND(B297-L297-MIN(B297-L297,MAX(0,$AF297-SUMPRODUCT(--($B$4:$K$4&lt;B$4),$B297:$K297-$L297:$U297))),2)</f>
        <v>0</v>
      </c>
      <c r="W297" s="39" t="n">
        <f aca="false">ROUND(C297-M297-MIN(C297-M297,MAX(0,$AF297-SUMPRODUCT(--($B$4:$K$4&lt;C$4),$B297:$K297-$L297:$U297))),2)</f>
        <v>0</v>
      </c>
      <c r="X297" s="39" t="n">
        <f aca="false">ROUND(D297-N297-MIN(D297-N297,MAX(0,$AF297-SUMPRODUCT(--($B$4:$K$4&lt;D$4),$B297:$K297-$L297:$U297))),2)</f>
        <v>0</v>
      </c>
      <c r="Y297" s="39" t="n">
        <f aca="false">ROUND(E297-O297-MIN(E297-O297,MAX(0,$AF297-SUMPRODUCT(--($B$4:$K$4&lt;E$4),$B297:$K297-$L297:$U297))),2)</f>
        <v>0</v>
      </c>
      <c r="Z297" s="39" t="n">
        <f aca="false">ROUND(F297-P297-MIN(F297-P297,MAX(0,$AF297-SUMPRODUCT(--($B$4:$K$4&lt;F$4),$B297:$K297-$L297:$U297))),2)</f>
        <v>0</v>
      </c>
      <c r="AA297" s="39" t="n">
        <f aca="false">ROUND(G297-Q297-MIN(G297-Q297,MAX(0,$AF297-SUMPRODUCT(--($B$4:$K$4&lt;G$4),$B297:$K297-$L297:$U297))),2)</f>
        <v>0</v>
      </c>
      <c r="AB297" s="39" t="n">
        <f aca="false">ROUND(H297-R297-MIN(H297-R297,MAX(0,$AF297-SUMPRODUCT(--($B$4:$K$4&lt;H$4),$B297:$K297-$L297:$U297))),2)</f>
        <v>0</v>
      </c>
      <c r="AC297" s="39" t="n">
        <f aca="false">ROUND(I297-S297-MIN(I297-S297,MAX(0,$AF297-SUMPRODUCT(--($B$4:$K$4&lt;I$4),$B297:$K297-$L297:$U297))),2)</f>
        <v>0</v>
      </c>
      <c r="AD297" s="39" t="n">
        <f aca="false">ROUND(J297-T297-MIN(J297-T297,MAX(0,$AF297-SUMPRODUCT(--($B$4:$K$4&lt;J$4),$B297:$K297-$L297:$U297))),2)</f>
        <v>0</v>
      </c>
      <c r="AE297" s="39" t="n">
        <f aca="false">ROUND(K297-U297-MIN(K297-U297,MAX(0,$AF297-SUMPRODUCT(--($B$4:$K$4&lt;K$4),$B297:$K297-$L297:$U297))),2)</f>
        <v>0</v>
      </c>
      <c r="AF297" s="39" t="n">
        <f aca="false">MAX(0,'Start Here'!$C$5-SUM($L297:$U297))</f>
        <v>1200</v>
      </c>
      <c r="AG297" s="39" t="n">
        <f aca="false">SUM(V297:AE297)</f>
        <v>0</v>
      </c>
      <c r="AH297" s="39" t="n">
        <f aca="false">SUM(B297:K297)-AG296</f>
        <v>0</v>
      </c>
    </row>
    <row r="298" customFormat="false" ht="15" hidden="false" customHeight="false" outlineLevel="0" collapsed="false">
      <c r="A298" s="40" t="n">
        <f aca="false">DATE(YEAR('Start Here'!$C$6),MONTH('Start Here'!$C$6)+291,1)</f>
        <v>55154</v>
      </c>
      <c r="B298" s="39" t="n">
        <f aca="false">ROUND(V297*(1+N('My Debts'!$D$6)/12),2)</f>
        <v>0</v>
      </c>
      <c r="C298" s="39" t="n">
        <f aca="false">ROUND(W297*(1+N('My Debts'!$D$7)/12),2)</f>
        <v>0</v>
      </c>
      <c r="D298" s="39" t="n">
        <f aca="false">ROUND(X297*(1+N('My Debts'!$D$8)/12),2)</f>
        <v>0</v>
      </c>
      <c r="E298" s="39" t="n">
        <f aca="false">ROUND(Y297*(1+N('My Debts'!$D$9)/12),2)</f>
        <v>0</v>
      </c>
      <c r="F298" s="39" t="n">
        <f aca="false">ROUND(Z297*(1+N('My Debts'!$D$10)/12),2)</f>
        <v>0</v>
      </c>
      <c r="G298" s="39" t="n">
        <f aca="false">ROUND(AA297*(1+N('My Debts'!$D$11)/12),2)</f>
        <v>0</v>
      </c>
      <c r="H298" s="39" t="n">
        <f aca="false">ROUND(AB297*(1+N('My Debts'!$D$12)/12),2)</f>
        <v>0</v>
      </c>
      <c r="I298" s="39" t="n">
        <f aca="false">ROUND(AC297*(1+N('My Debts'!$D$13)/12),2)</f>
        <v>0</v>
      </c>
      <c r="J298" s="39" t="n">
        <f aca="false">ROUND(AD297*(1+N('My Debts'!$D$14)/12),2)</f>
        <v>0</v>
      </c>
      <c r="K298" s="39" t="n">
        <f aca="false">ROUND(AE297*(1+N('My Debts'!$D$15)/12),2)</f>
        <v>0</v>
      </c>
      <c r="L298" s="39" t="n">
        <f aca="false">MIN(N('My Debts'!$E$6),B298)</f>
        <v>0</v>
      </c>
      <c r="M298" s="39" t="n">
        <f aca="false">MIN(N('My Debts'!$E$7),C298)</f>
        <v>0</v>
      </c>
      <c r="N298" s="39" t="n">
        <f aca="false">MIN(N('My Debts'!$E$8),D298)</f>
        <v>0</v>
      </c>
      <c r="O298" s="39" t="n">
        <f aca="false">MIN(N('My Debts'!$E$9),E298)</f>
        <v>0</v>
      </c>
      <c r="P298" s="39" t="n">
        <f aca="false">MIN(N('My Debts'!$E$10),F298)</f>
        <v>0</v>
      </c>
      <c r="Q298" s="39" t="n">
        <f aca="false">MIN(N('My Debts'!$E$11),G298)</f>
        <v>0</v>
      </c>
      <c r="R298" s="39" t="n">
        <f aca="false">MIN(N('My Debts'!$E$12),H298)</f>
        <v>0</v>
      </c>
      <c r="S298" s="39" t="n">
        <f aca="false">MIN(N('My Debts'!$E$13),I298)</f>
        <v>0</v>
      </c>
      <c r="T298" s="39" t="n">
        <f aca="false">MIN(N('My Debts'!$E$14),J298)</f>
        <v>0</v>
      </c>
      <c r="U298" s="39" t="n">
        <f aca="false">MIN(N('My Debts'!$E$15),K298)</f>
        <v>0</v>
      </c>
      <c r="V298" s="39" t="n">
        <f aca="false">ROUND(B298-L298-MIN(B298-L298,MAX(0,$AF298-SUMPRODUCT(--($B$4:$K$4&lt;B$4),$B298:$K298-$L298:$U298))),2)</f>
        <v>0</v>
      </c>
      <c r="W298" s="39" t="n">
        <f aca="false">ROUND(C298-M298-MIN(C298-M298,MAX(0,$AF298-SUMPRODUCT(--($B$4:$K$4&lt;C$4),$B298:$K298-$L298:$U298))),2)</f>
        <v>0</v>
      </c>
      <c r="X298" s="39" t="n">
        <f aca="false">ROUND(D298-N298-MIN(D298-N298,MAX(0,$AF298-SUMPRODUCT(--($B$4:$K$4&lt;D$4),$B298:$K298-$L298:$U298))),2)</f>
        <v>0</v>
      </c>
      <c r="Y298" s="39" t="n">
        <f aca="false">ROUND(E298-O298-MIN(E298-O298,MAX(0,$AF298-SUMPRODUCT(--($B$4:$K$4&lt;E$4),$B298:$K298-$L298:$U298))),2)</f>
        <v>0</v>
      </c>
      <c r="Z298" s="39" t="n">
        <f aca="false">ROUND(F298-P298-MIN(F298-P298,MAX(0,$AF298-SUMPRODUCT(--($B$4:$K$4&lt;F$4),$B298:$K298-$L298:$U298))),2)</f>
        <v>0</v>
      </c>
      <c r="AA298" s="39" t="n">
        <f aca="false">ROUND(G298-Q298-MIN(G298-Q298,MAX(0,$AF298-SUMPRODUCT(--($B$4:$K$4&lt;G$4),$B298:$K298-$L298:$U298))),2)</f>
        <v>0</v>
      </c>
      <c r="AB298" s="39" t="n">
        <f aca="false">ROUND(H298-R298-MIN(H298-R298,MAX(0,$AF298-SUMPRODUCT(--($B$4:$K$4&lt;H$4),$B298:$K298-$L298:$U298))),2)</f>
        <v>0</v>
      </c>
      <c r="AC298" s="39" t="n">
        <f aca="false">ROUND(I298-S298-MIN(I298-S298,MAX(0,$AF298-SUMPRODUCT(--($B$4:$K$4&lt;I$4),$B298:$K298-$L298:$U298))),2)</f>
        <v>0</v>
      </c>
      <c r="AD298" s="39" t="n">
        <f aca="false">ROUND(J298-T298-MIN(J298-T298,MAX(0,$AF298-SUMPRODUCT(--($B$4:$K$4&lt;J$4),$B298:$K298-$L298:$U298))),2)</f>
        <v>0</v>
      </c>
      <c r="AE298" s="39" t="n">
        <f aca="false">ROUND(K298-U298-MIN(K298-U298,MAX(0,$AF298-SUMPRODUCT(--($B$4:$K$4&lt;K$4),$B298:$K298-$L298:$U298))),2)</f>
        <v>0</v>
      </c>
      <c r="AF298" s="39" t="n">
        <f aca="false">MAX(0,'Start Here'!$C$5-SUM($L298:$U298))</f>
        <v>1200</v>
      </c>
      <c r="AG298" s="39" t="n">
        <f aca="false">SUM(V298:AE298)</f>
        <v>0</v>
      </c>
      <c r="AH298" s="39" t="n">
        <f aca="false">SUM(B298:K298)-AG297</f>
        <v>0</v>
      </c>
    </row>
    <row r="299" customFormat="false" ht="15" hidden="false" customHeight="false" outlineLevel="0" collapsed="false">
      <c r="A299" s="40" t="n">
        <f aca="false">DATE(YEAR('Start Here'!$C$6),MONTH('Start Here'!$C$6)+292,1)</f>
        <v>55185</v>
      </c>
      <c r="B299" s="39" t="n">
        <f aca="false">ROUND(V298*(1+N('My Debts'!$D$6)/12),2)</f>
        <v>0</v>
      </c>
      <c r="C299" s="39" t="n">
        <f aca="false">ROUND(W298*(1+N('My Debts'!$D$7)/12),2)</f>
        <v>0</v>
      </c>
      <c r="D299" s="39" t="n">
        <f aca="false">ROUND(X298*(1+N('My Debts'!$D$8)/12),2)</f>
        <v>0</v>
      </c>
      <c r="E299" s="39" t="n">
        <f aca="false">ROUND(Y298*(1+N('My Debts'!$D$9)/12),2)</f>
        <v>0</v>
      </c>
      <c r="F299" s="39" t="n">
        <f aca="false">ROUND(Z298*(1+N('My Debts'!$D$10)/12),2)</f>
        <v>0</v>
      </c>
      <c r="G299" s="39" t="n">
        <f aca="false">ROUND(AA298*(1+N('My Debts'!$D$11)/12),2)</f>
        <v>0</v>
      </c>
      <c r="H299" s="39" t="n">
        <f aca="false">ROUND(AB298*(1+N('My Debts'!$D$12)/12),2)</f>
        <v>0</v>
      </c>
      <c r="I299" s="39" t="n">
        <f aca="false">ROUND(AC298*(1+N('My Debts'!$D$13)/12),2)</f>
        <v>0</v>
      </c>
      <c r="J299" s="39" t="n">
        <f aca="false">ROUND(AD298*(1+N('My Debts'!$D$14)/12),2)</f>
        <v>0</v>
      </c>
      <c r="K299" s="39" t="n">
        <f aca="false">ROUND(AE298*(1+N('My Debts'!$D$15)/12),2)</f>
        <v>0</v>
      </c>
      <c r="L299" s="39" t="n">
        <f aca="false">MIN(N('My Debts'!$E$6),B299)</f>
        <v>0</v>
      </c>
      <c r="M299" s="39" t="n">
        <f aca="false">MIN(N('My Debts'!$E$7),C299)</f>
        <v>0</v>
      </c>
      <c r="N299" s="39" t="n">
        <f aca="false">MIN(N('My Debts'!$E$8),D299)</f>
        <v>0</v>
      </c>
      <c r="O299" s="39" t="n">
        <f aca="false">MIN(N('My Debts'!$E$9),E299)</f>
        <v>0</v>
      </c>
      <c r="P299" s="39" t="n">
        <f aca="false">MIN(N('My Debts'!$E$10),F299)</f>
        <v>0</v>
      </c>
      <c r="Q299" s="39" t="n">
        <f aca="false">MIN(N('My Debts'!$E$11),G299)</f>
        <v>0</v>
      </c>
      <c r="R299" s="39" t="n">
        <f aca="false">MIN(N('My Debts'!$E$12),H299)</f>
        <v>0</v>
      </c>
      <c r="S299" s="39" t="n">
        <f aca="false">MIN(N('My Debts'!$E$13),I299)</f>
        <v>0</v>
      </c>
      <c r="T299" s="39" t="n">
        <f aca="false">MIN(N('My Debts'!$E$14),J299)</f>
        <v>0</v>
      </c>
      <c r="U299" s="39" t="n">
        <f aca="false">MIN(N('My Debts'!$E$15),K299)</f>
        <v>0</v>
      </c>
      <c r="V299" s="39" t="n">
        <f aca="false">ROUND(B299-L299-MIN(B299-L299,MAX(0,$AF299-SUMPRODUCT(--($B$4:$K$4&lt;B$4),$B299:$K299-$L299:$U299))),2)</f>
        <v>0</v>
      </c>
      <c r="W299" s="39" t="n">
        <f aca="false">ROUND(C299-M299-MIN(C299-M299,MAX(0,$AF299-SUMPRODUCT(--($B$4:$K$4&lt;C$4),$B299:$K299-$L299:$U299))),2)</f>
        <v>0</v>
      </c>
      <c r="X299" s="39" t="n">
        <f aca="false">ROUND(D299-N299-MIN(D299-N299,MAX(0,$AF299-SUMPRODUCT(--($B$4:$K$4&lt;D$4),$B299:$K299-$L299:$U299))),2)</f>
        <v>0</v>
      </c>
      <c r="Y299" s="39" t="n">
        <f aca="false">ROUND(E299-O299-MIN(E299-O299,MAX(0,$AF299-SUMPRODUCT(--($B$4:$K$4&lt;E$4),$B299:$K299-$L299:$U299))),2)</f>
        <v>0</v>
      </c>
      <c r="Z299" s="39" t="n">
        <f aca="false">ROUND(F299-P299-MIN(F299-P299,MAX(0,$AF299-SUMPRODUCT(--($B$4:$K$4&lt;F$4),$B299:$K299-$L299:$U299))),2)</f>
        <v>0</v>
      </c>
      <c r="AA299" s="39" t="n">
        <f aca="false">ROUND(G299-Q299-MIN(G299-Q299,MAX(0,$AF299-SUMPRODUCT(--($B$4:$K$4&lt;G$4),$B299:$K299-$L299:$U299))),2)</f>
        <v>0</v>
      </c>
      <c r="AB299" s="39" t="n">
        <f aca="false">ROUND(H299-R299-MIN(H299-R299,MAX(0,$AF299-SUMPRODUCT(--($B$4:$K$4&lt;H$4),$B299:$K299-$L299:$U299))),2)</f>
        <v>0</v>
      </c>
      <c r="AC299" s="39" t="n">
        <f aca="false">ROUND(I299-S299-MIN(I299-S299,MAX(0,$AF299-SUMPRODUCT(--($B$4:$K$4&lt;I$4),$B299:$K299-$L299:$U299))),2)</f>
        <v>0</v>
      </c>
      <c r="AD299" s="39" t="n">
        <f aca="false">ROUND(J299-T299-MIN(J299-T299,MAX(0,$AF299-SUMPRODUCT(--($B$4:$K$4&lt;J$4),$B299:$K299-$L299:$U299))),2)</f>
        <v>0</v>
      </c>
      <c r="AE299" s="39" t="n">
        <f aca="false">ROUND(K299-U299-MIN(K299-U299,MAX(0,$AF299-SUMPRODUCT(--($B$4:$K$4&lt;K$4),$B299:$K299-$L299:$U299))),2)</f>
        <v>0</v>
      </c>
      <c r="AF299" s="39" t="n">
        <f aca="false">MAX(0,'Start Here'!$C$5-SUM($L299:$U299))</f>
        <v>1200</v>
      </c>
      <c r="AG299" s="39" t="n">
        <f aca="false">SUM(V299:AE299)</f>
        <v>0</v>
      </c>
      <c r="AH299" s="39" t="n">
        <f aca="false">SUM(B299:K299)-AG298</f>
        <v>0</v>
      </c>
    </row>
    <row r="300" customFormat="false" ht="15" hidden="false" customHeight="false" outlineLevel="0" collapsed="false">
      <c r="A300" s="40" t="n">
        <f aca="false">DATE(YEAR('Start Here'!$C$6),MONTH('Start Here'!$C$6)+293,1)</f>
        <v>55213</v>
      </c>
      <c r="B300" s="39" t="n">
        <f aca="false">ROUND(V299*(1+N('My Debts'!$D$6)/12),2)</f>
        <v>0</v>
      </c>
      <c r="C300" s="39" t="n">
        <f aca="false">ROUND(W299*(1+N('My Debts'!$D$7)/12),2)</f>
        <v>0</v>
      </c>
      <c r="D300" s="39" t="n">
        <f aca="false">ROUND(X299*(1+N('My Debts'!$D$8)/12),2)</f>
        <v>0</v>
      </c>
      <c r="E300" s="39" t="n">
        <f aca="false">ROUND(Y299*(1+N('My Debts'!$D$9)/12),2)</f>
        <v>0</v>
      </c>
      <c r="F300" s="39" t="n">
        <f aca="false">ROUND(Z299*(1+N('My Debts'!$D$10)/12),2)</f>
        <v>0</v>
      </c>
      <c r="G300" s="39" t="n">
        <f aca="false">ROUND(AA299*(1+N('My Debts'!$D$11)/12),2)</f>
        <v>0</v>
      </c>
      <c r="H300" s="39" t="n">
        <f aca="false">ROUND(AB299*(1+N('My Debts'!$D$12)/12),2)</f>
        <v>0</v>
      </c>
      <c r="I300" s="39" t="n">
        <f aca="false">ROUND(AC299*(1+N('My Debts'!$D$13)/12),2)</f>
        <v>0</v>
      </c>
      <c r="J300" s="39" t="n">
        <f aca="false">ROUND(AD299*(1+N('My Debts'!$D$14)/12),2)</f>
        <v>0</v>
      </c>
      <c r="K300" s="39" t="n">
        <f aca="false">ROUND(AE299*(1+N('My Debts'!$D$15)/12),2)</f>
        <v>0</v>
      </c>
      <c r="L300" s="39" t="n">
        <f aca="false">MIN(N('My Debts'!$E$6),B300)</f>
        <v>0</v>
      </c>
      <c r="M300" s="39" t="n">
        <f aca="false">MIN(N('My Debts'!$E$7),C300)</f>
        <v>0</v>
      </c>
      <c r="N300" s="39" t="n">
        <f aca="false">MIN(N('My Debts'!$E$8),D300)</f>
        <v>0</v>
      </c>
      <c r="O300" s="39" t="n">
        <f aca="false">MIN(N('My Debts'!$E$9),E300)</f>
        <v>0</v>
      </c>
      <c r="P300" s="39" t="n">
        <f aca="false">MIN(N('My Debts'!$E$10),F300)</f>
        <v>0</v>
      </c>
      <c r="Q300" s="39" t="n">
        <f aca="false">MIN(N('My Debts'!$E$11),G300)</f>
        <v>0</v>
      </c>
      <c r="R300" s="39" t="n">
        <f aca="false">MIN(N('My Debts'!$E$12),H300)</f>
        <v>0</v>
      </c>
      <c r="S300" s="39" t="n">
        <f aca="false">MIN(N('My Debts'!$E$13),I300)</f>
        <v>0</v>
      </c>
      <c r="T300" s="39" t="n">
        <f aca="false">MIN(N('My Debts'!$E$14),J300)</f>
        <v>0</v>
      </c>
      <c r="U300" s="39" t="n">
        <f aca="false">MIN(N('My Debts'!$E$15),K300)</f>
        <v>0</v>
      </c>
      <c r="V300" s="39" t="n">
        <f aca="false">ROUND(B300-L300-MIN(B300-L300,MAX(0,$AF300-SUMPRODUCT(--($B$4:$K$4&lt;B$4),$B300:$K300-$L300:$U300))),2)</f>
        <v>0</v>
      </c>
      <c r="W300" s="39" t="n">
        <f aca="false">ROUND(C300-M300-MIN(C300-M300,MAX(0,$AF300-SUMPRODUCT(--($B$4:$K$4&lt;C$4),$B300:$K300-$L300:$U300))),2)</f>
        <v>0</v>
      </c>
      <c r="X300" s="39" t="n">
        <f aca="false">ROUND(D300-N300-MIN(D300-N300,MAX(0,$AF300-SUMPRODUCT(--($B$4:$K$4&lt;D$4),$B300:$K300-$L300:$U300))),2)</f>
        <v>0</v>
      </c>
      <c r="Y300" s="39" t="n">
        <f aca="false">ROUND(E300-O300-MIN(E300-O300,MAX(0,$AF300-SUMPRODUCT(--($B$4:$K$4&lt;E$4),$B300:$K300-$L300:$U300))),2)</f>
        <v>0</v>
      </c>
      <c r="Z300" s="39" t="n">
        <f aca="false">ROUND(F300-P300-MIN(F300-P300,MAX(0,$AF300-SUMPRODUCT(--($B$4:$K$4&lt;F$4),$B300:$K300-$L300:$U300))),2)</f>
        <v>0</v>
      </c>
      <c r="AA300" s="39" t="n">
        <f aca="false">ROUND(G300-Q300-MIN(G300-Q300,MAX(0,$AF300-SUMPRODUCT(--($B$4:$K$4&lt;G$4),$B300:$K300-$L300:$U300))),2)</f>
        <v>0</v>
      </c>
      <c r="AB300" s="39" t="n">
        <f aca="false">ROUND(H300-R300-MIN(H300-R300,MAX(0,$AF300-SUMPRODUCT(--($B$4:$K$4&lt;H$4),$B300:$K300-$L300:$U300))),2)</f>
        <v>0</v>
      </c>
      <c r="AC300" s="39" t="n">
        <f aca="false">ROUND(I300-S300-MIN(I300-S300,MAX(0,$AF300-SUMPRODUCT(--($B$4:$K$4&lt;I$4),$B300:$K300-$L300:$U300))),2)</f>
        <v>0</v>
      </c>
      <c r="AD300" s="39" t="n">
        <f aca="false">ROUND(J300-T300-MIN(J300-T300,MAX(0,$AF300-SUMPRODUCT(--($B$4:$K$4&lt;J$4),$B300:$K300-$L300:$U300))),2)</f>
        <v>0</v>
      </c>
      <c r="AE300" s="39" t="n">
        <f aca="false">ROUND(K300-U300-MIN(K300-U300,MAX(0,$AF300-SUMPRODUCT(--($B$4:$K$4&lt;K$4),$B300:$K300-$L300:$U300))),2)</f>
        <v>0</v>
      </c>
      <c r="AF300" s="39" t="n">
        <f aca="false">MAX(0,'Start Here'!$C$5-SUM($L300:$U300))</f>
        <v>1200</v>
      </c>
      <c r="AG300" s="39" t="n">
        <f aca="false">SUM(V300:AE300)</f>
        <v>0</v>
      </c>
      <c r="AH300" s="39" t="n">
        <f aca="false">SUM(B300:K300)-AG299</f>
        <v>0</v>
      </c>
    </row>
    <row r="301" customFormat="false" ht="15" hidden="false" customHeight="false" outlineLevel="0" collapsed="false">
      <c r="A301" s="40" t="n">
        <f aca="false">DATE(YEAR('Start Here'!$C$6),MONTH('Start Here'!$C$6)+294,1)</f>
        <v>55244</v>
      </c>
      <c r="B301" s="39" t="n">
        <f aca="false">ROUND(V300*(1+N('My Debts'!$D$6)/12),2)</f>
        <v>0</v>
      </c>
      <c r="C301" s="39" t="n">
        <f aca="false">ROUND(W300*(1+N('My Debts'!$D$7)/12),2)</f>
        <v>0</v>
      </c>
      <c r="D301" s="39" t="n">
        <f aca="false">ROUND(X300*(1+N('My Debts'!$D$8)/12),2)</f>
        <v>0</v>
      </c>
      <c r="E301" s="39" t="n">
        <f aca="false">ROUND(Y300*(1+N('My Debts'!$D$9)/12),2)</f>
        <v>0</v>
      </c>
      <c r="F301" s="39" t="n">
        <f aca="false">ROUND(Z300*(1+N('My Debts'!$D$10)/12),2)</f>
        <v>0</v>
      </c>
      <c r="G301" s="39" t="n">
        <f aca="false">ROUND(AA300*(1+N('My Debts'!$D$11)/12),2)</f>
        <v>0</v>
      </c>
      <c r="H301" s="39" t="n">
        <f aca="false">ROUND(AB300*(1+N('My Debts'!$D$12)/12),2)</f>
        <v>0</v>
      </c>
      <c r="I301" s="39" t="n">
        <f aca="false">ROUND(AC300*(1+N('My Debts'!$D$13)/12),2)</f>
        <v>0</v>
      </c>
      <c r="J301" s="39" t="n">
        <f aca="false">ROUND(AD300*(1+N('My Debts'!$D$14)/12),2)</f>
        <v>0</v>
      </c>
      <c r="K301" s="39" t="n">
        <f aca="false">ROUND(AE300*(1+N('My Debts'!$D$15)/12),2)</f>
        <v>0</v>
      </c>
      <c r="L301" s="39" t="n">
        <f aca="false">MIN(N('My Debts'!$E$6),B301)</f>
        <v>0</v>
      </c>
      <c r="M301" s="39" t="n">
        <f aca="false">MIN(N('My Debts'!$E$7),C301)</f>
        <v>0</v>
      </c>
      <c r="N301" s="39" t="n">
        <f aca="false">MIN(N('My Debts'!$E$8),D301)</f>
        <v>0</v>
      </c>
      <c r="O301" s="39" t="n">
        <f aca="false">MIN(N('My Debts'!$E$9),E301)</f>
        <v>0</v>
      </c>
      <c r="P301" s="39" t="n">
        <f aca="false">MIN(N('My Debts'!$E$10),F301)</f>
        <v>0</v>
      </c>
      <c r="Q301" s="39" t="n">
        <f aca="false">MIN(N('My Debts'!$E$11),G301)</f>
        <v>0</v>
      </c>
      <c r="R301" s="39" t="n">
        <f aca="false">MIN(N('My Debts'!$E$12),H301)</f>
        <v>0</v>
      </c>
      <c r="S301" s="39" t="n">
        <f aca="false">MIN(N('My Debts'!$E$13),I301)</f>
        <v>0</v>
      </c>
      <c r="T301" s="39" t="n">
        <f aca="false">MIN(N('My Debts'!$E$14),J301)</f>
        <v>0</v>
      </c>
      <c r="U301" s="39" t="n">
        <f aca="false">MIN(N('My Debts'!$E$15),K301)</f>
        <v>0</v>
      </c>
      <c r="V301" s="39" t="n">
        <f aca="false">ROUND(B301-L301-MIN(B301-L301,MAX(0,$AF301-SUMPRODUCT(--($B$4:$K$4&lt;B$4),$B301:$K301-$L301:$U301))),2)</f>
        <v>0</v>
      </c>
      <c r="W301" s="39" t="n">
        <f aca="false">ROUND(C301-M301-MIN(C301-M301,MAX(0,$AF301-SUMPRODUCT(--($B$4:$K$4&lt;C$4),$B301:$K301-$L301:$U301))),2)</f>
        <v>0</v>
      </c>
      <c r="X301" s="39" t="n">
        <f aca="false">ROUND(D301-N301-MIN(D301-N301,MAX(0,$AF301-SUMPRODUCT(--($B$4:$K$4&lt;D$4),$B301:$K301-$L301:$U301))),2)</f>
        <v>0</v>
      </c>
      <c r="Y301" s="39" t="n">
        <f aca="false">ROUND(E301-O301-MIN(E301-O301,MAX(0,$AF301-SUMPRODUCT(--($B$4:$K$4&lt;E$4),$B301:$K301-$L301:$U301))),2)</f>
        <v>0</v>
      </c>
      <c r="Z301" s="39" t="n">
        <f aca="false">ROUND(F301-P301-MIN(F301-P301,MAX(0,$AF301-SUMPRODUCT(--($B$4:$K$4&lt;F$4),$B301:$K301-$L301:$U301))),2)</f>
        <v>0</v>
      </c>
      <c r="AA301" s="39" t="n">
        <f aca="false">ROUND(G301-Q301-MIN(G301-Q301,MAX(0,$AF301-SUMPRODUCT(--($B$4:$K$4&lt;G$4),$B301:$K301-$L301:$U301))),2)</f>
        <v>0</v>
      </c>
      <c r="AB301" s="39" t="n">
        <f aca="false">ROUND(H301-R301-MIN(H301-R301,MAX(0,$AF301-SUMPRODUCT(--($B$4:$K$4&lt;H$4),$B301:$K301-$L301:$U301))),2)</f>
        <v>0</v>
      </c>
      <c r="AC301" s="39" t="n">
        <f aca="false">ROUND(I301-S301-MIN(I301-S301,MAX(0,$AF301-SUMPRODUCT(--($B$4:$K$4&lt;I$4),$B301:$K301-$L301:$U301))),2)</f>
        <v>0</v>
      </c>
      <c r="AD301" s="39" t="n">
        <f aca="false">ROUND(J301-T301-MIN(J301-T301,MAX(0,$AF301-SUMPRODUCT(--($B$4:$K$4&lt;J$4),$B301:$K301-$L301:$U301))),2)</f>
        <v>0</v>
      </c>
      <c r="AE301" s="39" t="n">
        <f aca="false">ROUND(K301-U301-MIN(K301-U301,MAX(0,$AF301-SUMPRODUCT(--($B$4:$K$4&lt;K$4),$B301:$K301-$L301:$U301))),2)</f>
        <v>0</v>
      </c>
      <c r="AF301" s="39" t="n">
        <f aca="false">MAX(0,'Start Here'!$C$5-SUM($L301:$U301))</f>
        <v>1200</v>
      </c>
      <c r="AG301" s="39" t="n">
        <f aca="false">SUM(V301:AE301)</f>
        <v>0</v>
      </c>
      <c r="AH301" s="39" t="n">
        <f aca="false">SUM(B301:K301)-AG300</f>
        <v>0</v>
      </c>
    </row>
    <row r="302" customFormat="false" ht="15" hidden="false" customHeight="false" outlineLevel="0" collapsed="false">
      <c r="A302" s="40" t="n">
        <f aca="false">DATE(YEAR('Start Here'!$C$6),MONTH('Start Here'!$C$6)+295,1)</f>
        <v>55274</v>
      </c>
      <c r="B302" s="39" t="n">
        <f aca="false">ROUND(V301*(1+N('My Debts'!$D$6)/12),2)</f>
        <v>0</v>
      </c>
      <c r="C302" s="39" t="n">
        <f aca="false">ROUND(W301*(1+N('My Debts'!$D$7)/12),2)</f>
        <v>0</v>
      </c>
      <c r="D302" s="39" t="n">
        <f aca="false">ROUND(X301*(1+N('My Debts'!$D$8)/12),2)</f>
        <v>0</v>
      </c>
      <c r="E302" s="39" t="n">
        <f aca="false">ROUND(Y301*(1+N('My Debts'!$D$9)/12),2)</f>
        <v>0</v>
      </c>
      <c r="F302" s="39" t="n">
        <f aca="false">ROUND(Z301*(1+N('My Debts'!$D$10)/12),2)</f>
        <v>0</v>
      </c>
      <c r="G302" s="39" t="n">
        <f aca="false">ROUND(AA301*(1+N('My Debts'!$D$11)/12),2)</f>
        <v>0</v>
      </c>
      <c r="H302" s="39" t="n">
        <f aca="false">ROUND(AB301*(1+N('My Debts'!$D$12)/12),2)</f>
        <v>0</v>
      </c>
      <c r="I302" s="39" t="n">
        <f aca="false">ROUND(AC301*(1+N('My Debts'!$D$13)/12),2)</f>
        <v>0</v>
      </c>
      <c r="J302" s="39" t="n">
        <f aca="false">ROUND(AD301*(1+N('My Debts'!$D$14)/12),2)</f>
        <v>0</v>
      </c>
      <c r="K302" s="39" t="n">
        <f aca="false">ROUND(AE301*(1+N('My Debts'!$D$15)/12),2)</f>
        <v>0</v>
      </c>
      <c r="L302" s="39" t="n">
        <f aca="false">MIN(N('My Debts'!$E$6),B302)</f>
        <v>0</v>
      </c>
      <c r="M302" s="39" t="n">
        <f aca="false">MIN(N('My Debts'!$E$7),C302)</f>
        <v>0</v>
      </c>
      <c r="N302" s="39" t="n">
        <f aca="false">MIN(N('My Debts'!$E$8),D302)</f>
        <v>0</v>
      </c>
      <c r="O302" s="39" t="n">
        <f aca="false">MIN(N('My Debts'!$E$9),E302)</f>
        <v>0</v>
      </c>
      <c r="P302" s="39" t="n">
        <f aca="false">MIN(N('My Debts'!$E$10),F302)</f>
        <v>0</v>
      </c>
      <c r="Q302" s="39" t="n">
        <f aca="false">MIN(N('My Debts'!$E$11),G302)</f>
        <v>0</v>
      </c>
      <c r="R302" s="39" t="n">
        <f aca="false">MIN(N('My Debts'!$E$12),H302)</f>
        <v>0</v>
      </c>
      <c r="S302" s="39" t="n">
        <f aca="false">MIN(N('My Debts'!$E$13),I302)</f>
        <v>0</v>
      </c>
      <c r="T302" s="39" t="n">
        <f aca="false">MIN(N('My Debts'!$E$14),J302)</f>
        <v>0</v>
      </c>
      <c r="U302" s="39" t="n">
        <f aca="false">MIN(N('My Debts'!$E$15),K302)</f>
        <v>0</v>
      </c>
      <c r="V302" s="39" t="n">
        <f aca="false">ROUND(B302-L302-MIN(B302-L302,MAX(0,$AF302-SUMPRODUCT(--($B$4:$K$4&lt;B$4),$B302:$K302-$L302:$U302))),2)</f>
        <v>0</v>
      </c>
      <c r="W302" s="39" t="n">
        <f aca="false">ROUND(C302-M302-MIN(C302-M302,MAX(0,$AF302-SUMPRODUCT(--($B$4:$K$4&lt;C$4),$B302:$K302-$L302:$U302))),2)</f>
        <v>0</v>
      </c>
      <c r="X302" s="39" t="n">
        <f aca="false">ROUND(D302-N302-MIN(D302-N302,MAX(0,$AF302-SUMPRODUCT(--($B$4:$K$4&lt;D$4),$B302:$K302-$L302:$U302))),2)</f>
        <v>0</v>
      </c>
      <c r="Y302" s="39" t="n">
        <f aca="false">ROUND(E302-O302-MIN(E302-O302,MAX(0,$AF302-SUMPRODUCT(--($B$4:$K$4&lt;E$4),$B302:$K302-$L302:$U302))),2)</f>
        <v>0</v>
      </c>
      <c r="Z302" s="39" t="n">
        <f aca="false">ROUND(F302-P302-MIN(F302-P302,MAX(0,$AF302-SUMPRODUCT(--($B$4:$K$4&lt;F$4),$B302:$K302-$L302:$U302))),2)</f>
        <v>0</v>
      </c>
      <c r="AA302" s="39" t="n">
        <f aca="false">ROUND(G302-Q302-MIN(G302-Q302,MAX(0,$AF302-SUMPRODUCT(--($B$4:$K$4&lt;G$4),$B302:$K302-$L302:$U302))),2)</f>
        <v>0</v>
      </c>
      <c r="AB302" s="39" t="n">
        <f aca="false">ROUND(H302-R302-MIN(H302-R302,MAX(0,$AF302-SUMPRODUCT(--($B$4:$K$4&lt;H$4),$B302:$K302-$L302:$U302))),2)</f>
        <v>0</v>
      </c>
      <c r="AC302" s="39" t="n">
        <f aca="false">ROUND(I302-S302-MIN(I302-S302,MAX(0,$AF302-SUMPRODUCT(--($B$4:$K$4&lt;I$4),$B302:$K302-$L302:$U302))),2)</f>
        <v>0</v>
      </c>
      <c r="AD302" s="39" t="n">
        <f aca="false">ROUND(J302-T302-MIN(J302-T302,MAX(0,$AF302-SUMPRODUCT(--($B$4:$K$4&lt;J$4),$B302:$K302-$L302:$U302))),2)</f>
        <v>0</v>
      </c>
      <c r="AE302" s="39" t="n">
        <f aca="false">ROUND(K302-U302-MIN(K302-U302,MAX(0,$AF302-SUMPRODUCT(--($B$4:$K$4&lt;K$4),$B302:$K302-$L302:$U302))),2)</f>
        <v>0</v>
      </c>
      <c r="AF302" s="39" t="n">
        <f aca="false">MAX(0,'Start Here'!$C$5-SUM($L302:$U302))</f>
        <v>1200</v>
      </c>
      <c r="AG302" s="39" t="n">
        <f aca="false">SUM(V302:AE302)</f>
        <v>0</v>
      </c>
      <c r="AH302" s="39" t="n">
        <f aca="false">SUM(B302:K302)-AG301</f>
        <v>0</v>
      </c>
    </row>
    <row r="303" customFormat="false" ht="15" hidden="false" customHeight="false" outlineLevel="0" collapsed="false">
      <c r="A303" s="40" t="n">
        <f aca="false">DATE(YEAR('Start Here'!$C$6),MONTH('Start Here'!$C$6)+296,1)</f>
        <v>55305</v>
      </c>
      <c r="B303" s="39" t="n">
        <f aca="false">ROUND(V302*(1+N('My Debts'!$D$6)/12),2)</f>
        <v>0</v>
      </c>
      <c r="C303" s="39" t="n">
        <f aca="false">ROUND(W302*(1+N('My Debts'!$D$7)/12),2)</f>
        <v>0</v>
      </c>
      <c r="D303" s="39" t="n">
        <f aca="false">ROUND(X302*(1+N('My Debts'!$D$8)/12),2)</f>
        <v>0</v>
      </c>
      <c r="E303" s="39" t="n">
        <f aca="false">ROUND(Y302*(1+N('My Debts'!$D$9)/12),2)</f>
        <v>0</v>
      </c>
      <c r="F303" s="39" t="n">
        <f aca="false">ROUND(Z302*(1+N('My Debts'!$D$10)/12),2)</f>
        <v>0</v>
      </c>
      <c r="G303" s="39" t="n">
        <f aca="false">ROUND(AA302*(1+N('My Debts'!$D$11)/12),2)</f>
        <v>0</v>
      </c>
      <c r="H303" s="39" t="n">
        <f aca="false">ROUND(AB302*(1+N('My Debts'!$D$12)/12),2)</f>
        <v>0</v>
      </c>
      <c r="I303" s="39" t="n">
        <f aca="false">ROUND(AC302*(1+N('My Debts'!$D$13)/12),2)</f>
        <v>0</v>
      </c>
      <c r="J303" s="39" t="n">
        <f aca="false">ROUND(AD302*(1+N('My Debts'!$D$14)/12),2)</f>
        <v>0</v>
      </c>
      <c r="K303" s="39" t="n">
        <f aca="false">ROUND(AE302*(1+N('My Debts'!$D$15)/12),2)</f>
        <v>0</v>
      </c>
      <c r="L303" s="39" t="n">
        <f aca="false">MIN(N('My Debts'!$E$6),B303)</f>
        <v>0</v>
      </c>
      <c r="M303" s="39" t="n">
        <f aca="false">MIN(N('My Debts'!$E$7),C303)</f>
        <v>0</v>
      </c>
      <c r="N303" s="39" t="n">
        <f aca="false">MIN(N('My Debts'!$E$8),D303)</f>
        <v>0</v>
      </c>
      <c r="O303" s="39" t="n">
        <f aca="false">MIN(N('My Debts'!$E$9),E303)</f>
        <v>0</v>
      </c>
      <c r="P303" s="39" t="n">
        <f aca="false">MIN(N('My Debts'!$E$10),F303)</f>
        <v>0</v>
      </c>
      <c r="Q303" s="39" t="n">
        <f aca="false">MIN(N('My Debts'!$E$11),G303)</f>
        <v>0</v>
      </c>
      <c r="R303" s="39" t="n">
        <f aca="false">MIN(N('My Debts'!$E$12),H303)</f>
        <v>0</v>
      </c>
      <c r="S303" s="39" t="n">
        <f aca="false">MIN(N('My Debts'!$E$13),I303)</f>
        <v>0</v>
      </c>
      <c r="T303" s="39" t="n">
        <f aca="false">MIN(N('My Debts'!$E$14),J303)</f>
        <v>0</v>
      </c>
      <c r="U303" s="39" t="n">
        <f aca="false">MIN(N('My Debts'!$E$15),K303)</f>
        <v>0</v>
      </c>
      <c r="V303" s="39" t="n">
        <f aca="false">ROUND(B303-L303-MIN(B303-L303,MAX(0,$AF303-SUMPRODUCT(--($B$4:$K$4&lt;B$4),$B303:$K303-$L303:$U303))),2)</f>
        <v>0</v>
      </c>
      <c r="W303" s="39" t="n">
        <f aca="false">ROUND(C303-M303-MIN(C303-M303,MAX(0,$AF303-SUMPRODUCT(--($B$4:$K$4&lt;C$4),$B303:$K303-$L303:$U303))),2)</f>
        <v>0</v>
      </c>
      <c r="X303" s="39" t="n">
        <f aca="false">ROUND(D303-N303-MIN(D303-N303,MAX(0,$AF303-SUMPRODUCT(--($B$4:$K$4&lt;D$4),$B303:$K303-$L303:$U303))),2)</f>
        <v>0</v>
      </c>
      <c r="Y303" s="39" t="n">
        <f aca="false">ROUND(E303-O303-MIN(E303-O303,MAX(0,$AF303-SUMPRODUCT(--($B$4:$K$4&lt;E$4),$B303:$K303-$L303:$U303))),2)</f>
        <v>0</v>
      </c>
      <c r="Z303" s="39" t="n">
        <f aca="false">ROUND(F303-P303-MIN(F303-P303,MAX(0,$AF303-SUMPRODUCT(--($B$4:$K$4&lt;F$4),$B303:$K303-$L303:$U303))),2)</f>
        <v>0</v>
      </c>
      <c r="AA303" s="39" t="n">
        <f aca="false">ROUND(G303-Q303-MIN(G303-Q303,MAX(0,$AF303-SUMPRODUCT(--($B$4:$K$4&lt;G$4),$B303:$K303-$L303:$U303))),2)</f>
        <v>0</v>
      </c>
      <c r="AB303" s="39" t="n">
        <f aca="false">ROUND(H303-R303-MIN(H303-R303,MAX(0,$AF303-SUMPRODUCT(--($B$4:$K$4&lt;H$4),$B303:$K303-$L303:$U303))),2)</f>
        <v>0</v>
      </c>
      <c r="AC303" s="39" t="n">
        <f aca="false">ROUND(I303-S303-MIN(I303-S303,MAX(0,$AF303-SUMPRODUCT(--($B$4:$K$4&lt;I$4),$B303:$K303-$L303:$U303))),2)</f>
        <v>0</v>
      </c>
      <c r="AD303" s="39" t="n">
        <f aca="false">ROUND(J303-T303-MIN(J303-T303,MAX(0,$AF303-SUMPRODUCT(--($B$4:$K$4&lt;J$4),$B303:$K303-$L303:$U303))),2)</f>
        <v>0</v>
      </c>
      <c r="AE303" s="39" t="n">
        <f aca="false">ROUND(K303-U303-MIN(K303-U303,MAX(0,$AF303-SUMPRODUCT(--($B$4:$K$4&lt;K$4),$B303:$K303-$L303:$U303))),2)</f>
        <v>0</v>
      </c>
      <c r="AF303" s="39" t="n">
        <f aca="false">MAX(0,'Start Here'!$C$5-SUM($L303:$U303))</f>
        <v>1200</v>
      </c>
      <c r="AG303" s="39" t="n">
        <f aca="false">SUM(V303:AE303)</f>
        <v>0</v>
      </c>
      <c r="AH303" s="39" t="n">
        <f aca="false">SUM(B303:K303)-AG302</f>
        <v>0</v>
      </c>
    </row>
    <row r="304" customFormat="false" ht="15" hidden="false" customHeight="false" outlineLevel="0" collapsed="false">
      <c r="A304" s="40" t="n">
        <f aca="false">DATE(YEAR('Start Here'!$C$6),MONTH('Start Here'!$C$6)+297,1)</f>
        <v>55335</v>
      </c>
      <c r="B304" s="39" t="n">
        <f aca="false">ROUND(V303*(1+N('My Debts'!$D$6)/12),2)</f>
        <v>0</v>
      </c>
      <c r="C304" s="39" t="n">
        <f aca="false">ROUND(W303*(1+N('My Debts'!$D$7)/12),2)</f>
        <v>0</v>
      </c>
      <c r="D304" s="39" t="n">
        <f aca="false">ROUND(X303*(1+N('My Debts'!$D$8)/12),2)</f>
        <v>0</v>
      </c>
      <c r="E304" s="39" t="n">
        <f aca="false">ROUND(Y303*(1+N('My Debts'!$D$9)/12),2)</f>
        <v>0</v>
      </c>
      <c r="F304" s="39" t="n">
        <f aca="false">ROUND(Z303*(1+N('My Debts'!$D$10)/12),2)</f>
        <v>0</v>
      </c>
      <c r="G304" s="39" t="n">
        <f aca="false">ROUND(AA303*(1+N('My Debts'!$D$11)/12),2)</f>
        <v>0</v>
      </c>
      <c r="H304" s="39" t="n">
        <f aca="false">ROUND(AB303*(1+N('My Debts'!$D$12)/12),2)</f>
        <v>0</v>
      </c>
      <c r="I304" s="39" t="n">
        <f aca="false">ROUND(AC303*(1+N('My Debts'!$D$13)/12),2)</f>
        <v>0</v>
      </c>
      <c r="J304" s="39" t="n">
        <f aca="false">ROUND(AD303*(1+N('My Debts'!$D$14)/12),2)</f>
        <v>0</v>
      </c>
      <c r="K304" s="39" t="n">
        <f aca="false">ROUND(AE303*(1+N('My Debts'!$D$15)/12),2)</f>
        <v>0</v>
      </c>
      <c r="L304" s="39" t="n">
        <f aca="false">MIN(N('My Debts'!$E$6),B304)</f>
        <v>0</v>
      </c>
      <c r="M304" s="39" t="n">
        <f aca="false">MIN(N('My Debts'!$E$7),C304)</f>
        <v>0</v>
      </c>
      <c r="N304" s="39" t="n">
        <f aca="false">MIN(N('My Debts'!$E$8),D304)</f>
        <v>0</v>
      </c>
      <c r="O304" s="39" t="n">
        <f aca="false">MIN(N('My Debts'!$E$9),E304)</f>
        <v>0</v>
      </c>
      <c r="P304" s="39" t="n">
        <f aca="false">MIN(N('My Debts'!$E$10),F304)</f>
        <v>0</v>
      </c>
      <c r="Q304" s="39" t="n">
        <f aca="false">MIN(N('My Debts'!$E$11),G304)</f>
        <v>0</v>
      </c>
      <c r="R304" s="39" t="n">
        <f aca="false">MIN(N('My Debts'!$E$12),H304)</f>
        <v>0</v>
      </c>
      <c r="S304" s="39" t="n">
        <f aca="false">MIN(N('My Debts'!$E$13),I304)</f>
        <v>0</v>
      </c>
      <c r="T304" s="39" t="n">
        <f aca="false">MIN(N('My Debts'!$E$14),J304)</f>
        <v>0</v>
      </c>
      <c r="U304" s="39" t="n">
        <f aca="false">MIN(N('My Debts'!$E$15),K304)</f>
        <v>0</v>
      </c>
      <c r="V304" s="39" t="n">
        <f aca="false">ROUND(B304-L304-MIN(B304-L304,MAX(0,$AF304-SUMPRODUCT(--($B$4:$K$4&lt;B$4),$B304:$K304-$L304:$U304))),2)</f>
        <v>0</v>
      </c>
      <c r="W304" s="39" t="n">
        <f aca="false">ROUND(C304-M304-MIN(C304-M304,MAX(0,$AF304-SUMPRODUCT(--($B$4:$K$4&lt;C$4),$B304:$K304-$L304:$U304))),2)</f>
        <v>0</v>
      </c>
      <c r="X304" s="39" t="n">
        <f aca="false">ROUND(D304-N304-MIN(D304-N304,MAX(0,$AF304-SUMPRODUCT(--($B$4:$K$4&lt;D$4),$B304:$K304-$L304:$U304))),2)</f>
        <v>0</v>
      </c>
      <c r="Y304" s="39" t="n">
        <f aca="false">ROUND(E304-O304-MIN(E304-O304,MAX(0,$AF304-SUMPRODUCT(--($B$4:$K$4&lt;E$4),$B304:$K304-$L304:$U304))),2)</f>
        <v>0</v>
      </c>
      <c r="Z304" s="39" t="n">
        <f aca="false">ROUND(F304-P304-MIN(F304-P304,MAX(0,$AF304-SUMPRODUCT(--($B$4:$K$4&lt;F$4),$B304:$K304-$L304:$U304))),2)</f>
        <v>0</v>
      </c>
      <c r="AA304" s="39" t="n">
        <f aca="false">ROUND(G304-Q304-MIN(G304-Q304,MAX(0,$AF304-SUMPRODUCT(--($B$4:$K$4&lt;G$4),$B304:$K304-$L304:$U304))),2)</f>
        <v>0</v>
      </c>
      <c r="AB304" s="39" t="n">
        <f aca="false">ROUND(H304-R304-MIN(H304-R304,MAX(0,$AF304-SUMPRODUCT(--($B$4:$K$4&lt;H$4),$B304:$K304-$L304:$U304))),2)</f>
        <v>0</v>
      </c>
      <c r="AC304" s="39" t="n">
        <f aca="false">ROUND(I304-S304-MIN(I304-S304,MAX(0,$AF304-SUMPRODUCT(--($B$4:$K$4&lt;I$4),$B304:$K304-$L304:$U304))),2)</f>
        <v>0</v>
      </c>
      <c r="AD304" s="39" t="n">
        <f aca="false">ROUND(J304-T304-MIN(J304-T304,MAX(0,$AF304-SUMPRODUCT(--($B$4:$K$4&lt;J$4),$B304:$K304-$L304:$U304))),2)</f>
        <v>0</v>
      </c>
      <c r="AE304" s="39" t="n">
        <f aca="false">ROUND(K304-U304-MIN(K304-U304,MAX(0,$AF304-SUMPRODUCT(--($B$4:$K$4&lt;K$4),$B304:$K304-$L304:$U304))),2)</f>
        <v>0</v>
      </c>
      <c r="AF304" s="39" t="n">
        <f aca="false">MAX(0,'Start Here'!$C$5-SUM($L304:$U304))</f>
        <v>1200</v>
      </c>
      <c r="AG304" s="39" t="n">
        <f aca="false">SUM(V304:AE304)</f>
        <v>0</v>
      </c>
      <c r="AH304" s="39" t="n">
        <f aca="false">SUM(B304:K304)-AG303</f>
        <v>0</v>
      </c>
    </row>
    <row r="305" customFormat="false" ht="15" hidden="false" customHeight="false" outlineLevel="0" collapsed="false">
      <c r="A305" s="40" t="n">
        <f aca="false">DATE(YEAR('Start Here'!$C$6),MONTH('Start Here'!$C$6)+298,1)</f>
        <v>55366</v>
      </c>
      <c r="B305" s="39" t="n">
        <f aca="false">ROUND(V304*(1+N('My Debts'!$D$6)/12),2)</f>
        <v>0</v>
      </c>
      <c r="C305" s="39" t="n">
        <f aca="false">ROUND(W304*(1+N('My Debts'!$D$7)/12),2)</f>
        <v>0</v>
      </c>
      <c r="D305" s="39" t="n">
        <f aca="false">ROUND(X304*(1+N('My Debts'!$D$8)/12),2)</f>
        <v>0</v>
      </c>
      <c r="E305" s="39" t="n">
        <f aca="false">ROUND(Y304*(1+N('My Debts'!$D$9)/12),2)</f>
        <v>0</v>
      </c>
      <c r="F305" s="39" t="n">
        <f aca="false">ROUND(Z304*(1+N('My Debts'!$D$10)/12),2)</f>
        <v>0</v>
      </c>
      <c r="G305" s="39" t="n">
        <f aca="false">ROUND(AA304*(1+N('My Debts'!$D$11)/12),2)</f>
        <v>0</v>
      </c>
      <c r="H305" s="39" t="n">
        <f aca="false">ROUND(AB304*(1+N('My Debts'!$D$12)/12),2)</f>
        <v>0</v>
      </c>
      <c r="I305" s="39" t="n">
        <f aca="false">ROUND(AC304*(1+N('My Debts'!$D$13)/12),2)</f>
        <v>0</v>
      </c>
      <c r="J305" s="39" t="n">
        <f aca="false">ROUND(AD304*(1+N('My Debts'!$D$14)/12),2)</f>
        <v>0</v>
      </c>
      <c r="K305" s="39" t="n">
        <f aca="false">ROUND(AE304*(1+N('My Debts'!$D$15)/12),2)</f>
        <v>0</v>
      </c>
      <c r="L305" s="39" t="n">
        <f aca="false">MIN(N('My Debts'!$E$6),B305)</f>
        <v>0</v>
      </c>
      <c r="M305" s="39" t="n">
        <f aca="false">MIN(N('My Debts'!$E$7),C305)</f>
        <v>0</v>
      </c>
      <c r="N305" s="39" t="n">
        <f aca="false">MIN(N('My Debts'!$E$8),D305)</f>
        <v>0</v>
      </c>
      <c r="O305" s="39" t="n">
        <f aca="false">MIN(N('My Debts'!$E$9),E305)</f>
        <v>0</v>
      </c>
      <c r="P305" s="39" t="n">
        <f aca="false">MIN(N('My Debts'!$E$10),F305)</f>
        <v>0</v>
      </c>
      <c r="Q305" s="39" t="n">
        <f aca="false">MIN(N('My Debts'!$E$11),G305)</f>
        <v>0</v>
      </c>
      <c r="R305" s="39" t="n">
        <f aca="false">MIN(N('My Debts'!$E$12),H305)</f>
        <v>0</v>
      </c>
      <c r="S305" s="39" t="n">
        <f aca="false">MIN(N('My Debts'!$E$13),I305)</f>
        <v>0</v>
      </c>
      <c r="T305" s="39" t="n">
        <f aca="false">MIN(N('My Debts'!$E$14),J305)</f>
        <v>0</v>
      </c>
      <c r="U305" s="39" t="n">
        <f aca="false">MIN(N('My Debts'!$E$15),K305)</f>
        <v>0</v>
      </c>
      <c r="V305" s="39" t="n">
        <f aca="false">ROUND(B305-L305-MIN(B305-L305,MAX(0,$AF305-SUMPRODUCT(--($B$4:$K$4&lt;B$4),$B305:$K305-$L305:$U305))),2)</f>
        <v>0</v>
      </c>
      <c r="W305" s="39" t="n">
        <f aca="false">ROUND(C305-M305-MIN(C305-M305,MAX(0,$AF305-SUMPRODUCT(--($B$4:$K$4&lt;C$4),$B305:$K305-$L305:$U305))),2)</f>
        <v>0</v>
      </c>
      <c r="X305" s="39" t="n">
        <f aca="false">ROUND(D305-N305-MIN(D305-N305,MAX(0,$AF305-SUMPRODUCT(--($B$4:$K$4&lt;D$4),$B305:$K305-$L305:$U305))),2)</f>
        <v>0</v>
      </c>
      <c r="Y305" s="39" t="n">
        <f aca="false">ROUND(E305-O305-MIN(E305-O305,MAX(0,$AF305-SUMPRODUCT(--($B$4:$K$4&lt;E$4),$B305:$K305-$L305:$U305))),2)</f>
        <v>0</v>
      </c>
      <c r="Z305" s="39" t="n">
        <f aca="false">ROUND(F305-P305-MIN(F305-P305,MAX(0,$AF305-SUMPRODUCT(--($B$4:$K$4&lt;F$4),$B305:$K305-$L305:$U305))),2)</f>
        <v>0</v>
      </c>
      <c r="AA305" s="39" t="n">
        <f aca="false">ROUND(G305-Q305-MIN(G305-Q305,MAX(0,$AF305-SUMPRODUCT(--($B$4:$K$4&lt;G$4),$B305:$K305-$L305:$U305))),2)</f>
        <v>0</v>
      </c>
      <c r="AB305" s="39" t="n">
        <f aca="false">ROUND(H305-R305-MIN(H305-R305,MAX(0,$AF305-SUMPRODUCT(--($B$4:$K$4&lt;H$4),$B305:$K305-$L305:$U305))),2)</f>
        <v>0</v>
      </c>
      <c r="AC305" s="39" t="n">
        <f aca="false">ROUND(I305-S305-MIN(I305-S305,MAX(0,$AF305-SUMPRODUCT(--($B$4:$K$4&lt;I$4),$B305:$K305-$L305:$U305))),2)</f>
        <v>0</v>
      </c>
      <c r="AD305" s="39" t="n">
        <f aca="false">ROUND(J305-T305-MIN(J305-T305,MAX(0,$AF305-SUMPRODUCT(--($B$4:$K$4&lt;J$4),$B305:$K305-$L305:$U305))),2)</f>
        <v>0</v>
      </c>
      <c r="AE305" s="39" t="n">
        <f aca="false">ROUND(K305-U305-MIN(K305-U305,MAX(0,$AF305-SUMPRODUCT(--($B$4:$K$4&lt;K$4),$B305:$K305-$L305:$U305))),2)</f>
        <v>0</v>
      </c>
      <c r="AF305" s="39" t="n">
        <f aca="false">MAX(0,'Start Here'!$C$5-SUM($L305:$U305))</f>
        <v>1200</v>
      </c>
      <c r="AG305" s="39" t="n">
        <f aca="false">SUM(V305:AE305)</f>
        <v>0</v>
      </c>
      <c r="AH305" s="39" t="n">
        <f aca="false">SUM(B305:K305)-AG304</f>
        <v>0</v>
      </c>
    </row>
    <row r="306" customFormat="false" ht="15" hidden="false" customHeight="false" outlineLevel="0" collapsed="false">
      <c r="A306" s="40" t="n">
        <f aca="false">DATE(YEAR('Start Here'!$C$6),MONTH('Start Here'!$C$6)+299,1)</f>
        <v>55397</v>
      </c>
      <c r="B306" s="39" t="n">
        <f aca="false">ROUND(V305*(1+N('My Debts'!$D$6)/12),2)</f>
        <v>0</v>
      </c>
      <c r="C306" s="39" t="n">
        <f aca="false">ROUND(W305*(1+N('My Debts'!$D$7)/12),2)</f>
        <v>0</v>
      </c>
      <c r="D306" s="39" t="n">
        <f aca="false">ROUND(X305*(1+N('My Debts'!$D$8)/12),2)</f>
        <v>0</v>
      </c>
      <c r="E306" s="39" t="n">
        <f aca="false">ROUND(Y305*(1+N('My Debts'!$D$9)/12),2)</f>
        <v>0</v>
      </c>
      <c r="F306" s="39" t="n">
        <f aca="false">ROUND(Z305*(1+N('My Debts'!$D$10)/12),2)</f>
        <v>0</v>
      </c>
      <c r="G306" s="39" t="n">
        <f aca="false">ROUND(AA305*(1+N('My Debts'!$D$11)/12),2)</f>
        <v>0</v>
      </c>
      <c r="H306" s="39" t="n">
        <f aca="false">ROUND(AB305*(1+N('My Debts'!$D$12)/12),2)</f>
        <v>0</v>
      </c>
      <c r="I306" s="39" t="n">
        <f aca="false">ROUND(AC305*(1+N('My Debts'!$D$13)/12),2)</f>
        <v>0</v>
      </c>
      <c r="J306" s="39" t="n">
        <f aca="false">ROUND(AD305*(1+N('My Debts'!$D$14)/12),2)</f>
        <v>0</v>
      </c>
      <c r="K306" s="39" t="n">
        <f aca="false">ROUND(AE305*(1+N('My Debts'!$D$15)/12),2)</f>
        <v>0</v>
      </c>
      <c r="L306" s="39" t="n">
        <f aca="false">MIN(N('My Debts'!$E$6),B306)</f>
        <v>0</v>
      </c>
      <c r="M306" s="39" t="n">
        <f aca="false">MIN(N('My Debts'!$E$7),C306)</f>
        <v>0</v>
      </c>
      <c r="N306" s="39" t="n">
        <f aca="false">MIN(N('My Debts'!$E$8),D306)</f>
        <v>0</v>
      </c>
      <c r="O306" s="39" t="n">
        <f aca="false">MIN(N('My Debts'!$E$9),E306)</f>
        <v>0</v>
      </c>
      <c r="P306" s="39" t="n">
        <f aca="false">MIN(N('My Debts'!$E$10),F306)</f>
        <v>0</v>
      </c>
      <c r="Q306" s="39" t="n">
        <f aca="false">MIN(N('My Debts'!$E$11),G306)</f>
        <v>0</v>
      </c>
      <c r="R306" s="39" t="n">
        <f aca="false">MIN(N('My Debts'!$E$12),H306)</f>
        <v>0</v>
      </c>
      <c r="S306" s="39" t="n">
        <f aca="false">MIN(N('My Debts'!$E$13),I306)</f>
        <v>0</v>
      </c>
      <c r="T306" s="39" t="n">
        <f aca="false">MIN(N('My Debts'!$E$14),J306)</f>
        <v>0</v>
      </c>
      <c r="U306" s="39" t="n">
        <f aca="false">MIN(N('My Debts'!$E$15),K306)</f>
        <v>0</v>
      </c>
      <c r="V306" s="39" t="n">
        <f aca="false">ROUND(B306-L306-MIN(B306-L306,MAX(0,$AF306-SUMPRODUCT(--($B$4:$K$4&lt;B$4),$B306:$K306-$L306:$U306))),2)</f>
        <v>0</v>
      </c>
      <c r="W306" s="39" t="n">
        <f aca="false">ROUND(C306-M306-MIN(C306-M306,MAX(0,$AF306-SUMPRODUCT(--($B$4:$K$4&lt;C$4),$B306:$K306-$L306:$U306))),2)</f>
        <v>0</v>
      </c>
      <c r="X306" s="39" t="n">
        <f aca="false">ROUND(D306-N306-MIN(D306-N306,MAX(0,$AF306-SUMPRODUCT(--($B$4:$K$4&lt;D$4),$B306:$K306-$L306:$U306))),2)</f>
        <v>0</v>
      </c>
      <c r="Y306" s="39" t="n">
        <f aca="false">ROUND(E306-O306-MIN(E306-O306,MAX(0,$AF306-SUMPRODUCT(--($B$4:$K$4&lt;E$4),$B306:$K306-$L306:$U306))),2)</f>
        <v>0</v>
      </c>
      <c r="Z306" s="39" t="n">
        <f aca="false">ROUND(F306-P306-MIN(F306-P306,MAX(0,$AF306-SUMPRODUCT(--($B$4:$K$4&lt;F$4),$B306:$K306-$L306:$U306))),2)</f>
        <v>0</v>
      </c>
      <c r="AA306" s="39" t="n">
        <f aca="false">ROUND(G306-Q306-MIN(G306-Q306,MAX(0,$AF306-SUMPRODUCT(--($B$4:$K$4&lt;G$4),$B306:$K306-$L306:$U306))),2)</f>
        <v>0</v>
      </c>
      <c r="AB306" s="39" t="n">
        <f aca="false">ROUND(H306-R306-MIN(H306-R306,MAX(0,$AF306-SUMPRODUCT(--($B$4:$K$4&lt;H$4),$B306:$K306-$L306:$U306))),2)</f>
        <v>0</v>
      </c>
      <c r="AC306" s="39" t="n">
        <f aca="false">ROUND(I306-S306-MIN(I306-S306,MAX(0,$AF306-SUMPRODUCT(--($B$4:$K$4&lt;I$4),$B306:$K306-$L306:$U306))),2)</f>
        <v>0</v>
      </c>
      <c r="AD306" s="39" t="n">
        <f aca="false">ROUND(J306-T306-MIN(J306-T306,MAX(0,$AF306-SUMPRODUCT(--($B$4:$K$4&lt;J$4),$B306:$K306-$L306:$U306))),2)</f>
        <v>0</v>
      </c>
      <c r="AE306" s="39" t="n">
        <f aca="false">ROUND(K306-U306-MIN(K306-U306,MAX(0,$AF306-SUMPRODUCT(--($B$4:$K$4&lt;K$4),$B306:$K306-$L306:$U306))),2)</f>
        <v>0</v>
      </c>
      <c r="AF306" s="39" t="n">
        <f aca="false">MAX(0,'Start Here'!$C$5-SUM($L306:$U306))</f>
        <v>1200</v>
      </c>
      <c r="AG306" s="39" t="n">
        <f aca="false">SUM(V306:AE306)</f>
        <v>0</v>
      </c>
      <c r="AH306" s="39" t="n">
        <f aca="false">SUM(B306:K306)-AG305</f>
        <v>0</v>
      </c>
    </row>
    <row r="307" customFormat="false" ht="15" hidden="false" customHeight="false" outlineLevel="0" collapsed="false">
      <c r="A307" s="40" t="n">
        <f aca="false">DATE(YEAR('Start Here'!$C$6),MONTH('Start Here'!$C$6)+300,1)</f>
        <v>55427</v>
      </c>
      <c r="B307" s="39" t="n">
        <f aca="false">ROUND(V306*(1+N('My Debts'!$D$6)/12),2)</f>
        <v>0</v>
      </c>
      <c r="C307" s="39" t="n">
        <f aca="false">ROUND(W306*(1+N('My Debts'!$D$7)/12),2)</f>
        <v>0</v>
      </c>
      <c r="D307" s="39" t="n">
        <f aca="false">ROUND(X306*(1+N('My Debts'!$D$8)/12),2)</f>
        <v>0</v>
      </c>
      <c r="E307" s="39" t="n">
        <f aca="false">ROUND(Y306*(1+N('My Debts'!$D$9)/12),2)</f>
        <v>0</v>
      </c>
      <c r="F307" s="39" t="n">
        <f aca="false">ROUND(Z306*(1+N('My Debts'!$D$10)/12),2)</f>
        <v>0</v>
      </c>
      <c r="G307" s="39" t="n">
        <f aca="false">ROUND(AA306*(1+N('My Debts'!$D$11)/12),2)</f>
        <v>0</v>
      </c>
      <c r="H307" s="39" t="n">
        <f aca="false">ROUND(AB306*(1+N('My Debts'!$D$12)/12),2)</f>
        <v>0</v>
      </c>
      <c r="I307" s="39" t="n">
        <f aca="false">ROUND(AC306*(1+N('My Debts'!$D$13)/12),2)</f>
        <v>0</v>
      </c>
      <c r="J307" s="39" t="n">
        <f aca="false">ROUND(AD306*(1+N('My Debts'!$D$14)/12),2)</f>
        <v>0</v>
      </c>
      <c r="K307" s="39" t="n">
        <f aca="false">ROUND(AE306*(1+N('My Debts'!$D$15)/12),2)</f>
        <v>0</v>
      </c>
      <c r="L307" s="39" t="n">
        <f aca="false">MIN(N('My Debts'!$E$6),B307)</f>
        <v>0</v>
      </c>
      <c r="M307" s="39" t="n">
        <f aca="false">MIN(N('My Debts'!$E$7),C307)</f>
        <v>0</v>
      </c>
      <c r="N307" s="39" t="n">
        <f aca="false">MIN(N('My Debts'!$E$8),D307)</f>
        <v>0</v>
      </c>
      <c r="O307" s="39" t="n">
        <f aca="false">MIN(N('My Debts'!$E$9),E307)</f>
        <v>0</v>
      </c>
      <c r="P307" s="39" t="n">
        <f aca="false">MIN(N('My Debts'!$E$10),F307)</f>
        <v>0</v>
      </c>
      <c r="Q307" s="39" t="n">
        <f aca="false">MIN(N('My Debts'!$E$11),G307)</f>
        <v>0</v>
      </c>
      <c r="R307" s="39" t="n">
        <f aca="false">MIN(N('My Debts'!$E$12),H307)</f>
        <v>0</v>
      </c>
      <c r="S307" s="39" t="n">
        <f aca="false">MIN(N('My Debts'!$E$13),I307)</f>
        <v>0</v>
      </c>
      <c r="T307" s="39" t="n">
        <f aca="false">MIN(N('My Debts'!$E$14),J307)</f>
        <v>0</v>
      </c>
      <c r="U307" s="39" t="n">
        <f aca="false">MIN(N('My Debts'!$E$15),K307)</f>
        <v>0</v>
      </c>
      <c r="V307" s="39" t="n">
        <f aca="false">ROUND(B307-L307-MIN(B307-L307,MAX(0,$AF307-SUMPRODUCT(--($B$4:$K$4&lt;B$4),$B307:$K307-$L307:$U307))),2)</f>
        <v>0</v>
      </c>
      <c r="W307" s="39" t="n">
        <f aca="false">ROUND(C307-M307-MIN(C307-M307,MAX(0,$AF307-SUMPRODUCT(--($B$4:$K$4&lt;C$4),$B307:$K307-$L307:$U307))),2)</f>
        <v>0</v>
      </c>
      <c r="X307" s="39" t="n">
        <f aca="false">ROUND(D307-N307-MIN(D307-N307,MAX(0,$AF307-SUMPRODUCT(--($B$4:$K$4&lt;D$4),$B307:$K307-$L307:$U307))),2)</f>
        <v>0</v>
      </c>
      <c r="Y307" s="39" t="n">
        <f aca="false">ROUND(E307-O307-MIN(E307-O307,MAX(0,$AF307-SUMPRODUCT(--($B$4:$K$4&lt;E$4),$B307:$K307-$L307:$U307))),2)</f>
        <v>0</v>
      </c>
      <c r="Z307" s="39" t="n">
        <f aca="false">ROUND(F307-P307-MIN(F307-P307,MAX(0,$AF307-SUMPRODUCT(--($B$4:$K$4&lt;F$4),$B307:$K307-$L307:$U307))),2)</f>
        <v>0</v>
      </c>
      <c r="AA307" s="39" t="n">
        <f aca="false">ROUND(G307-Q307-MIN(G307-Q307,MAX(0,$AF307-SUMPRODUCT(--($B$4:$K$4&lt;G$4),$B307:$K307-$L307:$U307))),2)</f>
        <v>0</v>
      </c>
      <c r="AB307" s="39" t="n">
        <f aca="false">ROUND(H307-R307-MIN(H307-R307,MAX(0,$AF307-SUMPRODUCT(--($B$4:$K$4&lt;H$4),$B307:$K307-$L307:$U307))),2)</f>
        <v>0</v>
      </c>
      <c r="AC307" s="39" t="n">
        <f aca="false">ROUND(I307-S307-MIN(I307-S307,MAX(0,$AF307-SUMPRODUCT(--($B$4:$K$4&lt;I$4),$B307:$K307-$L307:$U307))),2)</f>
        <v>0</v>
      </c>
      <c r="AD307" s="39" t="n">
        <f aca="false">ROUND(J307-T307-MIN(J307-T307,MAX(0,$AF307-SUMPRODUCT(--($B$4:$K$4&lt;J$4),$B307:$K307-$L307:$U307))),2)</f>
        <v>0</v>
      </c>
      <c r="AE307" s="39" t="n">
        <f aca="false">ROUND(K307-U307-MIN(K307-U307,MAX(0,$AF307-SUMPRODUCT(--($B$4:$K$4&lt;K$4),$B307:$K307-$L307:$U307))),2)</f>
        <v>0</v>
      </c>
      <c r="AF307" s="39" t="n">
        <f aca="false">MAX(0,'Start Here'!$C$5-SUM($L307:$U307))</f>
        <v>1200</v>
      </c>
      <c r="AG307" s="39" t="n">
        <f aca="false">SUM(V307:AE307)</f>
        <v>0</v>
      </c>
      <c r="AH307" s="39" t="n">
        <f aca="false">SUM(B307:K307)-AG306</f>
        <v>0</v>
      </c>
    </row>
    <row r="308" customFormat="false" ht="15" hidden="false" customHeight="false" outlineLevel="0" collapsed="false">
      <c r="A308" s="40" t="n">
        <f aca="false">DATE(YEAR('Start Here'!$C$6),MONTH('Start Here'!$C$6)+301,1)</f>
        <v>55458</v>
      </c>
      <c r="B308" s="39" t="n">
        <f aca="false">ROUND(V307*(1+N('My Debts'!$D$6)/12),2)</f>
        <v>0</v>
      </c>
      <c r="C308" s="39" t="n">
        <f aca="false">ROUND(W307*(1+N('My Debts'!$D$7)/12),2)</f>
        <v>0</v>
      </c>
      <c r="D308" s="39" t="n">
        <f aca="false">ROUND(X307*(1+N('My Debts'!$D$8)/12),2)</f>
        <v>0</v>
      </c>
      <c r="E308" s="39" t="n">
        <f aca="false">ROUND(Y307*(1+N('My Debts'!$D$9)/12),2)</f>
        <v>0</v>
      </c>
      <c r="F308" s="39" t="n">
        <f aca="false">ROUND(Z307*(1+N('My Debts'!$D$10)/12),2)</f>
        <v>0</v>
      </c>
      <c r="G308" s="39" t="n">
        <f aca="false">ROUND(AA307*(1+N('My Debts'!$D$11)/12),2)</f>
        <v>0</v>
      </c>
      <c r="H308" s="39" t="n">
        <f aca="false">ROUND(AB307*(1+N('My Debts'!$D$12)/12),2)</f>
        <v>0</v>
      </c>
      <c r="I308" s="39" t="n">
        <f aca="false">ROUND(AC307*(1+N('My Debts'!$D$13)/12),2)</f>
        <v>0</v>
      </c>
      <c r="J308" s="39" t="n">
        <f aca="false">ROUND(AD307*(1+N('My Debts'!$D$14)/12),2)</f>
        <v>0</v>
      </c>
      <c r="K308" s="39" t="n">
        <f aca="false">ROUND(AE307*(1+N('My Debts'!$D$15)/12),2)</f>
        <v>0</v>
      </c>
      <c r="L308" s="39" t="n">
        <f aca="false">MIN(N('My Debts'!$E$6),B308)</f>
        <v>0</v>
      </c>
      <c r="M308" s="39" t="n">
        <f aca="false">MIN(N('My Debts'!$E$7),C308)</f>
        <v>0</v>
      </c>
      <c r="N308" s="39" t="n">
        <f aca="false">MIN(N('My Debts'!$E$8),D308)</f>
        <v>0</v>
      </c>
      <c r="O308" s="39" t="n">
        <f aca="false">MIN(N('My Debts'!$E$9),E308)</f>
        <v>0</v>
      </c>
      <c r="P308" s="39" t="n">
        <f aca="false">MIN(N('My Debts'!$E$10),F308)</f>
        <v>0</v>
      </c>
      <c r="Q308" s="39" t="n">
        <f aca="false">MIN(N('My Debts'!$E$11),G308)</f>
        <v>0</v>
      </c>
      <c r="R308" s="39" t="n">
        <f aca="false">MIN(N('My Debts'!$E$12),H308)</f>
        <v>0</v>
      </c>
      <c r="S308" s="39" t="n">
        <f aca="false">MIN(N('My Debts'!$E$13),I308)</f>
        <v>0</v>
      </c>
      <c r="T308" s="39" t="n">
        <f aca="false">MIN(N('My Debts'!$E$14),J308)</f>
        <v>0</v>
      </c>
      <c r="U308" s="39" t="n">
        <f aca="false">MIN(N('My Debts'!$E$15),K308)</f>
        <v>0</v>
      </c>
      <c r="V308" s="39" t="n">
        <f aca="false">ROUND(B308-L308-MIN(B308-L308,MAX(0,$AF308-SUMPRODUCT(--($B$4:$K$4&lt;B$4),$B308:$K308-$L308:$U308))),2)</f>
        <v>0</v>
      </c>
      <c r="W308" s="39" t="n">
        <f aca="false">ROUND(C308-M308-MIN(C308-M308,MAX(0,$AF308-SUMPRODUCT(--($B$4:$K$4&lt;C$4),$B308:$K308-$L308:$U308))),2)</f>
        <v>0</v>
      </c>
      <c r="X308" s="39" t="n">
        <f aca="false">ROUND(D308-N308-MIN(D308-N308,MAX(0,$AF308-SUMPRODUCT(--($B$4:$K$4&lt;D$4),$B308:$K308-$L308:$U308))),2)</f>
        <v>0</v>
      </c>
      <c r="Y308" s="39" t="n">
        <f aca="false">ROUND(E308-O308-MIN(E308-O308,MAX(0,$AF308-SUMPRODUCT(--($B$4:$K$4&lt;E$4),$B308:$K308-$L308:$U308))),2)</f>
        <v>0</v>
      </c>
      <c r="Z308" s="39" t="n">
        <f aca="false">ROUND(F308-P308-MIN(F308-P308,MAX(0,$AF308-SUMPRODUCT(--($B$4:$K$4&lt;F$4),$B308:$K308-$L308:$U308))),2)</f>
        <v>0</v>
      </c>
      <c r="AA308" s="39" t="n">
        <f aca="false">ROUND(G308-Q308-MIN(G308-Q308,MAX(0,$AF308-SUMPRODUCT(--($B$4:$K$4&lt;G$4),$B308:$K308-$L308:$U308))),2)</f>
        <v>0</v>
      </c>
      <c r="AB308" s="39" t="n">
        <f aca="false">ROUND(H308-R308-MIN(H308-R308,MAX(0,$AF308-SUMPRODUCT(--($B$4:$K$4&lt;H$4),$B308:$K308-$L308:$U308))),2)</f>
        <v>0</v>
      </c>
      <c r="AC308" s="39" t="n">
        <f aca="false">ROUND(I308-S308-MIN(I308-S308,MAX(0,$AF308-SUMPRODUCT(--($B$4:$K$4&lt;I$4),$B308:$K308-$L308:$U308))),2)</f>
        <v>0</v>
      </c>
      <c r="AD308" s="39" t="n">
        <f aca="false">ROUND(J308-T308-MIN(J308-T308,MAX(0,$AF308-SUMPRODUCT(--($B$4:$K$4&lt;J$4),$B308:$K308-$L308:$U308))),2)</f>
        <v>0</v>
      </c>
      <c r="AE308" s="39" t="n">
        <f aca="false">ROUND(K308-U308-MIN(K308-U308,MAX(0,$AF308-SUMPRODUCT(--($B$4:$K$4&lt;K$4),$B308:$K308-$L308:$U308))),2)</f>
        <v>0</v>
      </c>
      <c r="AF308" s="39" t="n">
        <f aca="false">MAX(0,'Start Here'!$C$5-SUM($L308:$U308))</f>
        <v>1200</v>
      </c>
      <c r="AG308" s="39" t="n">
        <f aca="false">SUM(V308:AE308)</f>
        <v>0</v>
      </c>
      <c r="AH308" s="39" t="n">
        <f aca="false">SUM(B308:K308)-AG307</f>
        <v>0</v>
      </c>
    </row>
    <row r="309" customFormat="false" ht="15" hidden="false" customHeight="false" outlineLevel="0" collapsed="false">
      <c r="A309" s="40" t="n">
        <f aca="false">DATE(YEAR('Start Here'!$C$6),MONTH('Start Here'!$C$6)+302,1)</f>
        <v>55488</v>
      </c>
      <c r="B309" s="39" t="n">
        <f aca="false">ROUND(V308*(1+N('My Debts'!$D$6)/12),2)</f>
        <v>0</v>
      </c>
      <c r="C309" s="39" t="n">
        <f aca="false">ROUND(W308*(1+N('My Debts'!$D$7)/12),2)</f>
        <v>0</v>
      </c>
      <c r="D309" s="39" t="n">
        <f aca="false">ROUND(X308*(1+N('My Debts'!$D$8)/12),2)</f>
        <v>0</v>
      </c>
      <c r="E309" s="39" t="n">
        <f aca="false">ROUND(Y308*(1+N('My Debts'!$D$9)/12),2)</f>
        <v>0</v>
      </c>
      <c r="F309" s="39" t="n">
        <f aca="false">ROUND(Z308*(1+N('My Debts'!$D$10)/12),2)</f>
        <v>0</v>
      </c>
      <c r="G309" s="39" t="n">
        <f aca="false">ROUND(AA308*(1+N('My Debts'!$D$11)/12),2)</f>
        <v>0</v>
      </c>
      <c r="H309" s="39" t="n">
        <f aca="false">ROUND(AB308*(1+N('My Debts'!$D$12)/12),2)</f>
        <v>0</v>
      </c>
      <c r="I309" s="39" t="n">
        <f aca="false">ROUND(AC308*(1+N('My Debts'!$D$13)/12),2)</f>
        <v>0</v>
      </c>
      <c r="J309" s="39" t="n">
        <f aca="false">ROUND(AD308*(1+N('My Debts'!$D$14)/12),2)</f>
        <v>0</v>
      </c>
      <c r="K309" s="39" t="n">
        <f aca="false">ROUND(AE308*(1+N('My Debts'!$D$15)/12),2)</f>
        <v>0</v>
      </c>
      <c r="L309" s="39" t="n">
        <f aca="false">MIN(N('My Debts'!$E$6),B309)</f>
        <v>0</v>
      </c>
      <c r="M309" s="39" t="n">
        <f aca="false">MIN(N('My Debts'!$E$7),C309)</f>
        <v>0</v>
      </c>
      <c r="N309" s="39" t="n">
        <f aca="false">MIN(N('My Debts'!$E$8),D309)</f>
        <v>0</v>
      </c>
      <c r="O309" s="39" t="n">
        <f aca="false">MIN(N('My Debts'!$E$9),E309)</f>
        <v>0</v>
      </c>
      <c r="P309" s="39" t="n">
        <f aca="false">MIN(N('My Debts'!$E$10),F309)</f>
        <v>0</v>
      </c>
      <c r="Q309" s="39" t="n">
        <f aca="false">MIN(N('My Debts'!$E$11),G309)</f>
        <v>0</v>
      </c>
      <c r="R309" s="39" t="n">
        <f aca="false">MIN(N('My Debts'!$E$12),H309)</f>
        <v>0</v>
      </c>
      <c r="S309" s="39" t="n">
        <f aca="false">MIN(N('My Debts'!$E$13),I309)</f>
        <v>0</v>
      </c>
      <c r="T309" s="39" t="n">
        <f aca="false">MIN(N('My Debts'!$E$14),J309)</f>
        <v>0</v>
      </c>
      <c r="U309" s="39" t="n">
        <f aca="false">MIN(N('My Debts'!$E$15),K309)</f>
        <v>0</v>
      </c>
      <c r="V309" s="39" t="n">
        <f aca="false">ROUND(B309-L309-MIN(B309-L309,MAX(0,$AF309-SUMPRODUCT(--($B$4:$K$4&lt;B$4),$B309:$K309-$L309:$U309))),2)</f>
        <v>0</v>
      </c>
      <c r="W309" s="39" t="n">
        <f aca="false">ROUND(C309-M309-MIN(C309-M309,MAX(0,$AF309-SUMPRODUCT(--($B$4:$K$4&lt;C$4),$B309:$K309-$L309:$U309))),2)</f>
        <v>0</v>
      </c>
      <c r="X309" s="39" t="n">
        <f aca="false">ROUND(D309-N309-MIN(D309-N309,MAX(0,$AF309-SUMPRODUCT(--($B$4:$K$4&lt;D$4),$B309:$K309-$L309:$U309))),2)</f>
        <v>0</v>
      </c>
      <c r="Y309" s="39" t="n">
        <f aca="false">ROUND(E309-O309-MIN(E309-O309,MAX(0,$AF309-SUMPRODUCT(--($B$4:$K$4&lt;E$4),$B309:$K309-$L309:$U309))),2)</f>
        <v>0</v>
      </c>
      <c r="Z309" s="39" t="n">
        <f aca="false">ROUND(F309-P309-MIN(F309-P309,MAX(0,$AF309-SUMPRODUCT(--($B$4:$K$4&lt;F$4),$B309:$K309-$L309:$U309))),2)</f>
        <v>0</v>
      </c>
      <c r="AA309" s="39" t="n">
        <f aca="false">ROUND(G309-Q309-MIN(G309-Q309,MAX(0,$AF309-SUMPRODUCT(--($B$4:$K$4&lt;G$4),$B309:$K309-$L309:$U309))),2)</f>
        <v>0</v>
      </c>
      <c r="AB309" s="39" t="n">
        <f aca="false">ROUND(H309-R309-MIN(H309-R309,MAX(0,$AF309-SUMPRODUCT(--($B$4:$K$4&lt;H$4),$B309:$K309-$L309:$U309))),2)</f>
        <v>0</v>
      </c>
      <c r="AC309" s="39" t="n">
        <f aca="false">ROUND(I309-S309-MIN(I309-S309,MAX(0,$AF309-SUMPRODUCT(--($B$4:$K$4&lt;I$4),$B309:$K309-$L309:$U309))),2)</f>
        <v>0</v>
      </c>
      <c r="AD309" s="39" t="n">
        <f aca="false">ROUND(J309-T309-MIN(J309-T309,MAX(0,$AF309-SUMPRODUCT(--($B$4:$K$4&lt;J$4),$B309:$K309-$L309:$U309))),2)</f>
        <v>0</v>
      </c>
      <c r="AE309" s="39" t="n">
        <f aca="false">ROUND(K309-U309-MIN(K309-U309,MAX(0,$AF309-SUMPRODUCT(--($B$4:$K$4&lt;K$4),$B309:$K309-$L309:$U309))),2)</f>
        <v>0</v>
      </c>
      <c r="AF309" s="39" t="n">
        <f aca="false">MAX(0,'Start Here'!$C$5-SUM($L309:$U309))</f>
        <v>1200</v>
      </c>
      <c r="AG309" s="39" t="n">
        <f aca="false">SUM(V309:AE309)</f>
        <v>0</v>
      </c>
      <c r="AH309" s="39" t="n">
        <f aca="false">SUM(B309:K309)-AG308</f>
        <v>0</v>
      </c>
    </row>
    <row r="310" customFormat="false" ht="15" hidden="false" customHeight="false" outlineLevel="0" collapsed="false">
      <c r="A310" s="40" t="n">
        <f aca="false">DATE(YEAR('Start Here'!$C$6),MONTH('Start Here'!$C$6)+303,1)</f>
        <v>55519</v>
      </c>
      <c r="B310" s="39" t="n">
        <f aca="false">ROUND(V309*(1+N('My Debts'!$D$6)/12),2)</f>
        <v>0</v>
      </c>
      <c r="C310" s="39" t="n">
        <f aca="false">ROUND(W309*(1+N('My Debts'!$D$7)/12),2)</f>
        <v>0</v>
      </c>
      <c r="D310" s="39" t="n">
        <f aca="false">ROUND(X309*(1+N('My Debts'!$D$8)/12),2)</f>
        <v>0</v>
      </c>
      <c r="E310" s="39" t="n">
        <f aca="false">ROUND(Y309*(1+N('My Debts'!$D$9)/12),2)</f>
        <v>0</v>
      </c>
      <c r="F310" s="39" t="n">
        <f aca="false">ROUND(Z309*(1+N('My Debts'!$D$10)/12),2)</f>
        <v>0</v>
      </c>
      <c r="G310" s="39" t="n">
        <f aca="false">ROUND(AA309*(1+N('My Debts'!$D$11)/12),2)</f>
        <v>0</v>
      </c>
      <c r="H310" s="39" t="n">
        <f aca="false">ROUND(AB309*(1+N('My Debts'!$D$12)/12),2)</f>
        <v>0</v>
      </c>
      <c r="I310" s="39" t="n">
        <f aca="false">ROUND(AC309*(1+N('My Debts'!$D$13)/12),2)</f>
        <v>0</v>
      </c>
      <c r="J310" s="39" t="n">
        <f aca="false">ROUND(AD309*(1+N('My Debts'!$D$14)/12),2)</f>
        <v>0</v>
      </c>
      <c r="K310" s="39" t="n">
        <f aca="false">ROUND(AE309*(1+N('My Debts'!$D$15)/12),2)</f>
        <v>0</v>
      </c>
      <c r="L310" s="39" t="n">
        <f aca="false">MIN(N('My Debts'!$E$6),B310)</f>
        <v>0</v>
      </c>
      <c r="M310" s="39" t="n">
        <f aca="false">MIN(N('My Debts'!$E$7),C310)</f>
        <v>0</v>
      </c>
      <c r="N310" s="39" t="n">
        <f aca="false">MIN(N('My Debts'!$E$8),D310)</f>
        <v>0</v>
      </c>
      <c r="O310" s="39" t="n">
        <f aca="false">MIN(N('My Debts'!$E$9),E310)</f>
        <v>0</v>
      </c>
      <c r="P310" s="39" t="n">
        <f aca="false">MIN(N('My Debts'!$E$10),F310)</f>
        <v>0</v>
      </c>
      <c r="Q310" s="39" t="n">
        <f aca="false">MIN(N('My Debts'!$E$11),G310)</f>
        <v>0</v>
      </c>
      <c r="R310" s="39" t="n">
        <f aca="false">MIN(N('My Debts'!$E$12),H310)</f>
        <v>0</v>
      </c>
      <c r="S310" s="39" t="n">
        <f aca="false">MIN(N('My Debts'!$E$13),I310)</f>
        <v>0</v>
      </c>
      <c r="T310" s="39" t="n">
        <f aca="false">MIN(N('My Debts'!$E$14),J310)</f>
        <v>0</v>
      </c>
      <c r="U310" s="39" t="n">
        <f aca="false">MIN(N('My Debts'!$E$15),K310)</f>
        <v>0</v>
      </c>
      <c r="V310" s="39" t="n">
        <f aca="false">ROUND(B310-L310-MIN(B310-L310,MAX(0,$AF310-SUMPRODUCT(--($B$4:$K$4&lt;B$4),$B310:$K310-$L310:$U310))),2)</f>
        <v>0</v>
      </c>
      <c r="W310" s="39" t="n">
        <f aca="false">ROUND(C310-M310-MIN(C310-M310,MAX(0,$AF310-SUMPRODUCT(--($B$4:$K$4&lt;C$4),$B310:$K310-$L310:$U310))),2)</f>
        <v>0</v>
      </c>
      <c r="X310" s="39" t="n">
        <f aca="false">ROUND(D310-N310-MIN(D310-N310,MAX(0,$AF310-SUMPRODUCT(--($B$4:$K$4&lt;D$4),$B310:$K310-$L310:$U310))),2)</f>
        <v>0</v>
      </c>
      <c r="Y310" s="39" t="n">
        <f aca="false">ROUND(E310-O310-MIN(E310-O310,MAX(0,$AF310-SUMPRODUCT(--($B$4:$K$4&lt;E$4),$B310:$K310-$L310:$U310))),2)</f>
        <v>0</v>
      </c>
      <c r="Z310" s="39" t="n">
        <f aca="false">ROUND(F310-P310-MIN(F310-P310,MAX(0,$AF310-SUMPRODUCT(--($B$4:$K$4&lt;F$4),$B310:$K310-$L310:$U310))),2)</f>
        <v>0</v>
      </c>
      <c r="AA310" s="39" t="n">
        <f aca="false">ROUND(G310-Q310-MIN(G310-Q310,MAX(0,$AF310-SUMPRODUCT(--($B$4:$K$4&lt;G$4),$B310:$K310-$L310:$U310))),2)</f>
        <v>0</v>
      </c>
      <c r="AB310" s="39" t="n">
        <f aca="false">ROUND(H310-R310-MIN(H310-R310,MAX(0,$AF310-SUMPRODUCT(--($B$4:$K$4&lt;H$4),$B310:$K310-$L310:$U310))),2)</f>
        <v>0</v>
      </c>
      <c r="AC310" s="39" t="n">
        <f aca="false">ROUND(I310-S310-MIN(I310-S310,MAX(0,$AF310-SUMPRODUCT(--($B$4:$K$4&lt;I$4),$B310:$K310-$L310:$U310))),2)</f>
        <v>0</v>
      </c>
      <c r="AD310" s="39" t="n">
        <f aca="false">ROUND(J310-T310-MIN(J310-T310,MAX(0,$AF310-SUMPRODUCT(--($B$4:$K$4&lt;J$4),$B310:$K310-$L310:$U310))),2)</f>
        <v>0</v>
      </c>
      <c r="AE310" s="39" t="n">
        <f aca="false">ROUND(K310-U310-MIN(K310-U310,MAX(0,$AF310-SUMPRODUCT(--($B$4:$K$4&lt;K$4),$B310:$K310-$L310:$U310))),2)</f>
        <v>0</v>
      </c>
      <c r="AF310" s="39" t="n">
        <f aca="false">MAX(0,'Start Here'!$C$5-SUM($L310:$U310))</f>
        <v>1200</v>
      </c>
      <c r="AG310" s="39" t="n">
        <f aca="false">SUM(V310:AE310)</f>
        <v>0</v>
      </c>
      <c r="AH310" s="39" t="n">
        <f aca="false">SUM(B310:K310)-AG309</f>
        <v>0</v>
      </c>
    </row>
    <row r="311" customFormat="false" ht="15" hidden="false" customHeight="false" outlineLevel="0" collapsed="false">
      <c r="A311" s="40" t="n">
        <f aca="false">DATE(YEAR('Start Here'!$C$6),MONTH('Start Here'!$C$6)+304,1)</f>
        <v>55550</v>
      </c>
      <c r="B311" s="39" t="n">
        <f aca="false">ROUND(V310*(1+N('My Debts'!$D$6)/12),2)</f>
        <v>0</v>
      </c>
      <c r="C311" s="39" t="n">
        <f aca="false">ROUND(W310*(1+N('My Debts'!$D$7)/12),2)</f>
        <v>0</v>
      </c>
      <c r="D311" s="39" t="n">
        <f aca="false">ROUND(X310*(1+N('My Debts'!$D$8)/12),2)</f>
        <v>0</v>
      </c>
      <c r="E311" s="39" t="n">
        <f aca="false">ROUND(Y310*(1+N('My Debts'!$D$9)/12),2)</f>
        <v>0</v>
      </c>
      <c r="F311" s="39" t="n">
        <f aca="false">ROUND(Z310*(1+N('My Debts'!$D$10)/12),2)</f>
        <v>0</v>
      </c>
      <c r="G311" s="39" t="n">
        <f aca="false">ROUND(AA310*(1+N('My Debts'!$D$11)/12),2)</f>
        <v>0</v>
      </c>
      <c r="H311" s="39" t="n">
        <f aca="false">ROUND(AB310*(1+N('My Debts'!$D$12)/12),2)</f>
        <v>0</v>
      </c>
      <c r="I311" s="39" t="n">
        <f aca="false">ROUND(AC310*(1+N('My Debts'!$D$13)/12),2)</f>
        <v>0</v>
      </c>
      <c r="J311" s="39" t="n">
        <f aca="false">ROUND(AD310*(1+N('My Debts'!$D$14)/12),2)</f>
        <v>0</v>
      </c>
      <c r="K311" s="39" t="n">
        <f aca="false">ROUND(AE310*(1+N('My Debts'!$D$15)/12),2)</f>
        <v>0</v>
      </c>
      <c r="L311" s="39" t="n">
        <f aca="false">MIN(N('My Debts'!$E$6),B311)</f>
        <v>0</v>
      </c>
      <c r="M311" s="39" t="n">
        <f aca="false">MIN(N('My Debts'!$E$7),C311)</f>
        <v>0</v>
      </c>
      <c r="N311" s="39" t="n">
        <f aca="false">MIN(N('My Debts'!$E$8),D311)</f>
        <v>0</v>
      </c>
      <c r="O311" s="39" t="n">
        <f aca="false">MIN(N('My Debts'!$E$9),E311)</f>
        <v>0</v>
      </c>
      <c r="P311" s="39" t="n">
        <f aca="false">MIN(N('My Debts'!$E$10),F311)</f>
        <v>0</v>
      </c>
      <c r="Q311" s="39" t="n">
        <f aca="false">MIN(N('My Debts'!$E$11),G311)</f>
        <v>0</v>
      </c>
      <c r="R311" s="39" t="n">
        <f aca="false">MIN(N('My Debts'!$E$12),H311)</f>
        <v>0</v>
      </c>
      <c r="S311" s="39" t="n">
        <f aca="false">MIN(N('My Debts'!$E$13),I311)</f>
        <v>0</v>
      </c>
      <c r="T311" s="39" t="n">
        <f aca="false">MIN(N('My Debts'!$E$14),J311)</f>
        <v>0</v>
      </c>
      <c r="U311" s="39" t="n">
        <f aca="false">MIN(N('My Debts'!$E$15),K311)</f>
        <v>0</v>
      </c>
      <c r="V311" s="39" t="n">
        <f aca="false">ROUND(B311-L311-MIN(B311-L311,MAX(0,$AF311-SUMPRODUCT(--($B$4:$K$4&lt;B$4),$B311:$K311-$L311:$U311))),2)</f>
        <v>0</v>
      </c>
      <c r="W311" s="39" t="n">
        <f aca="false">ROUND(C311-M311-MIN(C311-M311,MAX(0,$AF311-SUMPRODUCT(--($B$4:$K$4&lt;C$4),$B311:$K311-$L311:$U311))),2)</f>
        <v>0</v>
      </c>
      <c r="X311" s="39" t="n">
        <f aca="false">ROUND(D311-N311-MIN(D311-N311,MAX(0,$AF311-SUMPRODUCT(--($B$4:$K$4&lt;D$4),$B311:$K311-$L311:$U311))),2)</f>
        <v>0</v>
      </c>
      <c r="Y311" s="39" t="n">
        <f aca="false">ROUND(E311-O311-MIN(E311-O311,MAX(0,$AF311-SUMPRODUCT(--($B$4:$K$4&lt;E$4),$B311:$K311-$L311:$U311))),2)</f>
        <v>0</v>
      </c>
      <c r="Z311" s="39" t="n">
        <f aca="false">ROUND(F311-P311-MIN(F311-P311,MAX(0,$AF311-SUMPRODUCT(--($B$4:$K$4&lt;F$4),$B311:$K311-$L311:$U311))),2)</f>
        <v>0</v>
      </c>
      <c r="AA311" s="39" t="n">
        <f aca="false">ROUND(G311-Q311-MIN(G311-Q311,MAX(0,$AF311-SUMPRODUCT(--($B$4:$K$4&lt;G$4),$B311:$K311-$L311:$U311))),2)</f>
        <v>0</v>
      </c>
      <c r="AB311" s="39" t="n">
        <f aca="false">ROUND(H311-R311-MIN(H311-R311,MAX(0,$AF311-SUMPRODUCT(--($B$4:$K$4&lt;H$4),$B311:$K311-$L311:$U311))),2)</f>
        <v>0</v>
      </c>
      <c r="AC311" s="39" t="n">
        <f aca="false">ROUND(I311-S311-MIN(I311-S311,MAX(0,$AF311-SUMPRODUCT(--($B$4:$K$4&lt;I$4),$B311:$K311-$L311:$U311))),2)</f>
        <v>0</v>
      </c>
      <c r="AD311" s="39" t="n">
        <f aca="false">ROUND(J311-T311-MIN(J311-T311,MAX(0,$AF311-SUMPRODUCT(--($B$4:$K$4&lt;J$4),$B311:$K311-$L311:$U311))),2)</f>
        <v>0</v>
      </c>
      <c r="AE311" s="39" t="n">
        <f aca="false">ROUND(K311-U311-MIN(K311-U311,MAX(0,$AF311-SUMPRODUCT(--($B$4:$K$4&lt;K$4),$B311:$K311-$L311:$U311))),2)</f>
        <v>0</v>
      </c>
      <c r="AF311" s="39" t="n">
        <f aca="false">MAX(0,'Start Here'!$C$5-SUM($L311:$U311))</f>
        <v>1200</v>
      </c>
      <c r="AG311" s="39" t="n">
        <f aca="false">SUM(V311:AE311)</f>
        <v>0</v>
      </c>
      <c r="AH311" s="39" t="n">
        <f aca="false">SUM(B311:K311)-AG310</f>
        <v>0</v>
      </c>
    </row>
    <row r="312" customFormat="false" ht="15" hidden="false" customHeight="false" outlineLevel="0" collapsed="false">
      <c r="A312" s="40" t="n">
        <f aca="false">DATE(YEAR('Start Here'!$C$6),MONTH('Start Here'!$C$6)+305,1)</f>
        <v>55579</v>
      </c>
      <c r="B312" s="39" t="n">
        <f aca="false">ROUND(V311*(1+N('My Debts'!$D$6)/12),2)</f>
        <v>0</v>
      </c>
      <c r="C312" s="39" t="n">
        <f aca="false">ROUND(W311*(1+N('My Debts'!$D$7)/12),2)</f>
        <v>0</v>
      </c>
      <c r="D312" s="39" t="n">
        <f aca="false">ROUND(X311*(1+N('My Debts'!$D$8)/12),2)</f>
        <v>0</v>
      </c>
      <c r="E312" s="39" t="n">
        <f aca="false">ROUND(Y311*(1+N('My Debts'!$D$9)/12),2)</f>
        <v>0</v>
      </c>
      <c r="F312" s="39" t="n">
        <f aca="false">ROUND(Z311*(1+N('My Debts'!$D$10)/12),2)</f>
        <v>0</v>
      </c>
      <c r="G312" s="39" t="n">
        <f aca="false">ROUND(AA311*(1+N('My Debts'!$D$11)/12),2)</f>
        <v>0</v>
      </c>
      <c r="H312" s="39" t="n">
        <f aca="false">ROUND(AB311*(1+N('My Debts'!$D$12)/12),2)</f>
        <v>0</v>
      </c>
      <c r="I312" s="39" t="n">
        <f aca="false">ROUND(AC311*(1+N('My Debts'!$D$13)/12),2)</f>
        <v>0</v>
      </c>
      <c r="J312" s="39" t="n">
        <f aca="false">ROUND(AD311*(1+N('My Debts'!$D$14)/12),2)</f>
        <v>0</v>
      </c>
      <c r="K312" s="39" t="n">
        <f aca="false">ROUND(AE311*(1+N('My Debts'!$D$15)/12),2)</f>
        <v>0</v>
      </c>
      <c r="L312" s="39" t="n">
        <f aca="false">MIN(N('My Debts'!$E$6),B312)</f>
        <v>0</v>
      </c>
      <c r="M312" s="39" t="n">
        <f aca="false">MIN(N('My Debts'!$E$7),C312)</f>
        <v>0</v>
      </c>
      <c r="N312" s="39" t="n">
        <f aca="false">MIN(N('My Debts'!$E$8),D312)</f>
        <v>0</v>
      </c>
      <c r="O312" s="39" t="n">
        <f aca="false">MIN(N('My Debts'!$E$9),E312)</f>
        <v>0</v>
      </c>
      <c r="P312" s="39" t="n">
        <f aca="false">MIN(N('My Debts'!$E$10),F312)</f>
        <v>0</v>
      </c>
      <c r="Q312" s="39" t="n">
        <f aca="false">MIN(N('My Debts'!$E$11),G312)</f>
        <v>0</v>
      </c>
      <c r="R312" s="39" t="n">
        <f aca="false">MIN(N('My Debts'!$E$12),H312)</f>
        <v>0</v>
      </c>
      <c r="S312" s="39" t="n">
        <f aca="false">MIN(N('My Debts'!$E$13),I312)</f>
        <v>0</v>
      </c>
      <c r="T312" s="39" t="n">
        <f aca="false">MIN(N('My Debts'!$E$14),J312)</f>
        <v>0</v>
      </c>
      <c r="U312" s="39" t="n">
        <f aca="false">MIN(N('My Debts'!$E$15),K312)</f>
        <v>0</v>
      </c>
      <c r="V312" s="39" t="n">
        <f aca="false">ROUND(B312-L312-MIN(B312-L312,MAX(0,$AF312-SUMPRODUCT(--($B$4:$K$4&lt;B$4),$B312:$K312-$L312:$U312))),2)</f>
        <v>0</v>
      </c>
      <c r="W312" s="39" t="n">
        <f aca="false">ROUND(C312-M312-MIN(C312-M312,MAX(0,$AF312-SUMPRODUCT(--($B$4:$K$4&lt;C$4),$B312:$K312-$L312:$U312))),2)</f>
        <v>0</v>
      </c>
      <c r="X312" s="39" t="n">
        <f aca="false">ROUND(D312-N312-MIN(D312-N312,MAX(0,$AF312-SUMPRODUCT(--($B$4:$K$4&lt;D$4),$B312:$K312-$L312:$U312))),2)</f>
        <v>0</v>
      </c>
      <c r="Y312" s="39" t="n">
        <f aca="false">ROUND(E312-O312-MIN(E312-O312,MAX(0,$AF312-SUMPRODUCT(--($B$4:$K$4&lt;E$4),$B312:$K312-$L312:$U312))),2)</f>
        <v>0</v>
      </c>
      <c r="Z312" s="39" t="n">
        <f aca="false">ROUND(F312-P312-MIN(F312-P312,MAX(0,$AF312-SUMPRODUCT(--($B$4:$K$4&lt;F$4),$B312:$K312-$L312:$U312))),2)</f>
        <v>0</v>
      </c>
      <c r="AA312" s="39" t="n">
        <f aca="false">ROUND(G312-Q312-MIN(G312-Q312,MAX(0,$AF312-SUMPRODUCT(--($B$4:$K$4&lt;G$4),$B312:$K312-$L312:$U312))),2)</f>
        <v>0</v>
      </c>
      <c r="AB312" s="39" t="n">
        <f aca="false">ROUND(H312-R312-MIN(H312-R312,MAX(0,$AF312-SUMPRODUCT(--($B$4:$K$4&lt;H$4),$B312:$K312-$L312:$U312))),2)</f>
        <v>0</v>
      </c>
      <c r="AC312" s="39" t="n">
        <f aca="false">ROUND(I312-S312-MIN(I312-S312,MAX(0,$AF312-SUMPRODUCT(--($B$4:$K$4&lt;I$4),$B312:$K312-$L312:$U312))),2)</f>
        <v>0</v>
      </c>
      <c r="AD312" s="39" t="n">
        <f aca="false">ROUND(J312-T312-MIN(J312-T312,MAX(0,$AF312-SUMPRODUCT(--($B$4:$K$4&lt;J$4),$B312:$K312-$L312:$U312))),2)</f>
        <v>0</v>
      </c>
      <c r="AE312" s="39" t="n">
        <f aca="false">ROUND(K312-U312-MIN(K312-U312,MAX(0,$AF312-SUMPRODUCT(--($B$4:$K$4&lt;K$4),$B312:$K312-$L312:$U312))),2)</f>
        <v>0</v>
      </c>
      <c r="AF312" s="39" t="n">
        <f aca="false">MAX(0,'Start Here'!$C$5-SUM($L312:$U312))</f>
        <v>1200</v>
      </c>
      <c r="AG312" s="39" t="n">
        <f aca="false">SUM(V312:AE312)</f>
        <v>0</v>
      </c>
      <c r="AH312" s="39" t="n">
        <f aca="false">SUM(B312:K312)-AG311</f>
        <v>0</v>
      </c>
    </row>
    <row r="313" customFormat="false" ht="15" hidden="false" customHeight="false" outlineLevel="0" collapsed="false">
      <c r="A313" s="40" t="n">
        <f aca="false">DATE(YEAR('Start Here'!$C$6),MONTH('Start Here'!$C$6)+306,1)</f>
        <v>55610</v>
      </c>
      <c r="B313" s="39" t="n">
        <f aca="false">ROUND(V312*(1+N('My Debts'!$D$6)/12),2)</f>
        <v>0</v>
      </c>
      <c r="C313" s="39" t="n">
        <f aca="false">ROUND(W312*(1+N('My Debts'!$D$7)/12),2)</f>
        <v>0</v>
      </c>
      <c r="D313" s="39" t="n">
        <f aca="false">ROUND(X312*(1+N('My Debts'!$D$8)/12),2)</f>
        <v>0</v>
      </c>
      <c r="E313" s="39" t="n">
        <f aca="false">ROUND(Y312*(1+N('My Debts'!$D$9)/12),2)</f>
        <v>0</v>
      </c>
      <c r="F313" s="39" t="n">
        <f aca="false">ROUND(Z312*(1+N('My Debts'!$D$10)/12),2)</f>
        <v>0</v>
      </c>
      <c r="G313" s="39" t="n">
        <f aca="false">ROUND(AA312*(1+N('My Debts'!$D$11)/12),2)</f>
        <v>0</v>
      </c>
      <c r="H313" s="39" t="n">
        <f aca="false">ROUND(AB312*(1+N('My Debts'!$D$12)/12),2)</f>
        <v>0</v>
      </c>
      <c r="I313" s="39" t="n">
        <f aca="false">ROUND(AC312*(1+N('My Debts'!$D$13)/12),2)</f>
        <v>0</v>
      </c>
      <c r="J313" s="39" t="n">
        <f aca="false">ROUND(AD312*(1+N('My Debts'!$D$14)/12),2)</f>
        <v>0</v>
      </c>
      <c r="K313" s="39" t="n">
        <f aca="false">ROUND(AE312*(1+N('My Debts'!$D$15)/12),2)</f>
        <v>0</v>
      </c>
      <c r="L313" s="39" t="n">
        <f aca="false">MIN(N('My Debts'!$E$6),B313)</f>
        <v>0</v>
      </c>
      <c r="M313" s="39" t="n">
        <f aca="false">MIN(N('My Debts'!$E$7),C313)</f>
        <v>0</v>
      </c>
      <c r="N313" s="39" t="n">
        <f aca="false">MIN(N('My Debts'!$E$8),D313)</f>
        <v>0</v>
      </c>
      <c r="O313" s="39" t="n">
        <f aca="false">MIN(N('My Debts'!$E$9),E313)</f>
        <v>0</v>
      </c>
      <c r="P313" s="39" t="n">
        <f aca="false">MIN(N('My Debts'!$E$10),F313)</f>
        <v>0</v>
      </c>
      <c r="Q313" s="39" t="n">
        <f aca="false">MIN(N('My Debts'!$E$11),G313)</f>
        <v>0</v>
      </c>
      <c r="R313" s="39" t="n">
        <f aca="false">MIN(N('My Debts'!$E$12),H313)</f>
        <v>0</v>
      </c>
      <c r="S313" s="39" t="n">
        <f aca="false">MIN(N('My Debts'!$E$13),I313)</f>
        <v>0</v>
      </c>
      <c r="T313" s="39" t="n">
        <f aca="false">MIN(N('My Debts'!$E$14),J313)</f>
        <v>0</v>
      </c>
      <c r="U313" s="39" t="n">
        <f aca="false">MIN(N('My Debts'!$E$15),K313)</f>
        <v>0</v>
      </c>
      <c r="V313" s="39" t="n">
        <f aca="false">ROUND(B313-L313-MIN(B313-L313,MAX(0,$AF313-SUMPRODUCT(--($B$4:$K$4&lt;B$4),$B313:$K313-$L313:$U313))),2)</f>
        <v>0</v>
      </c>
      <c r="W313" s="39" t="n">
        <f aca="false">ROUND(C313-M313-MIN(C313-M313,MAX(0,$AF313-SUMPRODUCT(--($B$4:$K$4&lt;C$4),$B313:$K313-$L313:$U313))),2)</f>
        <v>0</v>
      </c>
      <c r="X313" s="39" t="n">
        <f aca="false">ROUND(D313-N313-MIN(D313-N313,MAX(0,$AF313-SUMPRODUCT(--($B$4:$K$4&lt;D$4),$B313:$K313-$L313:$U313))),2)</f>
        <v>0</v>
      </c>
      <c r="Y313" s="39" t="n">
        <f aca="false">ROUND(E313-O313-MIN(E313-O313,MAX(0,$AF313-SUMPRODUCT(--($B$4:$K$4&lt;E$4),$B313:$K313-$L313:$U313))),2)</f>
        <v>0</v>
      </c>
      <c r="Z313" s="39" t="n">
        <f aca="false">ROUND(F313-P313-MIN(F313-P313,MAX(0,$AF313-SUMPRODUCT(--($B$4:$K$4&lt;F$4),$B313:$K313-$L313:$U313))),2)</f>
        <v>0</v>
      </c>
      <c r="AA313" s="39" t="n">
        <f aca="false">ROUND(G313-Q313-MIN(G313-Q313,MAX(0,$AF313-SUMPRODUCT(--($B$4:$K$4&lt;G$4),$B313:$K313-$L313:$U313))),2)</f>
        <v>0</v>
      </c>
      <c r="AB313" s="39" t="n">
        <f aca="false">ROUND(H313-R313-MIN(H313-R313,MAX(0,$AF313-SUMPRODUCT(--($B$4:$K$4&lt;H$4),$B313:$K313-$L313:$U313))),2)</f>
        <v>0</v>
      </c>
      <c r="AC313" s="39" t="n">
        <f aca="false">ROUND(I313-S313-MIN(I313-S313,MAX(0,$AF313-SUMPRODUCT(--($B$4:$K$4&lt;I$4),$B313:$K313-$L313:$U313))),2)</f>
        <v>0</v>
      </c>
      <c r="AD313" s="39" t="n">
        <f aca="false">ROUND(J313-T313-MIN(J313-T313,MAX(0,$AF313-SUMPRODUCT(--($B$4:$K$4&lt;J$4),$B313:$K313-$L313:$U313))),2)</f>
        <v>0</v>
      </c>
      <c r="AE313" s="39" t="n">
        <f aca="false">ROUND(K313-U313-MIN(K313-U313,MAX(0,$AF313-SUMPRODUCT(--($B$4:$K$4&lt;K$4),$B313:$K313-$L313:$U313))),2)</f>
        <v>0</v>
      </c>
      <c r="AF313" s="39" t="n">
        <f aca="false">MAX(0,'Start Here'!$C$5-SUM($L313:$U313))</f>
        <v>1200</v>
      </c>
      <c r="AG313" s="39" t="n">
        <f aca="false">SUM(V313:AE313)</f>
        <v>0</v>
      </c>
      <c r="AH313" s="39" t="n">
        <f aca="false">SUM(B313:K313)-AG312</f>
        <v>0</v>
      </c>
    </row>
    <row r="314" customFormat="false" ht="15" hidden="false" customHeight="false" outlineLevel="0" collapsed="false">
      <c r="A314" s="40" t="n">
        <f aca="false">DATE(YEAR('Start Here'!$C$6),MONTH('Start Here'!$C$6)+307,1)</f>
        <v>55640</v>
      </c>
      <c r="B314" s="39" t="n">
        <f aca="false">ROUND(V313*(1+N('My Debts'!$D$6)/12),2)</f>
        <v>0</v>
      </c>
      <c r="C314" s="39" t="n">
        <f aca="false">ROUND(W313*(1+N('My Debts'!$D$7)/12),2)</f>
        <v>0</v>
      </c>
      <c r="D314" s="39" t="n">
        <f aca="false">ROUND(X313*(1+N('My Debts'!$D$8)/12),2)</f>
        <v>0</v>
      </c>
      <c r="E314" s="39" t="n">
        <f aca="false">ROUND(Y313*(1+N('My Debts'!$D$9)/12),2)</f>
        <v>0</v>
      </c>
      <c r="F314" s="39" t="n">
        <f aca="false">ROUND(Z313*(1+N('My Debts'!$D$10)/12),2)</f>
        <v>0</v>
      </c>
      <c r="G314" s="39" t="n">
        <f aca="false">ROUND(AA313*(1+N('My Debts'!$D$11)/12),2)</f>
        <v>0</v>
      </c>
      <c r="H314" s="39" t="n">
        <f aca="false">ROUND(AB313*(1+N('My Debts'!$D$12)/12),2)</f>
        <v>0</v>
      </c>
      <c r="I314" s="39" t="n">
        <f aca="false">ROUND(AC313*(1+N('My Debts'!$D$13)/12),2)</f>
        <v>0</v>
      </c>
      <c r="J314" s="39" t="n">
        <f aca="false">ROUND(AD313*(1+N('My Debts'!$D$14)/12),2)</f>
        <v>0</v>
      </c>
      <c r="K314" s="39" t="n">
        <f aca="false">ROUND(AE313*(1+N('My Debts'!$D$15)/12),2)</f>
        <v>0</v>
      </c>
      <c r="L314" s="39" t="n">
        <f aca="false">MIN(N('My Debts'!$E$6),B314)</f>
        <v>0</v>
      </c>
      <c r="M314" s="39" t="n">
        <f aca="false">MIN(N('My Debts'!$E$7),C314)</f>
        <v>0</v>
      </c>
      <c r="N314" s="39" t="n">
        <f aca="false">MIN(N('My Debts'!$E$8),D314)</f>
        <v>0</v>
      </c>
      <c r="O314" s="39" t="n">
        <f aca="false">MIN(N('My Debts'!$E$9),E314)</f>
        <v>0</v>
      </c>
      <c r="P314" s="39" t="n">
        <f aca="false">MIN(N('My Debts'!$E$10),F314)</f>
        <v>0</v>
      </c>
      <c r="Q314" s="39" t="n">
        <f aca="false">MIN(N('My Debts'!$E$11),G314)</f>
        <v>0</v>
      </c>
      <c r="R314" s="39" t="n">
        <f aca="false">MIN(N('My Debts'!$E$12),H314)</f>
        <v>0</v>
      </c>
      <c r="S314" s="39" t="n">
        <f aca="false">MIN(N('My Debts'!$E$13),I314)</f>
        <v>0</v>
      </c>
      <c r="T314" s="39" t="n">
        <f aca="false">MIN(N('My Debts'!$E$14),J314)</f>
        <v>0</v>
      </c>
      <c r="U314" s="39" t="n">
        <f aca="false">MIN(N('My Debts'!$E$15),K314)</f>
        <v>0</v>
      </c>
      <c r="V314" s="39" t="n">
        <f aca="false">ROUND(B314-L314-MIN(B314-L314,MAX(0,$AF314-SUMPRODUCT(--($B$4:$K$4&lt;B$4),$B314:$K314-$L314:$U314))),2)</f>
        <v>0</v>
      </c>
      <c r="W314" s="39" t="n">
        <f aca="false">ROUND(C314-M314-MIN(C314-M314,MAX(0,$AF314-SUMPRODUCT(--($B$4:$K$4&lt;C$4),$B314:$K314-$L314:$U314))),2)</f>
        <v>0</v>
      </c>
      <c r="X314" s="39" t="n">
        <f aca="false">ROUND(D314-N314-MIN(D314-N314,MAX(0,$AF314-SUMPRODUCT(--($B$4:$K$4&lt;D$4),$B314:$K314-$L314:$U314))),2)</f>
        <v>0</v>
      </c>
      <c r="Y314" s="39" t="n">
        <f aca="false">ROUND(E314-O314-MIN(E314-O314,MAX(0,$AF314-SUMPRODUCT(--($B$4:$K$4&lt;E$4),$B314:$K314-$L314:$U314))),2)</f>
        <v>0</v>
      </c>
      <c r="Z314" s="39" t="n">
        <f aca="false">ROUND(F314-P314-MIN(F314-P314,MAX(0,$AF314-SUMPRODUCT(--($B$4:$K$4&lt;F$4),$B314:$K314-$L314:$U314))),2)</f>
        <v>0</v>
      </c>
      <c r="AA314" s="39" t="n">
        <f aca="false">ROUND(G314-Q314-MIN(G314-Q314,MAX(0,$AF314-SUMPRODUCT(--($B$4:$K$4&lt;G$4),$B314:$K314-$L314:$U314))),2)</f>
        <v>0</v>
      </c>
      <c r="AB314" s="39" t="n">
        <f aca="false">ROUND(H314-R314-MIN(H314-R314,MAX(0,$AF314-SUMPRODUCT(--($B$4:$K$4&lt;H$4),$B314:$K314-$L314:$U314))),2)</f>
        <v>0</v>
      </c>
      <c r="AC314" s="39" t="n">
        <f aca="false">ROUND(I314-S314-MIN(I314-S314,MAX(0,$AF314-SUMPRODUCT(--($B$4:$K$4&lt;I$4),$B314:$K314-$L314:$U314))),2)</f>
        <v>0</v>
      </c>
      <c r="AD314" s="39" t="n">
        <f aca="false">ROUND(J314-T314-MIN(J314-T314,MAX(0,$AF314-SUMPRODUCT(--($B$4:$K$4&lt;J$4),$B314:$K314-$L314:$U314))),2)</f>
        <v>0</v>
      </c>
      <c r="AE314" s="39" t="n">
        <f aca="false">ROUND(K314-U314-MIN(K314-U314,MAX(0,$AF314-SUMPRODUCT(--($B$4:$K$4&lt;K$4),$B314:$K314-$L314:$U314))),2)</f>
        <v>0</v>
      </c>
      <c r="AF314" s="39" t="n">
        <f aca="false">MAX(0,'Start Here'!$C$5-SUM($L314:$U314))</f>
        <v>1200</v>
      </c>
      <c r="AG314" s="39" t="n">
        <f aca="false">SUM(V314:AE314)</f>
        <v>0</v>
      </c>
      <c r="AH314" s="39" t="n">
        <f aca="false">SUM(B314:K314)-AG313</f>
        <v>0</v>
      </c>
    </row>
    <row r="315" customFormat="false" ht="15" hidden="false" customHeight="false" outlineLevel="0" collapsed="false">
      <c r="A315" s="40" t="n">
        <f aca="false">DATE(YEAR('Start Here'!$C$6),MONTH('Start Here'!$C$6)+308,1)</f>
        <v>55671</v>
      </c>
      <c r="B315" s="39" t="n">
        <f aca="false">ROUND(V314*(1+N('My Debts'!$D$6)/12),2)</f>
        <v>0</v>
      </c>
      <c r="C315" s="39" t="n">
        <f aca="false">ROUND(W314*(1+N('My Debts'!$D$7)/12),2)</f>
        <v>0</v>
      </c>
      <c r="D315" s="39" t="n">
        <f aca="false">ROUND(X314*(1+N('My Debts'!$D$8)/12),2)</f>
        <v>0</v>
      </c>
      <c r="E315" s="39" t="n">
        <f aca="false">ROUND(Y314*(1+N('My Debts'!$D$9)/12),2)</f>
        <v>0</v>
      </c>
      <c r="F315" s="39" t="n">
        <f aca="false">ROUND(Z314*(1+N('My Debts'!$D$10)/12),2)</f>
        <v>0</v>
      </c>
      <c r="G315" s="39" t="n">
        <f aca="false">ROUND(AA314*(1+N('My Debts'!$D$11)/12),2)</f>
        <v>0</v>
      </c>
      <c r="H315" s="39" t="n">
        <f aca="false">ROUND(AB314*(1+N('My Debts'!$D$12)/12),2)</f>
        <v>0</v>
      </c>
      <c r="I315" s="39" t="n">
        <f aca="false">ROUND(AC314*(1+N('My Debts'!$D$13)/12),2)</f>
        <v>0</v>
      </c>
      <c r="J315" s="39" t="n">
        <f aca="false">ROUND(AD314*(1+N('My Debts'!$D$14)/12),2)</f>
        <v>0</v>
      </c>
      <c r="K315" s="39" t="n">
        <f aca="false">ROUND(AE314*(1+N('My Debts'!$D$15)/12),2)</f>
        <v>0</v>
      </c>
      <c r="L315" s="39" t="n">
        <f aca="false">MIN(N('My Debts'!$E$6),B315)</f>
        <v>0</v>
      </c>
      <c r="M315" s="39" t="n">
        <f aca="false">MIN(N('My Debts'!$E$7),C315)</f>
        <v>0</v>
      </c>
      <c r="N315" s="39" t="n">
        <f aca="false">MIN(N('My Debts'!$E$8),D315)</f>
        <v>0</v>
      </c>
      <c r="O315" s="39" t="n">
        <f aca="false">MIN(N('My Debts'!$E$9),E315)</f>
        <v>0</v>
      </c>
      <c r="P315" s="39" t="n">
        <f aca="false">MIN(N('My Debts'!$E$10),F315)</f>
        <v>0</v>
      </c>
      <c r="Q315" s="39" t="n">
        <f aca="false">MIN(N('My Debts'!$E$11),G315)</f>
        <v>0</v>
      </c>
      <c r="R315" s="39" t="n">
        <f aca="false">MIN(N('My Debts'!$E$12),H315)</f>
        <v>0</v>
      </c>
      <c r="S315" s="39" t="n">
        <f aca="false">MIN(N('My Debts'!$E$13),I315)</f>
        <v>0</v>
      </c>
      <c r="T315" s="39" t="n">
        <f aca="false">MIN(N('My Debts'!$E$14),J315)</f>
        <v>0</v>
      </c>
      <c r="U315" s="39" t="n">
        <f aca="false">MIN(N('My Debts'!$E$15),K315)</f>
        <v>0</v>
      </c>
      <c r="V315" s="39" t="n">
        <f aca="false">ROUND(B315-L315-MIN(B315-L315,MAX(0,$AF315-SUMPRODUCT(--($B$4:$K$4&lt;B$4),$B315:$K315-$L315:$U315))),2)</f>
        <v>0</v>
      </c>
      <c r="W315" s="39" t="n">
        <f aca="false">ROUND(C315-M315-MIN(C315-M315,MAX(0,$AF315-SUMPRODUCT(--($B$4:$K$4&lt;C$4),$B315:$K315-$L315:$U315))),2)</f>
        <v>0</v>
      </c>
      <c r="X315" s="39" t="n">
        <f aca="false">ROUND(D315-N315-MIN(D315-N315,MAX(0,$AF315-SUMPRODUCT(--($B$4:$K$4&lt;D$4),$B315:$K315-$L315:$U315))),2)</f>
        <v>0</v>
      </c>
      <c r="Y315" s="39" t="n">
        <f aca="false">ROUND(E315-O315-MIN(E315-O315,MAX(0,$AF315-SUMPRODUCT(--($B$4:$K$4&lt;E$4),$B315:$K315-$L315:$U315))),2)</f>
        <v>0</v>
      </c>
      <c r="Z315" s="39" t="n">
        <f aca="false">ROUND(F315-P315-MIN(F315-P315,MAX(0,$AF315-SUMPRODUCT(--($B$4:$K$4&lt;F$4),$B315:$K315-$L315:$U315))),2)</f>
        <v>0</v>
      </c>
      <c r="AA315" s="39" t="n">
        <f aca="false">ROUND(G315-Q315-MIN(G315-Q315,MAX(0,$AF315-SUMPRODUCT(--($B$4:$K$4&lt;G$4),$B315:$K315-$L315:$U315))),2)</f>
        <v>0</v>
      </c>
      <c r="AB315" s="39" t="n">
        <f aca="false">ROUND(H315-R315-MIN(H315-R315,MAX(0,$AF315-SUMPRODUCT(--($B$4:$K$4&lt;H$4),$B315:$K315-$L315:$U315))),2)</f>
        <v>0</v>
      </c>
      <c r="AC315" s="39" t="n">
        <f aca="false">ROUND(I315-S315-MIN(I315-S315,MAX(0,$AF315-SUMPRODUCT(--($B$4:$K$4&lt;I$4),$B315:$K315-$L315:$U315))),2)</f>
        <v>0</v>
      </c>
      <c r="AD315" s="39" t="n">
        <f aca="false">ROUND(J315-T315-MIN(J315-T315,MAX(0,$AF315-SUMPRODUCT(--($B$4:$K$4&lt;J$4),$B315:$K315-$L315:$U315))),2)</f>
        <v>0</v>
      </c>
      <c r="AE315" s="39" t="n">
        <f aca="false">ROUND(K315-U315-MIN(K315-U315,MAX(0,$AF315-SUMPRODUCT(--($B$4:$K$4&lt;K$4),$B315:$K315-$L315:$U315))),2)</f>
        <v>0</v>
      </c>
      <c r="AF315" s="39" t="n">
        <f aca="false">MAX(0,'Start Here'!$C$5-SUM($L315:$U315))</f>
        <v>1200</v>
      </c>
      <c r="AG315" s="39" t="n">
        <f aca="false">SUM(V315:AE315)</f>
        <v>0</v>
      </c>
      <c r="AH315" s="39" t="n">
        <f aca="false">SUM(B315:K315)-AG314</f>
        <v>0</v>
      </c>
    </row>
    <row r="316" customFormat="false" ht="15" hidden="false" customHeight="false" outlineLevel="0" collapsed="false">
      <c r="A316" s="40" t="n">
        <f aca="false">DATE(YEAR('Start Here'!$C$6),MONTH('Start Here'!$C$6)+309,1)</f>
        <v>55701</v>
      </c>
      <c r="B316" s="39" t="n">
        <f aca="false">ROUND(V315*(1+N('My Debts'!$D$6)/12),2)</f>
        <v>0</v>
      </c>
      <c r="C316" s="39" t="n">
        <f aca="false">ROUND(W315*(1+N('My Debts'!$D$7)/12),2)</f>
        <v>0</v>
      </c>
      <c r="D316" s="39" t="n">
        <f aca="false">ROUND(X315*(1+N('My Debts'!$D$8)/12),2)</f>
        <v>0</v>
      </c>
      <c r="E316" s="39" t="n">
        <f aca="false">ROUND(Y315*(1+N('My Debts'!$D$9)/12),2)</f>
        <v>0</v>
      </c>
      <c r="F316" s="39" t="n">
        <f aca="false">ROUND(Z315*(1+N('My Debts'!$D$10)/12),2)</f>
        <v>0</v>
      </c>
      <c r="G316" s="39" t="n">
        <f aca="false">ROUND(AA315*(1+N('My Debts'!$D$11)/12),2)</f>
        <v>0</v>
      </c>
      <c r="H316" s="39" t="n">
        <f aca="false">ROUND(AB315*(1+N('My Debts'!$D$12)/12),2)</f>
        <v>0</v>
      </c>
      <c r="I316" s="39" t="n">
        <f aca="false">ROUND(AC315*(1+N('My Debts'!$D$13)/12),2)</f>
        <v>0</v>
      </c>
      <c r="J316" s="39" t="n">
        <f aca="false">ROUND(AD315*(1+N('My Debts'!$D$14)/12),2)</f>
        <v>0</v>
      </c>
      <c r="K316" s="39" t="n">
        <f aca="false">ROUND(AE315*(1+N('My Debts'!$D$15)/12),2)</f>
        <v>0</v>
      </c>
      <c r="L316" s="39" t="n">
        <f aca="false">MIN(N('My Debts'!$E$6),B316)</f>
        <v>0</v>
      </c>
      <c r="M316" s="39" t="n">
        <f aca="false">MIN(N('My Debts'!$E$7),C316)</f>
        <v>0</v>
      </c>
      <c r="N316" s="39" t="n">
        <f aca="false">MIN(N('My Debts'!$E$8),D316)</f>
        <v>0</v>
      </c>
      <c r="O316" s="39" t="n">
        <f aca="false">MIN(N('My Debts'!$E$9),E316)</f>
        <v>0</v>
      </c>
      <c r="P316" s="39" t="n">
        <f aca="false">MIN(N('My Debts'!$E$10),F316)</f>
        <v>0</v>
      </c>
      <c r="Q316" s="39" t="n">
        <f aca="false">MIN(N('My Debts'!$E$11),G316)</f>
        <v>0</v>
      </c>
      <c r="R316" s="39" t="n">
        <f aca="false">MIN(N('My Debts'!$E$12),H316)</f>
        <v>0</v>
      </c>
      <c r="S316" s="39" t="n">
        <f aca="false">MIN(N('My Debts'!$E$13),I316)</f>
        <v>0</v>
      </c>
      <c r="T316" s="39" t="n">
        <f aca="false">MIN(N('My Debts'!$E$14),J316)</f>
        <v>0</v>
      </c>
      <c r="U316" s="39" t="n">
        <f aca="false">MIN(N('My Debts'!$E$15),K316)</f>
        <v>0</v>
      </c>
      <c r="V316" s="39" t="n">
        <f aca="false">ROUND(B316-L316-MIN(B316-L316,MAX(0,$AF316-SUMPRODUCT(--($B$4:$K$4&lt;B$4),$B316:$K316-$L316:$U316))),2)</f>
        <v>0</v>
      </c>
      <c r="W316" s="39" t="n">
        <f aca="false">ROUND(C316-M316-MIN(C316-M316,MAX(0,$AF316-SUMPRODUCT(--($B$4:$K$4&lt;C$4),$B316:$K316-$L316:$U316))),2)</f>
        <v>0</v>
      </c>
      <c r="X316" s="39" t="n">
        <f aca="false">ROUND(D316-N316-MIN(D316-N316,MAX(0,$AF316-SUMPRODUCT(--($B$4:$K$4&lt;D$4),$B316:$K316-$L316:$U316))),2)</f>
        <v>0</v>
      </c>
      <c r="Y316" s="39" t="n">
        <f aca="false">ROUND(E316-O316-MIN(E316-O316,MAX(0,$AF316-SUMPRODUCT(--($B$4:$K$4&lt;E$4),$B316:$K316-$L316:$U316))),2)</f>
        <v>0</v>
      </c>
      <c r="Z316" s="39" t="n">
        <f aca="false">ROUND(F316-P316-MIN(F316-P316,MAX(0,$AF316-SUMPRODUCT(--($B$4:$K$4&lt;F$4),$B316:$K316-$L316:$U316))),2)</f>
        <v>0</v>
      </c>
      <c r="AA316" s="39" t="n">
        <f aca="false">ROUND(G316-Q316-MIN(G316-Q316,MAX(0,$AF316-SUMPRODUCT(--($B$4:$K$4&lt;G$4),$B316:$K316-$L316:$U316))),2)</f>
        <v>0</v>
      </c>
      <c r="AB316" s="39" t="n">
        <f aca="false">ROUND(H316-R316-MIN(H316-R316,MAX(0,$AF316-SUMPRODUCT(--($B$4:$K$4&lt;H$4),$B316:$K316-$L316:$U316))),2)</f>
        <v>0</v>
      </c>
      <c r="AC316" s="39" t="n">
        <f aca="false">ROUND(I316-S316-MIN(I316-S316,MAX(0,$AF316-SUMPRODUCT(--($B$4:$K$4&lt;I$4),$B316:$K316-$L316:$U316))),2)</f>
        <v>0</v>
      </c>
      <c r="AD316" s="39" t="n">
        <f aca="false">ROUND(J316-T316-MIN(J316-T316,MAX(0,$AF316-SUMPRODUCT(--($B$4:$K$4&lt;J$4),$B316:$K316-$L316:$U316))),2)</f>
        <v>0</v>
      </c>
      <c r="AE316" s="39" t="n">
        <f aca="false">ROUND(K316-U316-MIN(K316-U316,MAX(0,$AF316-SUMPRODUCT(--($B$4:$K$4&lt;K$4),$B316:$K316-$L316:$U316))),2)</f>
        <v>0</v>
      </c>
      <c r="AF316" s="39" t="n">
        <f aca="false">MAX(0,'Start Here'!$C$5-SUM($L316:$U316))</f>
        <v>1200</v>
      </c>
      <c r="AG316" s="39" t="n">
        <f aca="false">SUM(V316:AE316)</f>
        <v>0</v>
      </c>
      <c r="AH316" s="39" t="n">
        <f aca="false">SUM(B316:K316)-AG315</f>
        <v>0</v>
      </c>
    </row>
    <row r="317" customFormat="false" ht="15" hidden="false" customHeight="false" outlineLevel="0" collapsed="false">
      <c r="A317" s="40" t="n">
        <f aca="false">DATE(YEAR('Start Here'!$C$6),MONTH('Start Here'!$C$6)+310,1)</f>
        <v>55732</v>
      </c>
      <c r="B317" s="39" t="n">
        <f aca="false">ROUND(V316*(1+N('My Debts'!$D$6)/12),2)</f>
        <v>0</v>
      </c>
      <c r="C317" s="39" t="n">
        <f aca="false">ROUND(W316*(1+N('My Debts'!$D$7)/12),2)</f>
        <v>0</v>
      </c>
      <c r="D317" s="39" t="n">
        <f aca="false">ROUND(X316*(1+N('My Debts'!$D$8)/12),2)</f>
        <v>0</v>
      </c>
      <c r="E317" s="39" t="n">
        <f aca="false">ROUND(Y316*(1+N('My Debts'!$D$9)/12),2)</f>
        <v>0</v>
      </c>
      <c r="F317" s="39" t="n">
        <f aca="false">ROUND(Z316*(1+N('My Debts'!$D$10)/12),2)</f>
        <v>0</v>
      </c>
      <c r="G317" s="39" t="n">
        <f aca="false">ROUND(AA316*(1+N('My Debts'!$D$11)/12),2)</f>
        <v>0</v>
      </c>
      <c r="H317" s="39" t="n">
        <f aca="false">ROUND(AB316*(1+N('My Debts'!$D$12)/12),2)</f>
        <v>0</v>
      </c>
      <c r="I317" s="39" t="n">
        <f aca="false">ROUND(AC316*(1+N('My Debts'!$D$13)/12),2)</f>
        <v>0</v>
      </c>
      <c r="J317" s="39" t="n">
        <f aca="false">ROUND(AD316*(1+N('My Debts'!$D$14)/12),2)</f>
        <v>0</v>
      </c>
      <c r="K317" s="39" t="n">
        <f aca="false">ROUND(AE316*(1+N('My Debts'!$D$15)/12),2)</f>
        <v>0</v>
      </c>
      <c r="L317" s="39" t="n">
        <f aca="false">MIN(N('My Debts'!$E$6),B317)</f>
        <v>0</v>
      </c>
      <c r="M317" s="39" t="n">
        <f aca="false">MIN(N('My Debts'!$E$7),C317)</f>
        <v>0</v>
      </c>
      <c r="N317" s="39" t="n">
        <f aca="false">MIN(N('My Debts'!$E$8),D317)</f>
        <v>0</v>
      </c>
      <c r="O317" s="39" t="n">
        <f aca="false">MIN(N('My Debts'!$E$9),E317)</f>
        <v>0</v>
      </c>
      <c r="P317" s="39" t="n">
        <f aca="false">MIN(N('My Debts'!$E$10),F317)</f>
        <v>0</v>
      </c>
      <c r="Q317" s="39" t="n">
        <f aca="false">MIN(N('My Debts'!$E$11),G317)</f>
        <v>0</v>
      </c>
      <c r="R317" s="39" t="n">
        <f aca="false">MIN(N('My Debts'!$E$12),H317)</f>
        <v>0</v>
      </c>
      <c r="S317" s="39" t="n">
        <f aca="false">MIN(N('My Debts'!$E$13),I317)</f>
        <v>0</v>
      </c>
      <c r="T317" s="39" t="n">
        <f aca="false">MIN(N('My Debts'!$E$14),J317)</f>
        <v>0</v>
      </c>
      <c r="U317" s="39" t="n">
        <f aca="false">MIN(N('My Debts'!$E$15),K317)</f>
        <v>0</v>
      </c>
      <c r="V317" s="39" t="n">
        <f aca="false">ROUND(B317-L317-MIN(B317-L317,MAX(0,$AF317-SUMPRODUCT(--($B$4:$K$4&lt;B$4),$B317:$K317-$L317:$U317))),2)</f>
        <v>0</v>
      </c>
      <c r="W317" s="39" t="n">
        <f aca="false">ROUND(C317-M317-MIN(C317-M317,MAX(0,$AF317-SUMPRODUCT(--($B$4:$K$4&lt;C$4),$B317:$K317-$L317:$U317))),2)</f>
        <v>0</v>
      </c>
      <c r="X317" s="39" t="n">
        <f aca="false">ROUND(D317-N317-MIN(D317-N317,MAX(0,$AF317-SUMPRODUCT(--($B$4:$K$4&lt;D$4),$B317:$K317-$L317:$U317))),2)</f>
        <v>0</v>
      </c>
      <c r="Y317" s="39" t="n">
        <f aca="false">ROUND(E317-O317-MIN(E317-O317,MAX(0,$AF317-SUMPRODUCT(--($B$4:$K$4&lt;E$4),$B317:$K317-$L317:$U317))),2)</f>
        <v>0</v>
      </c>
      <c r="Z317" s="39" t="n">
        <f aca="false">ROUND(F317-P317-MIN(F317-P317,MAX(0,$AF317-SUMPRODUCT(--($B$4:$K$4&lt;F$4),$B317:$K317-$L317:$U317))),2)</f>
        <v>0</v>
      </c>
      <c r="AA317" s="39" t="n">
        <f aca="false">ROUND(G317-Q317-MIN(G317-Q317,MAX(0,$AF317-SUMPRODUCT(--($B$4:$K$4&lt;G$4),$B317:$K317-$L317:$U317))),2)</f>
        <v>0</v>
      </c>
      <c r="AB317" s="39" t="n">
        <f aca="false">ROUND(H317-R317-MIN(H317-R317,MAX(0,$AF317-SUMPRODUCT(--($B$4:$K$4&lt;H$4),$B317:$K317-$L317:$U317))),2)</f>
        <v>0</v>
      </c>
      <c r="AC317" s="39" t="n">
        <f aca="false">ROUND(I317-S317-MIN(I317-S317,MAX(0,$AF317-SUMPRODUCT(--($B$4:$K$4&lt;I$4),$B317:$K317-$L317:$U317))),2)</f>
        <v>0</v>
      </c>
      <c r="AD317" s="39" t="n">
        <f aca="false">ROUND(J317-T317-MIN(J317-T317,MAX(0,$AF317-SUMPRODUCT(--($B$4:$K$4&lt;J$4),$B317:$K317-$L317:$U317))),2)</f>
        <v>0</v>
      </c>
      <c r="AE317" s="39" t="n">
        <f aca="false">ROUND(K317-U317-MIN(K317-U317,MAX(0,$AF317-SUMPRODUCT(--($B$4:$K$4&lt;K$4),$B317:$K317-$L317:$U317))),2)</f>
        <v>0</v>
      </c>
      <c r="AF317" s="39" t="n">
        <f aca="false">MAX(0,'Start Here'!$C$5-SUM($L317:$U317))</f>
        <v>1200</v>
      </c>
      <c r="AG317" s="39" t="n">
        <f aca="false">SUM(V317:AE317)</f>
        <v>0</v>
      </c>
      <c r="AH317" s="39" t="n">
        <f aca="false">SUM(B317:K317)-AG316</f>
        <v>0</v>
      </c>
    </row>
    <row r="318" customFormat="false" ht="15" hidden="false" customHeight="false" outlineLevel="0" collapsed="false">
      <c r="A318" s="40" t="n">
        <f aca="false">DATE(YEAR('Start Here'!$C$6),MONTH('Start Here'!$C$6)+311,1)</f>
        <v>55763</v>
      </c>
      <c r="B318" s="39" t="n">
        <f aca="false">ROUND(V317*(1+N('My Debts'!$D$6)/12),2)</f>
        <v>0</v>
      </c>
      <c r="C318" s="39" t="n">
        <f aca="false">ROUND(W317*(1+N('My Debts'!$D$7)/12),2)</f>
        <v>0</v>
      </c>
      <c r="D318" s="39" t="n">
        <f aca="false">ROUND(X317*(1+N('My Debts'!$D$8)/12),2)</f>
        <v>0</v>
      </c>
      <c r="E318" s="39" t="n">
        <f aca="false">ROUND(Y317*(1+N('My Debts'!$D$9)/12),2)</f>
        <v>0</v>
      </c>
      <c r="F318" s="39" t="n">
        <f aca="false">ROUND(Z317*(1+N('My Debts'!$D$10)/12),2)</f>
        <v>0</v>
      </c>
      <c r="G318" s="39" t="n">
        <f aca="false">ROUND(AA317*(1+N('My Debts'!$D$11)/12),2)</f>
        <v>0</v>
      </c>
      <c r="H318" s="39" t="n">
        <f aca="false">ROUND(AB317*(1+N('My Debts'!$D$12)/12),2)</f>
        <v>0</v>
      </c>
      <c r="I318" s="39" t="n">
        <f aca="false">ROUND(AC317*(1+N('My Debts'!$D$13)/12),2)</f>
        <v>0</v>
      </c>
      <c r="J318" s="39" t="n">
        <f aca="false">ROUND(AD317*(1+N('My Debts'!$D$14)/12),2)</f>
        <v>0</v>
      </c>
      <c r="K318" s="39" t="n">
        <f aca="false">ROUND(AE317*(1+N('My Debts'!$D$15)/12),2)</f>
        <v>0</v>
      </c>
      <c r="L318" s="39" t="n">
        <f aca="false">MIN(N('My Debts'!$E$6),B318)</f>
        <v>0</v>
      </c>
      <c r="M318" s="39" t="n">
        <f aca="false">MIN(N('My Debts'!$E$7),C318)</f>
        <v>0</v>
      </c>
      <c r="N318" s="39" t="n">
        <f aca="false">MIN(N('My Debts'!$E$8),D318)</f>
        <v>0</v>
      </c>
      <c r="O318" s="39" t="n">
        <f aca="false">MIN(N('My Debts'!$E$9),E318)</f>
        <v>0</v>
      </c>
      <c r="P318" s="39" t="n">
        <f aca="false">MIN(N('My Debts'!$E$10),F318)</f>
        <v>0</v>
      </c>
      <c r="Q318" s="39" t="n">
        <f aca="false">MIN(N('My Debts'!$E$11),G318)</f>
        <v>0</v>
      </c>
      <c r="R318" s="39" t="n">
        <f aca="false">MIN(N('My Debts'!$E$12),H318)</f>
        <v>0</v>
      </c>
      <c r="S318" s="39" t="n">
        <f aca="false">MIN(N('My Debts'!$E$13),I318)</f>
        <v>0</v>
      </c>
      <c r="T318" s="39" t="n">
        <f aca="false">MIN(N('My Debts'!$E$14),J318)</f>
        <v>0</v>
      </c>
      <c r="U318" s="39" t="n">
        <f aca="false">MIN(N('My Debts'!$E$15),K318)</f>
        <v>0</v>
      </c>
      <c r="V318" s="39" t="n">
        <f aca="false">ROUND(B318-L318-MIN(B318-L318,MAX(0,$AF318-SUMPRODUCT(--($B$4:$K$4&lt;B$4),$B318:$K318-$L318:$U318))),2)</f>
        <v>0</v>
      </c>
      <c r="W318" s="39" t="n">
        <f aca="false">ROUND(C318-M318-MIN(C318-M318,MAX(0,$AF318-SUMPRODUCT(--($B$4:$K$4&lt;C$4),$B318:$K318-$L318:$U318))),2)</f>
        <v>0</v>
      </c>
      <c r="X318" s="39" t="n">
        <f aca="false">ROUND(D318-N318-MIN(D318-N318,MAX(0,$AF318-SUMPRODUCT(--($B$4:$K$4&lt;D$4),$B318:$K318-$L318:$U318))),2)</f>
        <v>0</v>
      </c>
      <c r="Y318" s="39" t="n">
        <f aca="false">ROUND(E318-O318-MIN(E318-O318,MAX(0,$AF318-SUMPRODUCT(--($B$4:$K$4&lt;E$4),$B318:$K318-$L318:$U318))),2)</f>
        <v>0</v>
      </c>
      <c r="Z318" s="39" t="n">
        <f aca="false">ROUND(F318-P318-MIN(F318-P318,MAX(0,$AF318-SUMPRODUCT(--($B$4:$K$4&lt;F$4),$B318:$K318-$L318:$U318))),2)</f>
        <v>0</v>
      </c>
      <c r="AA318" s="39" t="n">
        <f aca="false">ROUND(G318-Q318-MIN(G318-Q318,MAX(0,$AF318-SUMPRODUCT(--($B$4:$K$4&lt;G$4),$B318:$K318-$L318:$U318))),2)</f>
        <v>0</v>
      </c>
      <c r="AB318" s="39" t="n">
        <f aca="false">ROUND(H318-R318-MIN(H318-R318,MAX(0,$AF318-SUMPRODUCT(--($B$4:$K$4&lt;H$4),$B318:$K318-$L318:$U318))),2)</f>
        <v>0</v>
      </c>
      <c r="AC318" s="39" t="n">
        <f aca="false">ROUND(I318-S318-MIN(I318-S318,MAX(0,$AF318-SUMPRODUCT(--($B$4:$K$4&lt;I$4),$B318:$K318-$L318:$U318))),2)</f>
        <v>0</v>
      </c>
      <c r="AD318" s="39" t="n">
        <f aca="false">ROUND(J318-T318-MIN(J318-T318,MAX(0,$AF318-SUMPRODUCT(--($B$4:$K$4&lt;J$4),$B318:$K318-$L318:$U318))),2)</f>
        <v>0</v>
      </c>
      <c r="AE318" s="39" t="n">
        <f aca="false">ROUND(K318-U318-MIN(K318-U318,MAX(0,$AF318-SUMPRODUCT(--($B$4:$K$4&lt;K$4),$B318:$K318-$L318:$U318))),2)</f>
        <v>0</v>
      </c>
      <c r="AF318" s="39" t="n">
        <f aca="false">MAX(0,'Start Here'!$C$5-SUM($L318:$U318))</f>
        <v>1200</v>
      </c>
      <c r="AG318" s="39" t="n">
        <f aca="false">SUM(V318:AE318)</f>
        <v>0</v>
      </c>
      <c r="AH318" s="39" t="n">
        <f aca="false">SUM(B318:K318)-AG317</f>
        <v>0</v>
      </c>
    </row>
    <row r="319" customFormat="false" ht="15" hidden="false" customHeight="false" outlineLevel="0" collapsed="false">
      <c r="A319" s="40" t="n">
        <f aca="false">DATE(YEAR('Start Here'!$C$6),MONTH('Start Here'!$C$6)+312,1)</f>
        <v>55793</v>
      </c>
      <c r="B319" s="39" t="n">
        <f aca="false">ROUND(V318*(1+N('My Debts'!$D$6)/12),2)</f>
        <v>0</v>
      </c>
      <c r="C319" s="39" t="n">
        <f aca="false">ROUND(W318*(1+N('My Debts'!$D$7)/12),2)</f>
        <v>0</v>
      </c>
      <c r="D319" s="39" t="n">
        <f aca="false">ROUND(X318*(1+N('My Debts'!$D$8)/12),2)</f>
        <v>0</v>
      </c>
      <c r="E319" s="39" t="n">
        <f aca="false">ROUND(Y318*(1+N('My Debts'!$D$9)/12),2)</f>
        <v>0</v>
      </c>
      <c r="F319" s="39" t="n">
        <f aca="false">ROUND(Z318*(1+N('My Debts'!$D$10)/12),2)</f>
        <v>0</v>
      </c>
      <c r="G319" s="39" t="n">
        <f aca="false">ROUND(AA318*(1+N('My Debts'!$D$11)/12),2)</f>
        <v>0</v>
      </c>
      <c r="H319" s="39" t="n">
        <f aca="false">ROUND(AB318*(1+N('My Debts'!$D$12)/12),2)</f>
        <v>0</v>
      </c>
      <c r="I319" s="39" t="n">
        <f aca="false">ROUND(AC318*(1+N('My Debts'!$D$13)/12),2)</f>
        <v>0</v>
      </c>
      <c r="J319" s="39" t="n">
        <f aca="false">ROUND(AD318*(1+N('My Debts'!$D$14)/12),2)</f>
        <v>0</v>
      </c>
      <c r="K319" s="39" t="n">
        <f aca="false">ROUND(AE318*(1+N('My Debts'!$D$15)/12),2)</f>
        <v>0</v>
      </c>
      <c r="L319" s="39" t="n">
        <f aca="false">MIN(N('My Debts'!$E$6),B319)</f>
        <v>0</v>
      </c>
      <c r="M319" s="39" t="n">
        <f aca="false">MIN(N('My Debts'!$E$7),C319)</f>
        <v>0</v>
      </c>
      <c r="N319" s="39" t="n">
        <f aca="false">MIN(N('My Debts'!$E$8),D319)</f>
        <v>0</v>
      </c>
      <c r="O319" s="39" t="n">
        <f aca="false">MIN(N('My Debts'!$E$9),E319)</f>
        <v>0</v>
      </c>
      <c r="P319" s="39" t="n">
        <f aca="false">MIN(N('My Debts'!$E$10),F319)</f>
        <v>0</v>
      </c>
      <c r="Q319" s="39" t="n">
        <f aca="false">MIN(N('My Debts'!$E$11),G319)</f>
        <v>0</v>
      </c>
      <c r="R319" s="39" t="n">
        <f aca="false">MIN(N('My Debts'!$E$12),H319)</f>
        <v>0</v>
      </c>
      <c r="S319" s="39" t="n">
        <f aca="false">MIN(N('My Debts'!$E$13),I319)</f>
        <v>0</v>
      </c>
      <c r="T319" s="39" t="n">
        <f aca="false">MIN(N('My Debts'!$E$14),J319)</f>
        <v>0</v>
      </c>
      <c r="U319" s="39" t="n">
        <f aca="false">MIN(N('My Debts'!$E$15),K319)</f>
        <v>0</v>
      </c>
      <c r="V319" s="39" t="n">
        <f aca="false">ROUND(B319-L319-MIN(B319-L319,MAX(0,$AF319-SUMPRODUCT(--($B$4:$K$4&lt;B$4),$B319:$K319-$L319:$U319))),2)</f>
        <v>0</v>
      </c>
      <c r="W319" s="39" t="n">
        <f aca="false">ROUND(C319-M319-MIN(C319-M319,MAX(0,$AF319-SUMPRODUCT(--($B$4:$K$4&lt;C$4),$B319:$K319-$L319:$U319))),2)</f>
        <v>0</v>
      </c>
      <c r="X319" s="39" t="n">
        <f aca="false">ROUND(D319-N319-MIN(D319-N319,MAX(0,$AF319-SUMPRODUCT(--($B$4:$K$4&lt;D$4),$B319:$K319-$L319:$U319))),2)</f>
        <v>0</v>
      </c>
      <c r="Y319" s="39" t="n">
        <f aca="false">ROUND(E319-O319-MIN(E319-O319,MAX(0,$AF319-SUMPRODUCT(--($B$4:$K$4&lt;E$4),$B319:$K319-$L319:$U319))),2)</f>
        <v>0</v>
      </c>
      <c r="Z319" s="39" t="n">
        <f aca="false">ROUND(F319-P319-MIN(F319-P319,MAX(0,$AF319-SUMPRODUCT(--($B$4:$K$4&lt;F$4),$B319:$K319-$L319:$U319))),2)</f>
        <v>0</v>
      </c>
      <c r="AA319" s="39" t="n">
        <f aca="false">ROUND(G319-Q319-MIN(G319-Q319,MAX(0,$AF319-SUMPRODUCT(--($B$4:$K$4&lt;G$4),$B319:$K319-$L319:$U319))),2)</f>
        <v>0</v>
      </c>
      <c r="AB319" s="39" t="n">
        <f aca="false">ROUND(H319-R319-MIN(H319-R319,MAX(0,$AF319-SUMPRODUCT(--($B$4:$K$4&lt;H$4),$B319:$K319-$L319:$U319))),2)</f>
        <v>0</v>
      </c>
      <c r="AC319" s="39" t="n">
        <f aca="false">ROUND(I319-S319-MIN(I319-S319,MAX(0,$AF319-SUMPRODUCT(--($B$4:$K$4&lt;I$4),$B319:$K319-$L319:$U319))),2)</f>
        <v>0</v>
      </c>
      <c r="AD319" s="39" t="n">
        <f aca="false">ROUND(J319-T319-MIN(J319-T319,MAX(0,$AF319-SUMPRODUCT(--($B$4:$K$4&lt;J$4),$B319:$K319-$L319:$U319))),2)</f>
        <v>0</v>
      </c>
      <c r="AE319" s="39" t="n">
        <f aca="false">ROUND(K319-U319-MIN(K319-U319,MAX(0,$AF319-SUMPRODUCT(--($B$4:$K$4&lt;K$4),$B319:$K319-$L319:$U319))),2)</f>
        <v>0</v>
      </c>
      <c r="AF319" s="39" t="n">
        <f aca="false">MAX(0,'Start Here'!$C$5-SUM($L319:$U319))</f>
        <v>1200</v>
      </c>
      <c r="AG319" s="39" t="n">
        <f aca="false">SUM(V319:AE319)</f>
        <v>0</v>
      </c>
      <c r="AH319" s="39" t="n">
        <f aca="false">SUM(B319:K319)-AG318</f>
        <v>0</v>
      </c>
    </row>
    <row r="320" customFormat="false" ht="15" hidden="false" customHeight="false" outlineLevel="0" collapsed="false">
      <c r="A320" s="40" t="n">
        <f aca="false">DATE(YEAR('Start Here'!$C$6),MONTH('Start Here'!$C$6)+313,1)</f>
        <v>55824</v>
      </c>
      <c r="B320" s="39" t="n">
        <f aca="false">ROUND(V319*(1+N('My Debts'!$D$6)/12),2)</f>
        <v>0</v>
      </c>
      <c r="C320" s="39" t="n">
        <f aca="false">ROUND(W319*(1+N('My Debts'!$D$7)/12),2)</f>
        <v>0</v>
      </c>
      <c r="D320" s="39" t="n">
        <f aca="false">ROUND(X319*(1+N('My Debts'!$D$8)/12),2)</f>
        <v>0</v>
      </c>
      <c r="E320" s="39" t="n">
        <f aca="false">ROUND(Y319*(1+N('My Debts'!$D$9)/12),2)</f>
        <v>0</v>
      </c>
      <c r="F320" s="39" t="n">
        <f aca="false">ROUND(Z319*(1+N('My Debts'!$D$10)/12),2)</f>
        <v>0</v>
      </c>
      <c r="G320" s="39" t="n">
        <f aca="false">ROUND(AA319*(1+N('My Debts'!$D$11)/12),2)</f>
        <v>0</v>
      </c>
      <c r="H320" s="39" t="n">
        <f aca="false">ROUND(AB319*(1+N('My Debts'!$D$12)/12),2)</f>
        <v>0</v>
      </c>
      <c r="I320" s="39" t="n">
        <f aca="false">ROUND(AC319*(1+N('My Debts'!$D$13)/12),2)</f>
        <v>0</v>
      </c>
      <c r="J320" s="39" t="n">
        <f aca="false">ROUND(AD319*(1+N('My Debts'!$D$14)/12),2)</f>
        <v>0</v>
      </c>
      <c r="K320" s="39" t="n">
        <f aca="false">ROUND(AE319*(1+N('My Debts'!$D$15)/12),2)</f>
        <v>0</v>
      </c>
      <c r="L320" s="39" t="n">
        <f aca="false">MIN(N('My Debts'!$E$6),B320)</f>
        <v>0</v>
      </c>
      <c r="M320" s="39" t="n">
        <f aca="false">MIN(N('My Debts'!$E$7),C320)</f>
        <v>0</v>
      </c>
      <c r="N320" s="39" t="n">
        <f aca="false">MIN(N('My Debts'!$E$8),D320)</f>
        <v>0</v>
      </c>
      <c r="O320" s="39" t="n">
        <f aca="false">MIN(N('My Debts'!$E$9),E320)</f>
        <v>0</v>
      </c>
      <c r="P320" s="39" t="n">
        <f aca="false">MIN(N('My Debts'!$E$10),F320)</f>
        <v>0</v>
      </c>
      <c r="Q320" s="39" t="n">
        <f aca="false">MIN(N('My Debts'!$E$11),G320)</f>
        <v>0</v>
      </c>
      <c r="R320" s="39" t="n">
        <f aca="false">MIN(N('My Debts'!$E$12),H320)</f>
        <v>0</v>
      </c>
      <c r="S320" s="39" t="n">
        <f aca="false">MIN(N('My Debts'!$E$13),I320)</f>
        <v>0</v>
      </c>
      <c r="T320" s="39" t="n">
        <f aca="false">MIN(N('My Debts'!$E$14),J320)</f>
        <v>0</v>
      </c>
      <c r="U320" s="39" t="n">
        <f aca="false">MIN(N('My Debts'!$E$15),K320)</f>
        <v>0</v>
      </c>
      <c r="V320" s="39" t="n">
        <f aca="false">ROUND(B320-L320-MIN(B320-L320,MAX(0,$AF320-SUMPRODUCT(--($B$4:$K$4&lt;B$4),$B320:$K320-$L320:$U320))),2)</f>
        <v>0</v>
      </c>
      <c r="W320" s="39" t="n">
        <f aca="false">ROUND(C320-M320-MIN(C320-M320,MAX(0,$AF320-SUMPRODUCT(--($B$4:$K$4&lt;C$4),$B320:$K320-$L320:$U320))),2)</f>
        <v>0</v>
      </c>
      <c r="X320" s="39" t="n">
        <f aca="false">ROUND(D320-N320-MIN(D320-N320,MAX(0,$AF320-SUMPRODUCT(--($B$4:$K$4&lt;D$4),$B320:$K320-$L320:$U320))),2)</f>
        <v>0</v>
      </c>
      <c r="Y320" s="39" t="n">
        <f aca="false">ROUND(E320-O320-MIN(E320-O320,MAX(0,$AF320-SUMPRODUCT(--($B$4:$K$4&lt;E$4),$B320:$K320-$L320:$U320))),2)</f>
        <v>0</v>
      </c>
      <c r="Z320" s="39" t="n">
        <f aca="false">ROUND(F320-P320-MIN(F320-P320,MAX(0,$AF320-SUMPRODUCT(--($B$4:$K$4&lt;F$4),$B320:$K320-$L320:$U320))),2)</f>
        <v>0</v>
      </c>
      <c r="AA320" s="39" t="n">
        <f aca="false">ROUND(G320-Q320-MIN(G320-Q320,MAX(0,$AF320-SUMPRODUCT(--($B$4:$K$4&lt;G$4),$B320:$K320-$L320:$U320))),2)</f>
        <v>0</v>
      </c>
      <c r="AB320" s="39" t="n">
        <f aca="false">ROUND(H320-R320-MIN(H320-R320,MAX(0,$AF320-SUMPRODUCT(--($B$4:$K$4&lt;H$4),$B320:$K320-$L320:$U320))),2)</f>
        <v>0</v>
      </c>
      <c r="AC320" s="39" t="n">
        <f aca="false">ROUND(I320-S320-MIN(I320-S320,MAX(0,$AF320-SUMPRODUCT(--($B$4:$K$4&lt;I$4),$B320:$K320-$L320:$U320))),2)</f>
        <v>0</v>
      </c>
      <c r="AD320" s="39" t="n">
        <f aca="false">ROUND(J320-T320-MIN(J320-T320,MAX(0,$AF320-SUMPRODUCT(--($B$4:$K$4&lt;J$4),$B320:$K320-$L320:$U320))),2)</f>
        <v>0</v>
      </c>
      <c r="AE320" s="39" t="n">
        <f aca="false">ROUND(K320-U320-MIN(K320-U320,MAX(0,$AF320-SUMPRODUCT(--($B$4:$K$4&lt;K$4),$B320:$K320-$L320:$U320))),2)</f>
        <v>0</v>
      </c>
      <c r="AF320" s="39" t="n">
        <f aca="false">MAX(0,'Start Here'!$C$5-SUM($L320:$U320))</f>
        <v>1200</v>
      </c>
      <c r="AG320" s="39" t="n">
        <f aca="false">SUM(V320:AE320)</f>
        <v>0</v>
      </c>
      <c r="AH320" s="39" t="n">
        <f aca="false">SUM(B320:K320)-AG319</f>
        <v>0</v>
      </c>
    </row>
    <row r="321" customFormat="false" ht="15" hidden="false" customHeight="false" outlineLevel="0" collapsed="false">
      <c r="A321" s="40" t="n">
        <f aca="false">DATE(YEAR('Start Here'!$C$6),MONTH('Start Here'!$C$6)+314,1)</f>
        <v>55854</v>
      </c>
      <c r="B321" s="39" t="n">
        <f aca="false">ROUND(V320*(1+N('My Debts'!$D$6)/12),2)</f>
        <v>0</v>
      </c>
      <c r="C321" s="39" t="n">
        <f aca="false">ROUND(W320*(1+N('My Debts'!$D$7)/12),2)</f>
        <v>0</v>
      </c>
      <c r="D321" s="39" t="n">
        <f aca="false">ROUND(X320*(1+N('My Debts'!$D$8)/12),2)</f>
        <v>0</v>
      </c>
      <c r="E321" s="39" t="n">
        <f aca="false">ROUND(Y320*(1+N('My Debts'!$D$9)/12),2)</f>
        <v>0</v>
      </c>
      <c r="F321" s="39" t="n">
        <f aca="false">ROUND(Z320*(1+N('My Debts'!$D$10)/12),2)</f>
        <v>0</v>
      </c>
      <c r="G321" s="39" t="n">
        <f aca="false">ROUND(AA320*(1+N('My Debts'!$D$11)/12),2)</f>
        <v>0</v>
      </c>
      <c r="H321" s="39" t="n">
        <f aca="false">ROUND(AB320*(1+N('My Debts'!$D$12)/12),2)</f>
        <v>0</v>
      </c>
      <c r="I321" s="39" t="n">
        <f aca="false">ROUND(AC320*(1+N('My Debts'!$D$13)/12),2)</f>
        <v>0</v>
      </c>
      <c r="J321" s="39" t="n">
        <f aca="false">ROUND(AD320*(1+N('My Debts'!$D$14)/12),2)</f>
        <v>0</v>
      </c>
      <c r="K321" s="39" t="n">
        <f aca="false">ROUND(AE320*(1+N('My Debts'!$D$15)/12),2)</f>
        <v>0</v>
      </c>
      <c r="L321" s="39" t="n">
        <f aca="false">MIN(N('My Debts'!$E$6),B321)</f>
        <v>0</v>
      </c>
      <c r="M321" s="39" t="n">
        <f aca="false">MIN(N('My Debts'!$E$7),C321)</f>
        <v>0</v>
      </c>
      <c r="N321" s="39" t="n">
        <f aca="false">MIN(N('My Debts'!$E$8),D321)</f>
        <v>0</v>
      </c>
      <c r="O321" s="39" t="n">
        <f aca="false">MIN(N('My Debts'!$E$9),E321)</f>
        <v>0</v>
      </c>
      <c r="P321" s="39" t="n">
        <f aca="false">MIN(N('My Debts'!$E$10),F321)</f>
        <v>0</v>
      </c>
      <c r="Q321" s="39" t="n">
        <f aca="false">MIN(N('My Debts'!$E$11),G321)</f>
        <v>0</v>
      </c>
      <c r="R321" s="39" t="n">
        <f aca="false">MIN(N('My Debts'!$E$12),H321)</f>
        <v>0</v>
      </c>
      <c r="S321" s="39" t="n">
        <f aca="false">MIN(N('My Debts'!$E$13),I321)</f>
        <v>0</v>
      </c>
      <c r="T321" s="39" t="n">
        <f aca="false">MIN(N('My Debts'!$E$14),J321)</f>
        <v>0</v>
      </c>
      <c r="U321" s="39" t="n">
        <f aca="false">MIN(N('My Debts'!$E$15),K321)</f>
        <v>0</v>
      </c>
      <c r="V321" s="39" t="n">
        <f aca="false">ROUND(B321-L321-MIN(B321-L321,MAX(0,$AF321-SUMPRODUCT(--($B$4:$K$4&lt;B$4),$B321:$K321-$L321:$U321))),2)</f>
        <v>0</v>
      </c>
      <c r="W321" s="39" t="n">
        <f aca="false">ROUND(C321-M321-MIN(C321-M321,MAX(0,$AF321-SUMPRODUCT(--($B$4:$K$4&lt;C$4),$B321:$K321-$L321:$U321))),2)</f>
        <v>0</v>
      </c>
      <c r="X321" s="39" t="n">
        <f aca="false">ROUND(D321-N321-MIN(D321-N321,MAX(0,$AF321-SUMPRODUCT(--($B$4:$K$4&lt;D$4),$B321:$K321-$L321:$U321))),2)</f>
        <v>0</v>
      </c>
      <c r="Y321" s="39" t="n">
        <f aca="false">ROUND(E321-O321-MIN(E321-O321,MAX(0,$AF321-SUMPRODUCT(--($B$4:$K$4&lt;E$4),$B321:$K321-$L321:$U321))),2)</f>
        <v>0</v>
      </c>
      <c r="Z321" s="39" t="n">
        <f aca="false">ROUND(F321-P321-MIN(F321-P321,MAX(0,$AF321-SUMPRODUCT(--($B$4:$K$4&lt;F$4),$B321:$K321-$L321:$U321))),2)</f>
        <v>0</v>
      </c>
      <c r="AA321" s="39" t="n">
        <f aca="false">ROUND(G321-Q321-MIN(G321-Q321,MAX(0,$AF321-SUMPRODUCT(--($B$4:$K$4&lt;G$4),$B321:$K321-$L321:$U321))),2)</f>
        <v>0</v>
      </c>
      <c r="AB321" s="39" t="n">
        <f aca="false">ROUND(H321-R321-MIN(H321-R321,MAX(0,$AF321-SUMPRODUCT(--($B$4:$K$4&lt;H$4),$B321:$K321-$L321:$U321))),2)</f>
        <v>0</v>
      </c>
      <c r="AC321" s="39" t="n">
        <f aca="false">ROUND(I321-S321-MIN(I321-S321,MAX(0,$AF321-SUMPRODUCT(--($B$4:$K$4&lt;I$4),$B321:$K321-$L321:$U321))),2)</f>
        <v>0</v>
      </c>
      <c r="AD321" s="39" t="n">
        <f aca="false">ROUND(J321-T321-MIN(J321-T321,MAX(0,$AF321-SUMPRODUCT(--($B$4:$K$4&lt;J$4),$B321:$K321-$L321:$U321))),2)</f>
        <v>0</v>
      </c>
      <c r="AE321" s="39" t="n">
        <f aca="false">ROUND(K321-U321-MIN(K321-U321,MAX(0,$AF321-SUMPRODUCT(--($B$4:$K$4&lt;K$4),$B321:$K321-$L321:$U321))),2)</f>
        <v>0</v>
      </c>
      <c r="AF321" s="39" t="n">
        <f aca="false">MAX(0,'Start Here'!$C$5-SUM($L321:$U321))</f>
        <v>1200</v>
      </c>
      <c r="AG321" s="39" t="n">
        <f aca="false">SUM(V321:AE321)</f>
        <v>0</v>
      </c>
      <c r="AH321" s="39" t="n">
        <f aca="false">SUM(B321:K321)-AG320</f>
        <v>0</v>
      </c>
    </row>
    <row r="322" customFormat="false" ht="15" hidden="false" customHeight="false" outlineLevel="0" collapsed="false">
      <c r="A322" s="40" t="n">
        <f aca="false">DATE(YEAR('Start Here'!$C$6),MONTH('Start Here'!$C$6)+315,1)</f>
        <v>55885</v>
      </c>
      <c r="B322" s="39" t="n">
        <f aca="false">ROUND(V321*(1+N('My Debts'!$D$6)/12),2)</f>
        <v>0</v>
      </c>
      <c r="C322" s="39" t="n">
        <f aca="false">ROUND(W321*(1+N('My Debts'!$D$7)/12),2)</f>
        <v>0</v>
      </c>
      <c r="D322" s="39" t="n">
        <f aca="false">ROUND(X321*(1+N('My Debts'!$D$8)/12),2)</f>
        <v>0</v>
      </c>
      <c r="E322" s="39" t="n">
        <f aca="false">ROUND(Y321*(1+N('My Debts'!$D$9)/12),2)</f>
        <v>0</v>
      </c>
      <c r="F322" s="39" t="n">
        <f aca="false">ROUND(Z321*(1+N('My Debts'!$D$10)/12),2)</f>
        <v>0</v>
      </c>
      <c r="G322" s="39" t="n">
        <f aca="false">ROUND(AA321*(1+N('My Debts'!$D$11)/12),2)</f>
        <v>0</v>
      </c>
      <c r="H322" s="39" t="n">
        <f aca="false">ROUND(AB321*(1+N('My Debts'!$D$12)/12),2)</f>
        <v>0</v>
      </c>
      <c r="I322" s="39" t="n">
        <f aca="false">ROUND(AC321*(1+N('My Debts'!$D$13)/12),2)</f>
        <v>0</v>
      </c>
      <c r="J322" s="39" t="n">
        <f aca="false">ROUND(AD321*(1+N('My Debts'!$D$14)/12),2)</f>
        <v>0</v>
      </c>
      <c r="K322" s="39" t="n">
        <f aca="false">ROUND(AE321*(1+N('My Debts'!$D$15)/12),2)</f>
        <v>0</v>
      </c>
      <c r="L322" s="39" t="n">
        <f aca="false">MIN(N('My Debts'!$E$6),B322)</f>
        <v>0</v>
      </c>
      <c r="M322" s="39" t="n">
        <f aca="false">MIN(N('My Debts'!$E$7),C322)</f>
        <v>0</v>
      </c>
      <c r="N322" s="39" t="n">
        <f aca="false">MIN(N('My Debts'!$E$8),D322)</f>
        <v>0</v>
      </c>
      <c r="O322" s="39" t="n">
        <f aca="false">MIN(N('My Debts'!$E$9),E322)</f>
        <v>0</v>
      </c>
      <c r="P322" s="39" t="n">
        <f aca="false">MIN(N('My Debts'!$E$10),F322)</f>
        <v>0</v>
      </c>
      <c r="Q322" s="39" t="n">
        <f aca="false">MIN(N('My Debts'!$E$11),G322)</f>
        <v>0</v>
      </c>
      <c r="R322" s="39" t="n">
        <f aca="false">MIN(N('My Debts'!$E$12),H322)</f>
        <v>0</v>
      </c>
      <c r="S322" s="39" t="n">
        <f aca="false">MIN(N('My Debts'!$E$13),I322)</f>
        <v>0</v>
      </c>
      <c r="T322" s="39" t="n">
        <f aca="false">MIN(N('My Debts'!$E$14),J322)</f>
        <v>0</v>
      </c>
      <c r="U322" s="39" t="n">
        <f aca="false">MIN(N('My Debts'!$E$15),K322)</f>
        <v>0</v>
      </c>
      <c r="V322" s="39" t="n">
        <f aca="false">ROUND(B322-L322-MIN(B322-L322,MAX(0,$AF322-SUMPRODUCT(--($B$4:$K$4&lt;B$4),$B322:$K322-$L322:$U322))),2)</f>
        <v>0</v>
      </c>
      <c r="W322" s="39" t="n">
        <f aca="false">ROUND(C322-M322-MIN(C322-M322,MAX(0,$AF322-SUMPRODUCT(--($B$4:$K$4&lt;C$4),$B322:$K322-$L322:$U322))),2)</f>
        <v>0</v>
      </c>
      <c r="X322" s="39" t="n">
        <f aca="false">ROUND(D322-N322-MIN(D322-N322,MAX(0,$AF322-SUMPRODUCT(--($B$4:$K$4&lt;D$4),$B322:$K322-$L322:$U322))),2)</f>
        <v>0</v>
      </c>
      <c r="Y322" s="39" t="n">
        <f aca="false">ROUND(E322-O322-MIN(E322-O322,MAX(0,$AF322-SUMPRODUCT(--($B$4:$K$4&lt;E$4),$B322:$K322-$L322:$U322))),2)</f>
        <v>0</v>
      </c>
      <c r="Z322" s="39" t="n">
        <f aca="false">ROUND(F322-P322-MIN(F322-P322,MAX(0,$AF322-SUMPRODUCT(--($B$4:$K$4&lt;F$4),$B322:$K322-$L322:$U322))),2)</f>
        <v>0</v>
      </c>
      <c r="AA322" s="39" t="n">
        <f aca="false">ROUND(G322-Q322-MIN(G322-Q322,MAX(0,$AF322-SUMPRODUCT(--($B$4:$K$4&lt;G$4),$B322:$K322-$L322:$U322))),2)</f>
        <v>0</v>
      </c>
      <c r="AB322" s="39" t="n">
        <f aca="false">ROUND(H322-R322-MIN(H322-R322,MAX(0,$AF322-SUMPRODUCT(--($B$4:$K$4&lt;H$4),$B322:$K322-$L322:$U322))),2)</f>
        <v>0</v>
      </c>
      <c r="AC322" s="39" t="n">
        <f aca="false">ROUND(I322-S322-MIN(I322-S322,MAX(0,$AF322-SUMPRODUCT(--($B$4:$K$4&lt;I$4),$B322:$K322-$L322:$U322))),2)</f>
        <v>0</v>
      </c>
      <c r="AD322" s="39" t="n">
        <f aca="false">ROUND(J322-T322-MIN(J322-T322,MAX(0,$AF322-SUMPRODUCT(--($B$4:$K$4&lt;J$4),$B322:$K322-$L322:$U322))),2)</f>
        <v>0</v>
      </c>
      <c r="AE322" s="39" t="n">
        <f aca="false">ROUND(K322-U322-MIN(K322-U322,MAX(0,$AF322-SUMPRODUCT(--($B$4:$K$4&lt;K$4),$B322:$K322-$L322:$U322))),2)</f>
        <v>0</v>
      </c>
      <c r="AF322" s="39" t="n">
        <f aca="false">MAX(0,'Start Here'!$C$5-SUM($L322:$U322))</f>
        <v>1200</v>
      </c>
      <c r="AG322" s="39" t="n">
        <f aca="false">SUM(V322:AE322)</f>
        <v>0</v>
      </c>
      <c r="AH322" s="39" t="n">
        <f aca="false">SUM(B322:K322)-AG321</f>
        <v>0</v>
      </c>
    </row>
    <row r="323" customFormat="false" ht="15" hidden="false" customHeight="false" outlineLevel="0" collapsed="false">
      <c r="A323" s="40" t="n">
        <f aca="false">DATE(YEAR('Start Here'!$C$6),MONTH('Start Here'!$C$6)+316,1)</f>
        <v>55916</v>
      </c>
      <c r="B323" s="39" t="n">
        <f aca="false">ROUND(V322*(1+N('My Debts'!$D$6)/12),2)</f>
        <v>0</v>
      </c>
      <c r="C323" s="39" t="n">
        <f aca="false">ROUND(W322*(1+N('My Debts'!$D$7)/12),2)</f>
        <v>0</v>
      </c>
      <c r="D323" s="39" t="n">
        <f aca="false">ROUND(X322*(1+N('My Debts'!$D$8)/12),2)</f>
        <v>0</v>
      </c>
      <c r="E323" s="39" t="n">
        <f aca="false">ROUND(Y322*(1+N('My Debts'!$D$9)/12),2)</f>
        <v>0</v>
      </c>
      <c r="F323" s="39" t="n">
        <f aca="false">ROUND(Z322*(1+N('My Debts'!$D$10)/12),2)</f>
        <v>0</v>
      </c>
      <c r="G323" s="39" t="n">
        <f aca="false">ROUND(AA322*(1+N('My Debts'!$D$11)/12),2)</f>
        <v>0</v>
      </c>
      <c r="H323" s="39" t="n">
        <f aca="false">ROUND(AB322*(1+N('My Debts'!$D$12)/12),2)</f>
        <v>0</v>
      </c>
      <c r="I323" s="39" t="n">
        <f aca="false">ROUND(AC322*(1+N('My Debts'!$D$13)/12),2)</f>
        <v>0</v>
      </c>
      <c r="J323" s="39" t="n">
        <f aca="false">ROUND(AD322*(1+N('My Debts'!$D$14)/12),2)</f>
        <v>0</v>
      </c>
      <c r="K323" s="39" t="n">
        <f aca="false">ROUND(AE322*(1+N('My Debts'!$D$15)/12),2)</f>
        <v>0</v>
      </c>
      <c r="L323" s="39" t="n">
        <f aca="false">MIN(N('My Debts'!$E$6),B323)</f>
        <v>0</v>
      </c>
      <c r="M323" s="39" t="n">
        <f aca="false">MIN(N('My Debts'!$E$7),C323)</f>
        <v>0</v>
      </c>
      <c r="N323" s="39" t="n">
        <f aca="false">MIN(N('My Debts'!$E$8),D323)</f>
        <v>0</v>
      </c>
      <c r="O323" s="39" t="n">
        <f aca="false">MIN(N('My Debts'!$E$9),E323)</f>
        <v>0</v>
      </c>
      <c r="P323" s="39" t="n">
        <f aca="false">MIN(N('My Debts'!$E$10),F323)</f>
        <v>0</v>
      </c>
      <c r="Q323" s="39" t="n">
        <f aca="false">MIN(N('My Debts'!$E$11),G323)</f>
        <v>0</v>
      </c>
      <c r="R323" s="39" t="n">
        <f aca="false">MIN(N('My Debts'!$E$12),H323)</f>
        <v>0</v>
      </c>
      <c r="S323" s="39" t="n">
        <f aca="false">MIN(N('My Debts'!$E$13),I323)</f>
        <v>0</v>
      </c>
      <c r="T323" s="39" t="n">
        <f aca="false">MIN(N('My Debts'!$E$14),J323)</f>
        <v>0</v>
      </c>
      <c r="U323" s="39" t="n">
        <f aca="false">MIN(N('My Debts'!$E$15),K323)</f>
        <v>0</v>
      </c>
      <c r="V323" s="39" t="n">
        <f aca="false">ROUND(B323-L323-MIN(B323-L323,MAX(0,$AF323-SUMPRODUCT(--($B$4:$K$4&lt;B$4),$B323:$K323-$L323:$U323))),2)</f>
        <v>0</v>
      </c>
      <c r="W323" s="39" t="n">
        <f aca="false">ROUND(C323-M323-MIN(C323-M323,MAX(0,$AF323-SUMPRODUCT(--($B$4:$K$4&lt;C$4),$B323:$K323-$L323:$U323))),2)</f>
        <v>0</v>
      </c>
      <c r="X323" s="39" t="n">
        <f aca="false">ROUND(D323-N323-MIN(D323-N323,MAX(0,$AF323-SUMPRODUCT(--($B$4:$K$4&lt;D$4),$B323:$K323-$L323:$U323))),2)</f>
        <v>0</v>
      </c>
      <c r="Y323" s="39" t="n">
        <f aca="false">ROUND(E323-O323-MIN(E323-O323,MAX(0,$AF323-SUMPRODUCT(--($B$4:$K$4&lt;E$4),$B323:$K323-$L323:$U323))),2)</f>
        <v>0</v>
      </c>
      <c r="Z323" s="39" t="n">
        <f aca="false">ROUND(F323-P323-MIN(F323-P323,MAX(0,$AF323-SUMPRODUCT(--($B$4:$K$4&lt;F$4),$B323:$K323-$L323:$U323))),2)</f>
        <v>0</v>
      </c>
      <c r="AA323" s="39" t="n">
        <f aca="false">ROUND(G323-Q323-MIN(G323-Q323,MAX(0,$AF323-SUMPRODUCT(--($B$4:$K$4&lt;G$4),$B323:$K323-$L323:$U323))),2)</f>
        <v>0</v>
      </c>
      <c r="AB323" s="39" t="n">
        <f aca="false">ROUND(H323-R323-MIN(H323-R323,MAX(0,$AF323-SUMPRODUCT(--($B$4:$K$4&lt;H$4),$B323:$K323-$L323:$U323))),2)</f>
        <v>0</v>
      </c>
      <c r="AC323" s="39" t="n">
        <f aca="false">ROUND(I323-S323-MIN(I323-S323,MAX(0,$AF323-SUMPRODUCT(--($B$4:$K$4&lt;I$4),$B323:$K323-$L323:$U323))),2)</f>
        <v>0</v>
      </c>
      <c r="AD323" s="39" t="n">
        <f aca="false">ROUND(J323-T323-MIN(J323-T323,MAX(0,$AF323-SUMPRODUCT(--($B$4:$K$4&lt;J$4),$B323:$K323-$L323:$U323))),2)</f>
        <v>0</v>
      </c>
      <c r="AE323" s="39" t="n">
        <f aca="false">ROUND(K323-U323-MIN(K323-U323,MAX(0,$AF323-SUMPRODUCT(--($B$4:$K$4&lt;K$4),$B323:$K323-$L323:$U323))),2)</f>
        <v>0</v>
      </c>
      <c r="AF323" s="39" t="n">
        <f aca="false">MAX(0,'Start Here'!$C$5-SUM($L323:$U323))</f>
        <v>1200</v>
      </c>
      <c r="AG323" s="39" t="n">
        <f aca="false">SUM(V323:AE323)</f>
        <v>0</v>
      </c>
      <c r="AH323" s="39" t="n">
        <f aca="false">SUM(B323:K323)-AG322</f>
        <v>0</v>
      </c>
    </row>
    <row r="324" customFormat="false" ht="15" hidden="false" customHeight="false" outlineLevel="0" collapsed="false">
      <c r="A324" s="40" t="n">
        <f aca="false">DATE(YEAR('Start Here'!$C$6),MONTH('Start Here'!$C$6)+317,1)</f>
        <v>55944</v>
      </c>
      <c r="B324" s="39" t="n">
        <f aca="false">ROUND(V323*(1+N('My Debts'!$D$6)/12),2)</f>
        <v>0</v>
      </c>
      <c r="C324" s="39" t="n">
        <f aca="false">ROUND(W323*(1+N('My Debts'!$D$7)/12),2)</f>
        <v>0</v>
      </c>
      <c r="D324" s="39" t="n">
        <f aca="false">ROUND(X323*(1+N('My Debts'!$D$8)/12),2)</f>
        <v>0</v>
      </c>
      <c r="E324" s="39" t="n">
        <f aca="false">ROUND(Y323*(1+N('My Debts'!$D$9)/12),2)</f>
        <v>0</v>
      </c>
      <c r="F324" s="39" t="n">
        <f aca="false">ROUND(Z323*(1+N('My Debts'!$D$10)/12),2)</f>
        <v>0</v>
      </c>
      <c r="G324" s="39" t="n">
        <f aca="false">ROUND(AA323*(1+N('My Debts'!$D$11)/12),2)</f>
        <v>0</v>
      </c>
      <c r="H324" s="39" t="n">
        <f aca="false">ROUND(AB323*(1+N('My Debts'!$D$12)/12),2)</f>
        <v>0</v>
      </c>
      <c r="I324" s="39" t="n">
        <f aca="false">ROUND(AC323*(1+N('My Debts'!$D$13)/12),2)</f>
        <v>0</v>
      </c>
      <c r="J324" s="39" t="n">
        <f aca="false">ROUND(AD323*(1+N('My Debts'!$D$14)/12),2)</f>
        <v>0</v>
      </c>
      <c r="K324" s="39" t="n">
        <f aca="false">ROUND(AE323*(1+N('My Debts'!$D$15)/12),2)</f>
        <v>0</v>
      </c>
      <c r="L324" s="39" t="n">
        <f aca="false">MIN(N('My Debts'!$E$6),B324)</f>
        <v>0</v>
      </c>
      <c r="M324" s="39" t="n">
        <f aca="false">MIN(N('My Debts'!$E$7),C324)</f>
        <v>0</v>
      </c>
      <c r="N324" s="39" t="n">
        <f aca="false">MIN(N('My Debts'!$E$8),D324)</f>
        <v>0</v>
      </c>
      <c r="O324" s="39" t="n">
        <f aca="false">MIN(N('My Debts'!$E$9),E324)</f>
        <v>0</v>
      </c>
      <c r="P324" s="39" t="n">
        <f aca="false">MIN(N('My Debts'!$E$10),F324)</f>
        <v>0</v>
      </c>
      <c r="Q324" s="39" t="n">
        <f aca="false">MIN(N('My Debts'!$E$11),G324)</f>
        <v>0</v>
      </c>
      <c r="R324" s="39" t="n">
        <f aca="false">MIN(N('My Debts'!$E$12),H324)</f>
        <v>0</v>
      </c>
      <c r="S324" s="39" t="n">
        <f aca="false">MIN(N('My Debts'!$E$13),I324)</f>
        <v>0</v>
      </c>
      <c r="T324" s="39" t="n">
        <f aca="false">MIN(N('My Debts'!$E$14),J324)</f>
        <v>0</v>
      </c>
      <c r="U324" s="39" t="n">
        <f aca="false">MIN(N('My Debts'!$E$15),K324)</f>
        <v>0</v>
      </c>
      <c r="V324" s="39" t="n">
        <f aca="false">ROUND(B324-L324-MIN(B324-L324,MAX(0,$AF324-SUMPRODUCT(--($B$4:$K$4&lt;B$4),$B324:$K324-$L324:$U324))),2)</f>
        <v>0</v>
      </c>
      <c r="W324" s="39" t="n">
        <f aca="false">ROUND(C324-M324-MIN(C324-M324,MAX(0,$AF324-SUMPRODUCT(--($B$4:$K$4&lt;C$4),$B324:$K324-$L324:$U324))),2)</f>
        <v>0</v>
      </c>
      <c r="X324" s="39" t="n">
        <f aca="false">ROUND(D324-N324-MIN(D324-N324,MAX(0,$AF324-SUMPRODUCT(--($B$4:$K$4&lt;D$4),$B324:$K324-$L324:$U324))),2)</f>
        <v>0</v>
      </c>
      <c r="Y324" s="39" t="n">
        <f aca="false">ROUND(E324-O324-MIN(E324-O324,MAX(0,$AF324-SUMPRODUCT(--($B$4:$K$4&lt;E$4),$B324:$K324-$L324:$U324))),2)</f>
        <v>0</v>
      </c>
      <c r="Z324" s="39" t="n">
        <f aca="false">ROUND(F324-P324-MIN(F324-P324,MAX(0,$AF324-SUMPRODUCT(--($B$4:$K$4&lt;F$4),$B324:$K324-$L324:$U324))),2)</f>
        <v>0</v>
      </c>
      <c r="AA324" s="39" t="n">
        <f aca="false">ROUND(G324-Q324-MIN(G324-Q324,MAX(0,$AF324-SUMPRODUCT(--($B$4:$K$4&lt;G$4),$B324:$K324-$L324:$U324))),2)</f>
        <v>0</v>
      </c>
      <c r="AB324" s="39" t="n">
        <f aca="false">ROUND(H324-R324-MIN(H324-R324,MAX(0,$AF324-SUMPRODUCT(--($B$4:$K$4&lt;H$4),$B324:$K324-$L324:$U324))),2)</f>
        <v>0</v>
      </c>
      <c r="AC324" s="39" t="n">
        <f aca="false">ROUND(I324-S324-MIN(I324-S324,MAX(0,$AF324-SUMPRODUCT(--($B$4:$K$4&lt;I$4),$B324:$K324-$L324:$U324))),2)</f>
        <v>0</v>
      </c>
      <c r="AD324" s="39" t="n">
        <f aca="false">ROUND(J324-T324-MIN(J324-T324,MAX(0,$AF324-SUMPRODUCT(--($B$4:$K$4&lt;J$4),$B324:$K324-$L324:$U324))),2)</f>
        <v>0</v>
      </c>
      <c r="AE324" s="39" t="n">
        <f aca="false">ROUND(K324-U324-MIN(K324-U324,MAX(0,$AF324-SUMPRODUCT(--($B$4:$K$4&lt;K$4),$B324:$K324-$L324:$U324))),2)</f>
        <v>0</v>
      </c>
      <c r="AF324" s="39" t="n">
        <f aca="false">MAX(0,'Start Here'!$C$5-SUM($L324:$U324))</f>
        <v>1200</v>
      </c>
      <c r="AG324" s="39" t="n">
        <f aca="false">SUM(V324:AE324)</f>
        <v>0</v>
      </c>
      <c r="AH324" s="39" t="n">
        <f aca="false">SUM(B324:K324)-AG323</f>
        <v>0</v>
      </c>
    </row>
    <row r="325" customFormat="false" ht="15" hidden="false" customHeight="false" outlineLevel="0" collapsed="false">
      <c r="A325" s="40" t="n">
        <f aca="false">DATE(YEAR('Start Here'!$C$6),MONTH('Start Here'!$C$6)+318,1)</f>
        <v>55975</v>
      </c>
      <c r="B325" s="39" t="n">
        <f aca="false">ROUND(V324*(1+N('My Debts'!$D$6)/12),2)</f>
        <v>0</v>
      </c>
      <c r="C325" s="39" t="n">
        <f aca="false">ROUND(W324*(1+N('My Debts'!$D$7)/12),2)</f>
        <v>0</v>
      </c>
      <c r="D325" s="39" t="n">
        <f aca="false">ROUND(X324*(1+N('My Debts'!$D$8)/12),2)</f>
        <v>0</v>
      </c>
      <c r="E325" s="39" t="n">
        <f aca="false">ROUND(Y324*(1+N('My Debts'!$D$9)/12),2)</f>
        <v>0</v>
      </c>
      <c r="F325" s="39" t="n">
        <f aca="false">ROUND(Z324*(1+N('My Debts'!$D$10)/12),2)</f>
        <v>0</v>
      </c>
      <c r="G325" s="39" t="n">
        <f aca="false">ROUND(AA324*(1+N('My Debts'!$D$11)/12),2)</f>
        <v>0</v>
      </c>
      <c r="H325" s="39" t="n">
        <f aca="false">ROUND(AB324*(1+N('My Debts'!$D$12)/12),2)</f>
        <v>0</v>
      </c>
      <c r="I325" s="39" t="n">
        <f aca="false">ROUND(AC324*(1+N('My Debts'!$D$13)/12),2)</f>
        <v>0</v>
      </c>
      <c r="J325" s="39" t="n">
        <f aca="false">ROUND(AD324*(1+N('My Debts'!$D$14)/12),2)</f>
        <v>0</v>
      </c>
      <c r="K325" s="39" t="n">
        <f aca="false">ROUND(AE324*(1+N('My Debts'!$D$15)/12),2)</f>
        <v>0</v>
      </c>
      <c r="L325" s="39" t="n">
        <f aca="false">MIN(N('My Debts'!$E$6),B325)</f>
        <v>0</v>
      </c>
      <c r="M325" s="39" t="n">
        <f aca="false">MIN(N('My Debts'!$E$7),C325)</f>
        <v>0</v>
      </c>
      <c r="N325" s="39" t="n">
        <f aca="false">MIN(N('My Debts'!$E$8),D325)</f>
        <v>0</v>
      </c>
      <c r="O325" s="39" t="n">
        <f aca="false">MIN(N('My Debts'!$E$9),E325)</f>
        <v>0</v>
      </c>
      <c r="P325" s="39" t="n">
        <f aca="false">MIN(N('My Debts'!$E$10),F325)</f>
        <v>0</v>
      </c>
      <c r="Q325" s="39" t="n">
        <f aca="false">MIN(N('My Debts'!$E$11),G325)</f>
        <v>0</v>
      </c>
      <c r="R325" s="39" t="n">
        <f aca="false">MIN(N('My Debts'!$E$12),H325)</f>
        <v>0</v>
      </c>
      <c r="S325" s="39" t="n">
        <f aca="false">MIN(N('My Debts'!$E$13),I325)</f>
        <v>0</v>
      </c>
      <c r="T325" s="39" t="n">
        <f aca="false">MIN(N('My Debts'!$E$14),J325)</f>
        <v>0</v>
      </c>
      <c r="U325" s="39" t="n">
        <f aca="false">MIN(N('My Debts'!$E$15),K325)</f>
        <v>0</v>
      </c>
      <c r="V325" s="39" t="n">
        <f aca="false">ROUND(B325-L325-MIN(B325-L325,MAX(0,$AF325-SUMPRODUCT(--($B$4:$K$4&lt;B$4),$B325:$K325-$L325:$U325))),2)</f>
        <v>0</v>
      </c>
      <c r="W325" s="39" t="n">
        <f aca="false">ROUND(C325-M325-MIN(C325-M325,MAX(0,$AF325-SUMPRODUCT(--($B$4:$K$4&lt;C$4),$B325:$K325-$L325:$U325))),2)</f>
        <v>0</v>
      </c>
      <c r="X325" s="39" t="n">
        <f aca="false">ROUND(D325-N325-MIN(D325-N325,MAX(0,$AF325-SUMPRODUCT(--($B$4:$K$4&lt;D$4),$B325:$K325-$L325:$U325))),2)</f>
        <v>0</v>
      </c>
      <c r="Y325" s="39" t="n">
        <f aca="false">ROUND(E325-O325-MIN(E325-O325,MAX(0,$AF325-SUMPRODUCT(--($B$4:$K$4&lt;E$4),$B325:$K325-$L325:$U325))),2)</f>
        <v>0</v>
      </c>
      <c r="Z325" s="39" t="n">
        <f aca="false">ROUND(F325-P325-MIN(F325-P325,MAX(0,$AF325-SUMPRODUCT(--($B$4:$K$4&lt;F$4),$B325:$K325-$L325:$U325))),2)</f>
        <v>0</v>
      </c>
      <c r="AA325" s="39" t="n">
        <f aca="false">ROUND(G325-Q325-MIN(G325-Q325,MAX(0,$AF325-SUMPRODUCT(--($B$4:$K$4&lt;G$4),$B325:$K325-$L325:$U325))),2)</f>
        <v>0</v>
      </c>
      <c r="AB325" s="39" t="n">
        <f aca="false">ROUND(H325-R325-MIN(H325-R325,MAX(0,$AF325-SUMPRODUCT(--($B$4:$K$4&lt;H$4),$B325:$K325-$L325:$U325))),2)</f>
        <v>0</v>
      </c>
      <c r="AC325" s="39" t="n">
        <f aca="false">ROUND(I325-S325-MIN(I325-S325,MAX(0,$AF325-SUMPRODUCT(--($B$4:$K$4&lt;I$4),$B325:$K325-$L325:$U325))),2)</f>
        <v>0</v>
      </c>
      <c r="AD325" s="39" t="n">
        <f aca="false">ROUND(J325-T325-MIN(J325-T325,MAX(0,$AF325-SUMPRODUCT(--($B$4:$K$4&lt;J$4),$B325:$K325-$L325:$U325))),2)</f>
        <v>0</v>
      </c>
      <c r="AE325" s="39" t="n">
        <f aca="false">ROUND(K325-U325-MIN(K325-U325,MAX(0,$AF325-SUMPRODUCT(--($B$4:$K$4&lt;K$4),$B325:$K325-$L325:$U325))),2)</f>
        <v>0</v>
      </c>
      <c r="AF325" s="39" t="n">
        <f aca="false">MAX(0,'Start Here'!$C$5-SUM($L325:$U325))</f>
        <v>1200</v>
      </c>
      <c r="AG325" s="39" t="n">
        <f aca="false">SUM(V325:AE325)</f>
        <v>0</v>
      </c>
      <c r="AH325" s="39" t="n">
        <f aca="false">SUM(B325:K325)-AG324</f>
        <v>0</v>
      </c>
    </row>
    <row r="326" customFormat="false" ht="15" hidden="false" customHeight="false" outlineLevel="0" collapsed="false">
      <c r="A326" s="40" t="n">
        <f aca="false">DATE(YEAR('Start Here'!$C$6),MONTH('Start Here'!$C$6)+319,1)</f>
        <v>56005</v>
      </c>
      <c r="B326" s="39" t="n">
        <f aca="false">ROUND(V325*(1+N('My Debts'!$D$6)/12),2)</f>
        <v>0</v>
      </c>
      <c r="C326" s="39" t="n">
        <f aca="false">ROUND(W325*(1+N('My Debts'!$D$7)/12),2)</f>
        <v>0</v>
      </c>
      <c r="D326" s="39" t="n">
        <f aca="false">ROUND(X325*(1+N('My Debts'!$D$8)/12),2)</f>
        <v>0</v>
      </c>
      <c r="E326" s="39" t="n">
        <f aca="false">ROUND(Y325*(1+N('My Debts'!$D$9)/12),2)</f>
        <v>0</v>
      </c>
      <c r="F326" s="39" t="n">
        <f aca="false">ROUND(Z325*(1+N('My Debts'!$D$10)/12),2)</f>
        <v>0</v>
      </c>
      <c r="G326" s="39" t="n">
        <f aca="false">ROUND(AA325*(1+N('My Debts'!$D$11)/12),2)</f>
        <v>0</v>
      </c>
      <c r="H326" s="39" t="n">
        <f aca="false">ROUND(AB325*(1+N('My Debts'!$D$12)/12),2)</f>
        <v>0</v>
      </c>
      <c r="I326" s="39" t="n">
        <f aca="false">ROUND(AC325*(1+N('My Debts'!$D$13)/12),2)</f>
        <v>0</v>
      </c>
      <c r="J326" s="39" t="n">
        <f aca="false">ROUND(AD325*(1+N('My Debts'!$D$14)/12),2)</f>
        <v>0</v>
      </c>
      <c r="K326" s="39" t="n">
        <f aca="false">ROUND(AE325*(1+N('My Debts'!$D$15)/12),2)</f>
        <v>0</v>
      </c>
      <c r="L326" s="39" t="n">
        <f aca="false">MIN(N('My Debts'!$E$6),B326)</f>
        <v>0</v>
      </c>
      <c r="M326" s="39" t="n">
        <f aca="false">MIN(N('My Debts'!$E$7),C326)</f>
        <v>0</v>
      </c>
      <c r="N326" s="39" t="n">
        <f aca="false">MIN(N('My Debts'!$E$8),D326)</f>
        <v>0</v>
      </c>
      <c r="O326" s="39" t="n">
        <f aca="false">MIN(N('My Debts'!$E$9),E326)</f>
        <v>0</v>
      </c>
      <c r="P326" s="39" t="n">
        <f aca="false">MIN(N('My Debts'!$E$10),F326)</f>
        <v>0</v>
      </c>
      <c r="Q326" s="39" t="n">
        <f aca="false">MIN(N('My Debts'!$E$11),G326)</f>
        <v>0</v>
      </c>
      <c r="R326" s="39" t="n">
        <f aca="false">MIN(N('My Debts'!$E$12),H326)</f>
        <v>0</v>
      </c>
      <c r="S326" s="39" t="n">
        <f aca="false">MIN(N('My Debts'!$E$13),I326)</f>
        <v>0</v>
      </c>
      <c r="T326" s="39" t="n">
        <f aca="false">MIN(N('My Debts'!$E$14),J326)</f>
        <v>0</v>
      </c>
      <c r="U326" s="39" t="n">
        <f aca="false">MIN(N('My Debts'!$E$15),K326)</f>
        <v>0</v>
      </c>
      <c r="V326" s="39" t="n">
        <f aca="false">ROUND(B326-L326-MIN(B326-L326,MAX(0,$AF326-SUMPRODUCT(--($B$4:$K$4&lt;B$4),$B326:$K326-$L326:$U326))),2)</f>
        <v>0</v>
      </c>
      <c r="W326" s="39" t="n">
        <f aca="false">ROUND(C326-M326-MIN(C326-M326,MAX(0,$AF326-SUMPRODUCT(--($B$4:$K$4&lt;C$4),$B326:$K326-$L326:$U326))),2)</f>
        <v>0</v>
      </c>
      <c r="X326" s="39" t="n">
        <f aca="false">ROUND(D326-N326-MIN(D326-N326,MAX(0,$AF326-SUMPRODUCT(--($B$4:$K$4&lt;D$4),$B326:$K326-$L326:$U326))),2)</f>
        <v>0</v>
      </c>
      <c r="Y326" s="39" t="n">
        <f aca="false">ROUND(E326-O326-MIN(E326-O326,MAX(0,$AF326-SUMPRODUCT(--($B$4:$K$4&lt;E$4),$B326:$K326-$L326:$U326))),2)</f>
        <v>0</v>
      </c>
      <c r="Z326" s="39" t="n">
        <f aca="false">ROUND(F326-P326-MIN(F326-P326,MAX(0,$AF326-SUMPRODUCT(--($B$4:$K$4&lt;F$4),$B326:$K326-$L326:$U326))),2)</f>
        <v>0</v>
      </c>
      <c r="AA326" s="39" t="n">
        <f aca="false">ROUND(G326-Q326-MIN(G326-Q326,MAX(0,$AF326-SUMPRODUCT(--($B$4:$K$4&lt;G$4),$B326:$K326-$L326:$U326))),2)</f>
        <v>0</v>
      </c>
      <c r="AB326" s="39" t="n">
        <f aca="false">ROUND(H326-R326-MIN(H326-R326,MAX(0,$AF326-SUMPRODUCT(--($B$4:$K$4&lt;H$4),$B326:$K326-$L326:$U326))),2)</f>
        <v>0</v>
      </c>
      <c r="AC326" s="39" t="n">
        <f aca="false">ROUND(I326-S326-MIN(I326-S326,MAX(0,$AF326-SUMPRODUCT(--($B$4:$K$4&lt;I$4),$B326:$K326-$L326:$U326))),2)</f>
        <v>0</v>
      </c>
      <c r="AD326" s="39" t="n">
        <f aca="false">ROUND(J326-T326-MIN(J326-T326,MAX(0,$AF326-SUMPRODUCT(--($B$4:$K$4&lt;J$4),$B326:$K326-$L326:$U326))),2)</f>
        <v>0</v>
      </c>
      <c r="AE326" s="39" t="n">
        <f aca="false">ROUND(K326-U326-MIN(K326-U326,MAX(0,$AF326-SUMPRODUCT(--($B$4:$K$4&lt;K$4),$B326:$K326-$L326:$U326))),2)</f>
        <v>0</v>
      </c>
      <c r="AF326" s="39" t="n">
        <f aca="false">MAX(0,'Start Here'!$C$5-SUM($L326:$U326))</f>
        <v>1200</v>
      </c>
      <c r="AG326" s="39" t="n">
        <f aca="false">SUM(V326:AE326)</f>
        <v>0</v>
      </c>
      <c r="AH326" s="39" t="n">
        <f aca="false">SUM(B326:K326)-AG325</f>
        <v>0</v>
      </c>
    </row>
    <row r="327" customFormat="false" ht="15" hidden="false" customHeight="false" outlineLevel="0" collapsed="false">
      <c r="A327" s="40" t="n">
        <f aca="false">DATE(YEAR('Start Here'!$C$6),MONTH('Start Here'!$C$6)+320,1)</f>
        <v>56036</v>
      </c>
      <c r="B327" s="39" t="n">
        <f aca="false">ROUND(V326*(1+N('My Debts'!$D$6)/12),2)</f>
        <v>0</v>
      </c>
      <c r="C327" s="39" t="n">
        <f aca="false">ROUND(W326*(1+N('My Debts'!$D$7)/12),2)</f>
        <v>0</v>
      </c>
      <c r="D327" s="39" t="n">
        <f aca="false">ROUND(X326*(1+N('My Debts'!$D$8)/12),2)</f>
        <v>0</v>
      </c>
      <c r="E327" s="39" t="n">
        <f aca="false">ROUND(Y326*(1+N('My Debts'!$D$9)/12),2)</f>
        <v>0</v>
      </c>
      <c r="F327" s="39" t="n">
        <f aca="false">ROUND(Z326*(1+N('My Debts'!$D$10)/12),2)</f>
        <v>0</v>
      </c>
      <c r="G327" s="39" t="n">
        <f aca="false">ROUND(AA326*(1+N('My Debts'!$D$11)/12),2)</f>
        <v>0</v>
      </c>
      <c r="H327" s="39" t="n">
        <f aca="false">ROUND(AB326*(1+N('My Debts'!$D$12)/12),2)</f>
        <v>0</v>
      </c>
      <c r="I327" s="39" t="n">
        <f aca="false">ROUND(AC326*(1+N('My Debts'!$D$13)/12),2)</f>
        <v>0</v>
      </c>
      <c r="J327" s="39" t="n">
        <f aca="false">ROUND(AD326*(1+N('My Debts'!$D$14)/12),2)</f>
        <v>0</v>
      </c>
      <c r="K327" s="39" t="n">
        <f aca="false">ROUND(AE326*(1+N('My Debts'!$D$15)/12),2)</f>
        <v>0</v>
      </c>
      <c r="L327" s="39" t="n">
        <f aca="false">MIN(N('My Debts'!$E$6),B327)</f>
        <v>0</v>
      </c>
      <c r="M327" s="39" t="n">
        <f aca="false">MIN(N('My Debts'!$E$7),C327)</f>
        <v>0</v>
      </c>
      <c r="N327" s="39" t="n">
        <f aca="false">MIN(N('My Debts'!$E$8),D327)</f>
        <v>0</v>
      </c>
      <c r="O327" s="39" t="n">
        <f aca="false">MIN(N('My Debts'!$E$9),E327)</f>
        <v>0</v>
      </c>
      <c r="P327" s="39" t="n">
        <f aca="false">MIN(N('My Debts'!$E$10),F327)</f>
        <v>0</v>
      </c>
      <c r="Q327" s="39" t="n">
        <f aca="false">MIN(N('My Debts'!$E$11),G327)</f>
        <v>0</v>
      </c>
      <c r="R327" s="39" t="n">
        <f aca="false">MIN(N('My Debts'!$E$12),H327)</f>
        <v>0</v>
      </c>
      <c r="S327" s="39" t="n">
        <f aca="false">MIN(N('My Debts'!$E$13),I327)</f>
        <v>0</v>
      </c>
      <c r="T327" s="39" t="n">
        <f aca="false">MIN(N('My Debts'!$E$14),J327)</f>
        <v>0</v>
      </c>
      <c r="U327" s="39" t="n">
        <f aca="false">MIN(N('My Debts'!$E$15),K327)</f>
        <v>0</v>
      </c>
      <c r="V327" s="39" t="n">
        <f aca="false">ROUND(B327-L327-MIN(B327-L327,MAX(0,$AF327-SUMPRODUCT(--($B$4:$K$4&lt;B$4),$B327:$K327-$L327:$U327))),2)</f>
        <v>0</v>
      </c>
      <c r="W327" s="39" t="n">
        <f aca="false">ROUND(C327-M327-MIN(C327-M327,MAX(0,$AF327-SUMPRODUCT(--($B$4:$K$4&lt;C$4),$B327:$K327-$L327:$U327))),2)</f>
        <v>0</v>
      </c>
      <c r="X327" s="39" t="n">
        <f aca="false">ROUND(D327-N327-MIN(D327-N327,MAX(0,$AF327-SUMPRODUCT(--($B$4:$K$4&lt;D$4),$B327:$K327-$L327:$U327))),2)</f>
        <v>0</v>
      </c>
      <c r="Y327" s="39" t="n">
        <f aca="false">ROUND(E327-O327-MIN(E327-O327,MAX(0,$AF327-SUMPRODUCT(--($B$4:$K$4&lt;E$4),$B327:$K327-$L327:$U327))),2)</f>
        <v>0</v>
      </c>
      <c r="Z327" s="39" t="n">
        <f aca="false">ROUND(F327-P327-MIN(F327-P327,MAX(0,$AF327-SUMPRODUCT(--($B$4:$K$4&lt;F$4),$B327:$K327-$L327:$U327))),2)</f>
        <v>0</v>
      </c>
      <c r="AA327" s="39" t="n">
        <f aca="false">ROUND(G327-Q327-MIN(G327-Q327,MAX(0,$AF327-SUMPRODUCT(--($B$4:$K$4&lt;G$4),$B327:$K327-$L327:$U327))),2)</f>
        <v>0</v>
      </c>
      <c r="AB327" s="39" t="n">
        <f aca="false">ROUND(H327-R327-MIN(H327-R327,MAX(0,$AF327-SUMPRODUCT(--($B$4:$K$4&lt;H$4),$B327:$K327-$L327:$U327))),2)</f>
        <v>0</v>
      </c>
      <c r="AC327" s="39" t="n">
        <f aca="false">ROUND(I327-S327-MIN(I327-S327,MAX(0,$AF327-SUMPRODUCT(--($B$4:$K$4&lt;I$4),$B327:$K327-$L327:$U327))),2)</f>
        <v>0</v>
      </c>
      <c r="AD327" s="39" t="n">
        <f aca="false">ROUND(J327-T327-MIN(J327-T327,MAX(0,$AF327-SUMPRODUCT(--($B$4:$K$4&lt;J$4),$B327:$K327-$L327:$U327))),2)</f>
        <v>0</v>
      </c>
      <c r="AE327" s="39" t="n">
        <f aca="false">ROUND(K327-U327-MIN(K327-U327,MAX(0,$AF327-SUMPRODUCT(--($B$4:$K$4&lt;K$4),$B327:$K327-$L327:$U327))),2)</f>
        <v>0</v>
      </c>
      <c r="AF327" s="39" t="n">
        <f aca="false">MAX(0,'Start Here'!$C$5-SUM($L327:$U327))</f>
        <v>1200</v>
      </c>
      <c r="AG327" s="39" t="n">
        <f aca="false">SUM(V327:AE327)</f>
        <v>0</v>
      </c>
      <c r="AH327" s="39" t="n">
        <f aca="false">SUM(B327:K327)-AG326</f>
        <v>0</v>
      </c>
    </row>
    <row r="328" customFormat="false" ht="15" hidden="false" customHeight="false" outlineLevel="0" collapsed="false">
      <c r="A328" s="40" t="n">
        <f aca="false">DATE(YEAR('Start Here'!$C$6),MONTH('Start Here'!$C$6)+321,1)</f>
        <v>56066</v>
      </c>
      <c r="B328" s="39" t="n">
        <f aca="false">ROUND(V327*(1+N('My Debts'!$D$6)/12),2)</f>
        <v>0</v>
      </c>
      <c r="C328" s="39" t="n">
        <f aca="false">ROUND(W327*(1+N('My Debts'!$D$7)/12),2)</f>
        <v>0</v>
      </c>
      <c r="D328" s="39" t="n">
        <f aca="false">ROUND(X327*(1+N('My Debts'!$D$8)/12),2)</f>
        <v>0</v>
      </c>
      <c r="E328" s="39" t="n">
        <f aca="false">ROUND(Y327*(1+N('My Debts'!$D$9)/12),2)</f>
        <v>0</v>
      </c>
      <c r="F328" s="39" t="n">
        <f aca="false">ROUND(Z327*(1+N('My Debts'!$D$10)/12),2)</f>
        <v>0</v>
      </c>
      <c r="G328" s="39" t="n">
        <f aca="false">ROUND(AA327*(1+N('My Debts'!$D$11)/12),2)</f>
        <v>0</v>
      </c>
      <c r="H328" s="39" t="n">
        <f aca="false">ROUND(AB327*(1+N('My Debts'!$D$12)/12),2)</f>
        <v>0</v>
      </c>
      <c r="I328" s="39" t="n">
        <f aca="false">ROUND(AC327*(1+N('My Debts'!$D$13)/12),2)</f>
        <v>0</v>
      </c>
      <c r="J328" s="39" t="n">
        <f aca="false">ROUND(AD327*(1+N('My Debts'!$D$14)/12),2)</f>
        <v>0</v>
      </c>
      <c r="K328" s="39" t="n">
        <f aca="false">ROUND(AE327*(1+N('My Debts'!$D$15)/12),2)</f>
        <v>0</v>
      </c>
      <c r="L328" s="39" t="n">
        <f aca="false">MIN(N('My Debts'!$E$6),B328)</f>
        <v>0</v>
      </c>
      <c r="M328" s="39" t="n">
        <f aca="false">MIN(N('My Debts'!$E$7),C328)</f>
        <v>0</v>
      </c>
      <c r="N328" s="39" t="n">
        <f aca="false">MIN(N('My Debts'!$E$8),D328)</f>
        <v>0</v>
      </c>
      <c r="O328" s="39" t="n">
        <f aca="false">MIN(N('My Debts'!$E$9),E328)</f>
        <v>0</v>
      </c>
      <c r="P328" s="39" t="n">
        <f aca="false">MIN(N('My Debts'!$E$10),F328)</f>
        <v>0</v>
      </c>
      <c r="Q328" s="39" t="n">
        <f aca="false">MIN(N('My Debts'!$E$11),G328)</f>
        <v>0</v>
      </c>
      <c r="R328" s="39" t="n">
        <f aca="false">MIN(N('My Debts'!$E$12),H328)</f>
        <v>0</v>
      </c>
      <c r="S328" s="39" t="n">
        <f aca="false">MIN(N('My Debts'!$E$13),I328)</f>
        <v>0</v>
      </c>
      <c r="T328" s="39" t="n">
        <f aca="false">MIN(N('My Debts'!$E$14),J328)</f>
        <v>0</v>
      </c>
      <c r="U328" s="39" t="n">
        <f aca="false">MIN(N('My Debts'!$E$15),K328)</f>
        <v>0</v>
      </c>
      <c r="V328" s="39" t="n">
        <f aca="false">ROUND(B328-L328-MIN(B328-L328,MAX(0,$AF328-SUMPRODUCT(--($B$4:$K$4&lt;B$4),$B328:$K328-$L328:$U328))),2)</f>
        <v>0</v>
      </c>
      <c r="W328" s="39" t="n">
        <f aca="false">ROUND(C328-M328-MIN(C328-M328,MAX(0,$AF328-SUMPRODUCT(--($B$4:$K$4&lt;C$4),$B328:$K328-$L328:$U328))),2)</f>
        <v>0</v>
      </c>
      <c r="X328" s="39" t="n">
        <f aca="false">ROUND(D328-N328-MIN(D328-N328,MAX(0,$AF328-SUMPRODUCT(--($B$4:$K$4&lt;D$4),$B328:$K328-$L328:$U328))),2)</f>
        <v>0</v>
      </c>
      <c r="Y328" s="39" t="n">
        <f aca="false">ROUND(E328-O328-MIN(E328-O328,MAX(0,$AF328-SUMPRODUCT(--($B$4:$K$4&lt;E$4),$B328:$K328-$L328:$U328))),2)</f>
        <v>0</v>
      </c>
      <c r="Z328" s="39" t="n">
        <f aca="false">ROUND(F328-P328-MIN(F328-P328,MAX(0,$AF328-SUMPRODUCT(--($B$4:$K$4&lt;F$4),$B328:$K328-$L328:$U328))),2)</f>
        <v>0</v>
      </c>
      <c r="AA328" s="39" t="n">
        <f aca="false">ROUND(G328-Q328-MIN(G328-Q328,MAX(0,$AF328-SUMPRODUCT(--($B$4:$K$4&lt;G$4),$B328:$K328-$L328:$U328))),2)</f>
        <v>0</v>
      </c>
      <c r="AB328" s="39" t="n">
        <f aca="false">ROUND(H328-R328-MIN(H328-R328,MAX(0,$AF328-SUMPRODUCT(--($B$4:$K$4&lt;H$4),$B328:$K328-$L328:$U328))),2)</f>
        <v>0</v>
      </c>
      <c r="AC328" s="39" t="n">
        <f aca="false">ROUND(I328-S328-MIN(I328-S328,MAX(0,$AF328-SUMPRODUCT(--($B$4:$K$4&lt;I$4),$B328:$K328-$L328:$U328))),2)</f>
        <v>0</v>
      </c>
      <c r="AD328" s="39" t="n">
        <f aca="false">ROUND(J328-T328-MIN(J328-T328,MAX(0,$AF328-SUMPRODUCT(--($B$4:$K$4&lt;J$4),$B328:$K328-$L328:$U328))),2)</f>
        <v>0</v>
      </c>
      <c r="AE328" s="39" t="n">
        <f aca="false">ROUND(K328-U328-MIN(K328-U328,MAX(0,$AF328-SUMPRODUCT(--($B$4:$K$4&lt;K$4),$B328:$K328-$L328:$U328))),2)</f>
        <v>0</v>
      </c>
      <c r="AF328" s="39" t="n">
        <f aca="false">MAX(0,'Start Here'!$C$5-SUM($L328:$U328))</f>
        <v>1200</v>
      </c>
      <c r="AG328" s="39" t="n">
        <f aca="false">SUM(V328:AE328)</f>
        <v>0</v>
      </c>
      <c r="AH328" s="39" t="n">
        <f aca="false">SUM(B328:K328)-AG327</f>
        <v>0</v>
      </c>
    </row>
    <row r="329" customFormat="false" ht="15" hidden="false" customHeight="false" outlineLevel="0" collapsed="false">
      <c r="A329" s="40" t="n">
        <f aca="false">DATE(YEAR('Start Here'!$C$6),MONTH('Start Here'!$C$6)+322,1)</f>
        <v>56097</v>
      </c>
      <c r="B329" s="39" t="n">
        <f aca="false">ROUND(V328*(1+N('My Debts'!$D$6)/12),2)</f>
        <v>0</v>
      </c>
      <c r="C329" s="39" t="n">
        <f aca="false">ROUND(W328*(1+N('My Debts'!$D$7)/12),2)</f>
        <v>0</v>
      </c>
      <c r="D329" s="39" t="n">
        <f aca="false">ROUND(X328*(1+N('My Debts'!$D$8)/12),2)</f>
        <v>0</v>
      </c>
      <c r="E329" s="39" t="n">
        <f aca="false">ROUND(Y328*(1+N('My Debts'!$D$9)/12),2)</f>
        <v>0</v>
      </c>
      <c r="F329" s="39" t="n">
        <f aca="false">ROUND(Z328*(1+N('My Debts'!$D$10)/12),2)</f>
        <v>0</v>
      </c>
      <c r="G329" s="39" t="n">
        <f aca="false">ROUND(AA328*(1+N('My Debts'!$D$11)/12),2)</f>
        <v>0</v>
      </c>
      <c r="H329" s="39" t="n">
        <f aca="false">ROUND(AB328*(1+N('My Debts'!$D$12)/12),2)</f>
        <v>0</v>
      </c>
      <c r="I329" s="39" t="n">
        <f aca="false">ROUND(AC328*(1+N('My Debts'!$D$13)/12),2)</f>
        <v>0</v>
      </c>
      <c r="J329" s="39" t="n">
        <f aca="false">ROUND(AD328*(1+N('My Debts'!$D$14)/12),2)</f>
        <v>0</v>
      </c>
      <c r="K329" s="39" t="n">
        <f aca="false">ROUND(AE328*(1+N('My Debts'!$D$15)/12),2)</f>
        <v>0</v>
      </c>
      <c r="L329" s="39" t="n">
        <f aca="false">MIN(N('My Debts'!$E$6),B329)</f>
        <v>0</v>
      </c>
      <c r="M329" s="39" t="n">
        <f aca="false">MIN(N('My Debts'!$E$7),C329)</f>
        <v>0</v>
      </c>
      <c r="N329" s="39" t="n">
        <f aca="false">MIN(N('My Debts'!$E$8),D329)</f>
        <v>0</v>
      </c>
      <c r="O329" s="39" t="n">
        <f aca="false">MIN(N('My Debts'!$E$9),E329)</f>
        <v>0</v>
      </c>
      <c r="P329" s="39" t="n">
        <f aca="false">MIN(N('My Debts'!$E$10),F329)</f>
        <v>0</v>
      </c>
      <c r="Q329" s="39" t="n">
        <f aca="false">MIN(N('My Debts'!$E$11),G329)</f>
        <v>0</v>
      </c>
      <c r="R329" s="39" t="n">
        <f aca="false">MIN(N('My Debts'!$E$12),H329)</f>
        <v>0</v>
      </c>
      <c r="S329" s="39" t="n">
        <f aca="false">MIN(N('My Debts'!$E$13),I329)</f>
        <v>0</v>
      </c>
      <c r="T329" s="39" t="n">
        <f aca="false">MIN(N('My Debts'!$E$14),J329)</f>
        <v>0</v>
      </c>
      <c r="U329" s="39" t="n">
        <f aca="false">MIN(N('My Debts'!$E$15),K329)</f>
        <v>0</v>
      </c>
      <c r="V329" s="39" t="n">
        <f aca="false">ROUND(B329-L329-MIN(B329-L329,MAX(0,$AF329-SUMPRODUCT(--($B$4:$K$4&lt;B$4),$B329:$K329-$L329:$U329))),2)</f>
        <v>0</v>
      </c>
      <c r="W329" s="39" t="n">
        <f aca="false">ROUND(C329-M329-MIN(C329-M329,MAX(0,$AF329-SUMPRODUCT(--($B$4:$K$4&lt;C$4),$B329:$K329-$L329:$U329))),2)</f>
        <v>0</v>
      </c>
      <c r="X329" s="39" t="n">
        <f aca="false">ROUND(D329-N329-MIN(D329-N329,MAX(0,$AF329-SUMPRODUCT(--($B$4:$K$4&lt;D$4),$B329:$K329-$L329:$U329))),2)</f>
        <v>0</v>
      </c>
      <c r="Y329" s="39" t="n">
        <f aca="false">ROUND(E329-O329-MIN(E329-O329,MAX(0,$AF329-SUMPRODUCT(--($B$4:$K$4&lt;E$4),$B329:$K329-$L329:$U329))),2)</f>
        <v>0</v>
      </c>
      <c r="Z329" s="39" t="n">
        <f aca="false">ROUND(F329-P329-MIN(F329-P329,MAX(0,$AF329-SUMPRODUCT(--($B$4:$K$4&lt;F$4),$B329:$K329-$L329:$U329))),2)</f>
        <v>0</v>
      </c>
      <c r="AA329" s="39" t="n">
        <f aca="false">ROUND(G329-Q329-MIN(G329-Q329,MAX(0,$AF329-SUMPRODUCT(--($B$4:$K$4&lt;G$4),$B329:$K329-$L329:$U329))),2)</f>
        <v>0</v>
      </c>
      <c r="AB329" s="39" t="n">
        <f aca="false">ROUND(H329-R329-MIN(H329-R329,MAX(0,$AF329-SUMPRODUCT(--($B$4:$K$4&lt;H$4),$B329:$K329-$L329:$U329))),2)</f>
        <v>0</v>
      </c>
      <c r="AC329" s="39" t="n">
        <f aca="false">ROUND(I329-S329-MIN(I329-S329,MAX(0,$AF329-SUMPRODUCT(--($B$4:$K$4&lt;I$4),$B329:$K329-$L329:$U329))),2)</f>
        <v>0</v>
      </c>
      <c r="AD329" s="39" t="n">
        <f aca="false">ROUND(J329-T329-MIN(J329-T329,MAX(0,$AF329-SUMPRODUCT(--($B$4:$K$4&lt;J$4),$B329:$K329-$L329:$U329))),2)</f>
        <v>0</v>
      </c>
      <c r="AE329" s="39" t="n">
        <f aca="false">ROUND(K329-U329-MIN(K329-U329,MAX(0,$AF329-SUMPRODUCT(--($B$4:$K$4&lt;K$4),$B329:$K329-$L329:$U329))),2)</f>
        <v>0</v>
      </c>
      <c r="AF329" s="39" t="n">
        <f aca="false">MAX(0,'Start Here'!$C$5-SUM($L329:$U329))</f>
        <v>1200</v>
      </c>
      <c r="AG329" s="39" t="n">
        <f aca="false">SUM(V329:AE329)</f>
        <v>0</v>
      </c>
      <c r="AH329" s="39" t="n">
        <f aca="false">SUM(B329:K329)-AG328</f>
        <v>0</v>
      </c>
    </row>
    <row r="330" customFormat="false" ht="15" hidden="false" customHeight="false" outlineLevel="0" collapsed="false">
      <c r="A330" s="40" t="n">
        <f aca="false">DATE(YEAR('Start Here'!$C$6),MONTH('Start Here'!$C$6)+323,1)</f>
        <v>56128</v>
      </c>
      <c r="B330" s="39" t="n">
        <f aca="false">ROUND(V329*(1+N('My Debts'!$D$6)/12),2)</f>
        <v>0</v>
      </c>
      <c r="C330" s="39" t="n">
        <f aca="false">ROUND(W329*(1+N('My Debts'!$D$7)/12),2)</f>
        <v>0</v>
      </c>
      <c r="D330" s="39" t="n">
        <f aca="false">ROUND(X329*(1+N('My Debts'!$D$8)/12),2)</f>
        <v>0</v>
      </c>
      <c r="E330" s="39" t="n">
        <f aca="false">ROUND(Y329*(1+N('My Debts'!$D$9)/12),2)</f>
        <v>0</v>
      </c>
      <c r="F330" s="39" t="n">
        <f aca="false">ROUND(Z329*(1+N('My Debts'!$D$10)/12),2)</f>
        <v>0</v>
      </c>
      <c r="G330" s="39" t="n">
        <f aca="false">ROUND(AA329*(1+N('My Debts'!$D$11)/12),2)</f>
        <v>0</v>
      </c>
      <c r="H330" s="39" t="n">
        <f aca="false">ROUND(AB329*(1+N('My Debts'!$D$12)/12),2)</f>
        <v>0</v>
      </c>
      <c r="I330" s="39" t="n">
        <f aca="false">ROUND(AC329*(1+N('My Debts'!$D$13)/12),2)</f>
        <v>0</v>
      </c>
      <c r="J330" s="39" t="n">
        <f aca="false">ROUND(AD329*(1+N('My Debts'!$D$14)/12),2)</f>
        <v>0</v>
      </c>
      <c r="K330" s="39" t="n">
        <f aca="false">ROUND(AE329*(1+N('My Debts'!$D$15)/12),2)</f>
        <v>0</v>
      </c>
      <c r="L330" s="39" t="n">
        <f aca="false">MIN(N('My Debts'!$E$6),B330)</f>
        <v>0</v>
      </c>
      <c r="M330" s="39" t="n">
        <f aca="false">MIN(N('My Debts'!$E$7),C330)</f>
        <v>0</v>
      </c>
      <c r="N330" s="39" t="n">
        <f aca="false">MIN(N('My Debts'!$E$8),D330)</f>
        <v>0</v>
      </c>
      <c r="O330" s="39" t="n">
        <f aca="false">MIN(N('My Debts'!$E$9),E330)</f>
        <v>0</v>
      </c>
      <c r="P330" s="39" t="n">
        <f aca="false">MIN(N('My Debts'!$E$10),F330)</f>
        <v>0</v>
      </c>
      <c r="Q330" s="39" t="n">
        <f aca="false">MIN(N('My Debts'!$E$11),G330)</f>
        <v>0</v>
      </c>
      <c r="R330" s="39" t="n">
        <f aca="false">MIN(N('My Debts'!$E$12),H330)</f>
        <v>0</v>
      </c>
      <c r="S330" s="39" t="n">
        <f aca="false">MIN(N('My Debts'!$E$13),I330)</f>
        <v>0</v>
      </c>
      <c r="T330" s="39" t="n">
        <f aca="false">MIN(N('My Debts'!$E$14),J330)</f>
        <v>0</v>
      </c>
      <c r="U330" s="39" t="n">
        <f aca="false">MIN(N('My Debts'!$E$15),K330)</f>
        <v>0</v>
      </c>
      <c r="V330" s="39" t="n">
        <f aca="false">ROUND(B330-L330-MIN(B330-L330,MAX(0,$AF330-SUMPRODUCT(--($B$4:$K$4&lt;B$4),$B330:$K330-$L330:$U330))),2)</f>
        <v>0</v>
      </c>
      <c r="W330" s="39" t="n">
        <f aca="false">ROUND(C330-M330-MIN(C330-M330,MAX(0,$AF330-SUMPRODUCT(--($B$4:$K$4&lt;C$4),$B330:$K330-$L330:$U330))),2)</f>
        <v>0</v>
      </c>
      <c r="X330" s="39" t="n">
        <f aca="false">ROUND(D330-N330-MIN(D330-N330,MAX(0,$AF330-SUMPRODUCT(--($B$4:$K$4&lt;D$4),$B330:$K330-$L330:$U330))),2)</f>
        <v>0</v>
      </c>
      <c r="Y330" s="39" t="n">
        <f aca="false">ROUND(E330-O330-MIN(E330-O330,MAX(0,$AF330-SUMPRODUCT(--($B$4:$K$4&lt;E$4),$B330:$K330-$L330:$U330))),2)</f>
        <v>0</v>
      </c>
      <c r="Z330" s="39" t="n">
        <f aca="false">ROUND(F330-P330-MIN(F330-P330,MAX(0,$AF330-SUMPRODUCT(--($B$4:$K$4&lt;F$4),$B330:$K330-$L330:$U330))),2)</f>
        <v>0</v>
      </c>
      <c r="AA330" s="39" t="n">
        <f aca="false">ROUND(G330-Q330-MIN(G330-Q330,MAX(0,$AF330-SUMPRODUCT(--($B$4:$K$4&lt;G$4),$B330:$K330-$L330:$U330))),2)</f>
        <v>0</v>
      </c>
      <c r="AB330" s="39" t="n">
        <f aca="false">ROUND(H330-R330-MIN(H330-R330,MAX(0,$AF330-SUMPRODUCT(--($B$4:$K$4&lt;H$4),$B330:$K330-$L330:$U330))),2)</f>
        <v>0</v>
      </c>
      <c r="AC330" s="39" t="n">
        <f aca="false">ROUND(I330-S330-MIN(I330-S330,MAX(0,$AF330-SUMPRODUCT(--($B$4:$K$4&lt;I$4),$B330:$K330-$L330:$U330))),2)</f>
        <v>0</v>
      </c>
      <c r="AD330" s="39" t="n">
        <f aca="false">ROUND(J330-T330-MIN(J330-T330,MAX(0,$AF330-SUMPRODUCT(--($B$4:$K$4&lt;J$4),$B330:$K330-$L330:$U330))),2)</f>
        <v>0</v>
      </c>
      <c r="AE330" s="39" t="n">
        <f aca="false">ROUND(K330-U330-MIN(K330-U330,MAX(0,$AF330-SUMPRODUCT(--($B$4:$K$4&lt;K$4),$B330:$K330-$L330:$U330))),2)</f>
        <v>0</v>
      </c>
      <c r="AF330" s="39" t="n">
        <f aca="false">MAX(0,'Start Here'!$C$5-SUM($L330:$U330))</f>
        <v>1200</v>
      </c>
      <c r="AG330" s="39" t="n">
        <f aca="false">SUM(V330:AE330)</f>
        <v>0</v>
      </c>
      <c r="AH330" s="39" t="n">
        <f aca="false">SUM(B330:K330)-AG329</f>
        <v>0</v>
      </c>
    </row>
    <row r="331" customFormat="false" ht="15" hidden="false" customHeight="false" outlineLevel="0" collapsed="false">
      <c r="A331" s="40" t="n">
        <f aca="false">DATE(YEAR('Start Here'!$C$6),MONTH('Start Here'!$C$6)+324,1)</f>
        <v>56158</v>
      </c>
      <c r="B331" s="39" t="n">
        <f aca="false">ROUND(V330*(1+N('My Debts'!$D$6)/12),2)</f>
        <v>0</v>
      </c>
      <c r="C331" s="39" t="n">
        <f aca="false">ROUND(W330*(1+N('My Debts'!$D$7)/12),2)</f>
        <v>0</v>
      </c>
      <c r="D331" s="39" t="n">
        <f aca="false">ROUND(X330*(1+N('My Debts'!$D$8)/12),2)</f>
        <v>0</v>
      </c>
      <c r="E331" s="39" t="n">
        <f aca="false">ROUND(Y330*(1+N('My Debts'!$D$9)/12),2)</f>
        <v>0</v>
      </c>
      <c r="F331" s="39" t="n">
        <f aca="false">ROUND(Z330*(1+N('My Debts'!$D$10)/12),2)</f>
        <v>0</v>
      </c>
      <c r="G331" s="39" t="n">
        <f aca="false">ROUND(AA330*(1+N('My Debts'!$D$11)/12),2)</f>
        <v>0</v>
      </c>
      <c r="H331" s="39" t="n">
        <f aca="false">ROUND(AB330*(1+N('My Debts'!$D$12)/12),2)</f>
        <v>0</v>
      </c>
      <c r="I331" s="39" t="n">
        <f aca="false">ROUND(AC330*(1+N('My Debts'!$D$13)/12),2)</f>
        <v>0</v>
      </c>
      <c r="J331" s="39" t="n">
        <f aca="false">ROUND(AD330*(1+N('My Debts'!$D$14)/12),2)</f>
        <v>0</v>
      </c>
      <c r="K331" s="39" t="n">
        <f aca="false">ROUND(AE330*(1+N('My Debts'!$D$15)/12),2)</f>
        <v>0</v>
      </c>
      <c r="L331" s="39" t="n">
        <f aca="false">MIN(N('My Debts'!$E$6),B331)</f>
        <v>0</v>
      </c>
      <c r="M331" s="39" t="n">
        <f aca="false">MIN(N('My Debts'!$E$7),C331)</f>
        <v>0</v>
      </c>
      <c r="N331" s="39" t="n">
        <f aca="false">MIN(N('My Debts'!$E$8),D331)</f>
        <v>0</v>
      </c>
      <c r="O331" s="39" t="n">
        <f aca="false">MIN(N('My Debts'!$E$9),E331)</f>
        <v>0</v>
      </c>
      <c r="P331" s="39" t="n">
        <f aca="false">MIN(N('My Debts'!$E$10),F331)</f>
        <v>0</v>
      </c>
      <c r="Q331" s="39" t="n">
        <f aca="false">MIN(N('My Debts'!$E$11),G331)</f>
        <v>0</v>
      </c>
      <c r="R331" s="39" t="n">
        <f aca="false">MIN(N('My Debts'!$E$12),H331)</f>
        <v>0</v>
      </c>
      <c r="S331" s="39" t="n">
        <f aca="false">MIN(N('My Debts'!$E$13),I331)</f>
        <v>0</v>
      </c>
      <c r="T331" s="39" t="n">
        <f aca="false">MIN(N('My Debts'!$E$14),J331)</f>
        <v>0</v>
      </c>
      <c r="U331" s="39" t="n">
        <f aca="false">MIN(N('My Debts'!$E$15),K331)</f>
        <v>0</v>
      </c>
      <c r="V331" s="39" t="n">
        <f aca="false">ROUND(B331-L331-MIN(B331-L331,MAX(0,$AF331-SUMPRODUCT(--($B$4:$K$4&lt;B$4),$B331:$K331-$L331:$U331))),2)</f>
        <v>0</v>
      </c>
      <c r="W331" s="39" t="n">
        <f aca="false">ROUND(C331-M331-MIN(C331-M331,MAX(0,$AF331-SUMPRODUCT(--($B$4:$K$4&lt;C$4),$B331:$K331-$L331:$U331))),2)</f>
        <v>0</v>
      </c>
      <c r="X331" s="39" t="n">
        <f aca="false">ROUND(D331-N331-MIN(D331-N331,MAX(0,$AF331-SUMPRODUCT(--($B$4:$K$4&lt;D$4),$B331:$K331-$L331:$U331))),2)</f>
        <v>0</v>
      </c>
      <c r="Y331" s="39" t="n">
        <f aca="false">ROUND(E331-O331-MIN(E331-O331,MAX(0,$AF331-SUMPRODUCT(--($B$4:$K$4&lt;E$4),$B331:$K331-$L331:$U331))),2)</f>
        <v>0</v>
      </c>
      <c r="Z331" s="39" t="n">
        <f aca="false">ROUND(F331-P331-MIN(F331-P331,MAX(0,$AF331-SUMPRODUCT(--($B$4:$K$4&lt;F$4),$B331:$K331-$L331:$U331))),2)</f>
        <v>0</v>
      </c>
      <c r="AA331" s="39" t="n">
        <f aca="false">ROUND(G331-Q331-MIN(G331-Q331,MAX(0,$AF331-SUMPRODUCT(--($B$4:$K$4&lt;G$4),$B331:$K331-$L331:$U331))),2)</f>
        <v>0</v>
      </c>
      <c r="AB331" s="39" t="n">
        <f aca="false">ROUND(H331-R331-MIN(H331-R331,MAX(0,$AF331-SUMPRODUCT(--($B$4:$K$4&lt;H$4),$B331:$K331-$L331:$U331))),2)</f>
        <v>0</v>
      </c>
      <c r="AC331" s="39" t="n">
        <f aca="false">ROUND(I331-S331-MIN(I331-S331,MAX(0,$AF331-SUMPRODUCT(--($B$4:$K$4&lt;I$4),$B331:$K331-$L331:$U331))),2)</f>
        <v>0</v>
      </c>
      <c r="AD331" s="39" t="n">
        <f aca="false">ROUND(J331-T331-MIN(J331-T331,MAX(0,$AF331-SUMPRODUCT(--($B$4:$K$4&lt;J$4),$B331:$K331-$L331:$U331))),2)</f>
        <v>0</v>
      </c>
      <c r="AE331" s="39" t="n">
        <f aca="false">ROUND(K331-U331-MIN(K331-U331,MAX(0,$AF331-SUMPRODUCT(--($B$4:$K$4&lt;K$4),$B331:$K331-$L331:$U331))),2)</f>
        <v>0</v>
      </c>
      <c r="AF331" s="39" t="n">
        <f aca="false">MAX(0,'Start Here'!$C$5-SUM($L331:$U331))</f>
        <v>1200</v>
      </c>
      <c r="AG331" s="39" t="n">
        <f aca="false">SUM(V331:AE331)</f>
        <v>0</v>
      </c>
      <c r="AH331" s="39" t="n">
        <f aca="false">SUM(B331:K331)-AG330</f>
        <v>0</v>
      </c>
    </row>
    <row r="332" customFormat="false" ht="15" hidden="false" customHeight="false" outlineLevel="0" collapsed="false">
      <c r="A332" s="40" t="n">
        <f aca="false">DATE(YEAR('Start Here'!$C$6),MONTH('Start Here'!$C$6)+325,1)</f>
        <v>56189</v>
      </c>
      <c r="B332" s="39" t="n">
        <f aca="false">ROUND(V331*(1+N('My Debts'!$D$6)/12),2)</f>
        <v>0</v>
      </c>
      <c r="C332" s="39" t="n">
        <f aca="false">ROUND(W331*(1+N('My Debts'!$D$7)/12),2)</f>
        <v>0</v>
      </c>
      <c r="D332" s="39" t="n">
        <f aca="false">ROUND(X331*(1+N('My Debts'!$D$8)/12),2)</f>
        <v>0</v>
      </c>
      <c r="E332" s="39" t="n">
        <f aca="false">ROUND(Y331*(1+N('My Debts'!$D$9)/12),2)</f>
        <v>0</v>
      </c>
      <c r="F332" s="39" t="n">
        <f aca="false">ROUND(Z331*(1+N('My Debts'!$D$10)/12),2)</f>
        <v>0</v>
      </c>
      <c r="G332" s="39" t="n">
        <f aca="false">ROUND(AA331*(1+N('My Debts'!$D$11)/12),2)</f>
        <v>0</v>
      </c>
      <c r="H332" s="39" t="n">
        <f aca="false">ROUND(AB331*(1+N('My Debts'!$D$12)/12),2)</f>
        <v>0</v>
      </c>
      <c r="I332" s="39" t="n">
        <f aca="false">ROUND(AC331*(1+N('My Debts'!$D$13)/12),2)</f>
        <v>0</v>
      </c>
      <c r="J332" s="39" t="n">
        <f aca="false">ROUND(AD331*(1+N('My Debts'!$D$14)/12),2)</f>
        <v>0</v>
      </c>
      <c r="K332" s="39" t="n">
        <f aca="false">ROUND(AE331*(1+N('My Debts'!$D$15)/12),2)</f>
        <v>0</v>
      </c>
      <c r="L332" s="39" t="n">
        <f aca="false">MIN(N('My Debts'!$E$6),B332)</f>
        <v>0</v>
      </c>
      <c r="M332" s="39" t="n">
        <f aca="false">MIN(N('My Debts'!$E$7),C332)</f>
        <v>0</v>
      </c>
      <c r="N332" s="39" t="n">
        <f aca="false">MIN(N('My Debts'!$E$8),D332)</f>
        <v>0</v>
      </c>
      <c r="O332" s="39" t="n">
        <f aca="false">MIN(N('My Debts'!$E$9),E332)</f>
        <v>0</v>
      </c>
      <c r="P332" s="39" t="n">
        <f aca="false">MIN(N('My Debts'!$E$10),F332)</f>
        <v>0</v>
      </c>
      <c r="Q332" s="39" t="n">
        <f aca="false">MIN(N('My Debts'!$E$11),G332)</f>
        <v>0</v>
      </c>
      <c r="R332" s="39" t="n">
        <f aca="false">MIN(N('My Debts'!$E$12),H332)</f>
        <v>0</v>
      </c>
      <c r="S332" s="39" t="n">
        <f aca="false">MIN(N('My Debts'!$E$13),I332)</f>
        <v>0</v>
      </c>
      <c r="T332" s="39" t="n">
        <f aca="false">MIN(N('My Debts'!$E$14),J332)</f>
        <v>0</v>
      </c>
      <c r="U332" s="39" t="n">
        <f aca="false">MIN(N('My Debts'!$E$15),K332)</f>
        <v>0</v>
      </c>
      <c r="V332" s="39" t="n">
        <f aca="false">ROUND(B332-L332-MIN(B332-L332,MAX(0,$AF332-SUMPRODUCT(--($B$4:$K$4&lt;B$4),$B332:$K332-$L332:$U332))),2)</f>
        <v>0</v>
      </c>
      <c r="W332" s="39" t="n">
        <f aca="false">ROUND(C332-M332-MIN(C332-M332,MAX(0,$AF332-SUMPRODUCT(--($B$4:$K$4&lt;C$4),$B332:$K332-$L332:$U332))),2)</f>
        <v>0</v>
      </c>
      <c r="X332" s="39" t="n">
        <f aca="false">ROUND(D332-N332-MIN(D332-N332,MAX(0,$AF332-SUMPRODUCT(--($B$4:$K$4&lt;D$4),$B332:$K332-$L332:$U332))),2)</f>
        <v>0</v>
      </c>
      <c r="Y332" s="39" t="n">
        <f aca="false">ROUND(E332-O332-MIN(E332-O332,MAX(0,$AF332-SUMPRODUCT(--($B$4:$K$4&lt;E$4),$B332:$K332-$L332:$U332))),2)</f>
        <v>0</v>
      </c>
      <c r="Z332" s="39" t="n">
        <f aca="false">ROUND(F332-P332-MIN(F332-P332,MAX(0,$AF332-SUMPRODUCT(--($B$4:$K$4&lt;F$4),$B332:$K332-$L332:$U332))),2)</f>
        <v>0</v>
      </c>
      <c r="AA332" s="39" t="n">
        <f aca="false">ROUND(G332-Q332-MIN(G332-Q332,MAX(0,$AF332-SUMPRODUCT(--($B$4:$K$4&lt;G$4),$B332:$K332-$L332:$U332))),2)</f>
        <v>0</v>
      </c>
      <c r="AB332" s="39" t="n">
        <f aca="false">ROUND(H332-R332-MIN(H332-R332,MAX(0,$AF332-SUMPRODUCT(--($B$4:$K$4&lt;H$4),$B332:$K332-$L332:$U332))),2)</f>
        <v>0</v>
      </c>
      <c r="AC332" s="39" t="n">
        <f aca="false">ROUND(I332-S332-MIN(I332-S332,MAX(0,$AF332-SUMPRODUCT(--($B$4:$K$4&lt;I$4),$B332:$K332-$L332:$U332))),2)</f>
        <v>0</v>
      </c>
      <c r="AD332" s="39" t="n">
        <f aca="false">ROUND(J332-T332-MIN(J332-T332,MAX(0,$AF332-SUMPRODUCT(--($B$4:$K$4&lt;J$4),$B332:$K332-$L332:$U332))),2)</f>
        <v>0</v>
      </c>
      <c r="AE332" s="39" t="n">
        <f aca="false">ROUND(K332-U332-MIN(K332-U332,MAX(0,$AF332-SUMPRODUCT(--($B$4:$K$4&lt;K$4),$B332:$K332-$L332:$U332))),2)</f>
        <v>0</v>
      </c>
      <c r="AF332" s="39" t="n">
        <f aca="false">MAX(0,'Start Here'!$C$5-SUM($L332:$U332))</f>
        <v>1200</v>
      </c>
      <c r="AG332" s="39" t="n">
        <f aca="false">SUM(V332:AE332)</f>
        <v>0</v>
      </c>
      <c r="AH332" s="39" t="n">
        <f aca="false">SUM(B332:K332)-AG331</f>
        <v>0</v>
      </c>
    </row>
    <row r="333" customFormat="false" ht="15" hidden="false" customHeight="false" outlineLevel="0" collapsed="false">
      <c r="A333" s="40" t="n">
        <f aca="false">DATE(YEAR('Start Here'!$C$6),MONTH('Start Here'!$C$6)+326,1)</f>
        <v>56219</v>
      </c>
      <c r="B333" s="39" t="n">
        <f aca="false">ROUND(V332*(1+N('My Debts'!$D$6)/12),2)</f>
        <v>0</v>
      </c>
      <c r="C333" s="39" t="n">
        <f aca="false">ROUND(W332*(1+N('My Debts'!$D$7)/12),2)</f>
        <v>0</v>
      </c>
      <c r="D333" s="39" t="n">
        <f aca="false">ROUND(X332*(1+N('My Debts'!$D$8)/12),2)</f>
        <v>0</v>
      </c>
      <c r="E333" s="39" t="n">
        <f aca="false">ROUND(Y332*(1+N('My Debts'!$D$9)/12),2)</f>
        <v>0</v>
      </c>
      <c r="F333" s="39" t="n">
        <f aca="false">ROUND(Z332*(1+N('My Debts'!$D$10)/12),2)</f>
        <v>0</v>
      </c>
      <c r="G333" s="39" t="n">
        <f aca="false">ROUND(AA332*(1+N('My Debts'!$D$11)/12),2)</f>
        <v>0</v>
      </c>
      <c r="H333" s="39" t="n">
        <f aca="false">ROUND(AB332*(1+N('My Debts'!$D$12)/12),2)</f>
        <v>0</v>
      </c>
      <c r="I333" s="39" t="n">
        <f aca="false">ROUND(AC332*(1+N('My Debts'!$D$13)/12),2)</f>
        <v>0</v>
      </c>
      <c r="J333" s="39" t="n">
        <f aca="false">ROUND(AD332*(1+N('My Debts'!$D$14)/12),2)</f>
        <v>0</v>
      </c>
      <c r="K333" s="39" t="n">
        <f aca="false">ROUND(AE332*(1+N('My Debts'!$D$15)/12),2)</f>
        <v>0</v>
      </c>
      <c r="L333" s="39" t="n">
        <f aca="false">MIN(N('My Debts'!$E$6),B333)</f>
        <v>0</v>
      </c>
      <c r="M333" s="39" t="n">
        <f aca="false">MIN(N('My Debts'!$E$7),C333)</f>
        <v>0</v>
      </c>
      <c r="N333" s="39" t="n">
        <f aca="false">MIN(N('My Debts'!$E$8),D333)</f>
        <v>0</v>
      </c>
      <c r="O333" s="39" t="n">
        <f aca="false">MIN(N('My Debts'!$E$9),E333)</f>
        <v>0</v>
      </c>
      <c r="P333" s="39" t="n">
        <f aca="false">MIN(N('My Debts'!$E$10),F333)</f>
        <v>0</v>
      </c>
      <c r="Q333" s="39" t="n">
        <f aca="false">MIN(N('My Debts'!$E$11),G333)</f>
        <v>0</v>
      </c>
      <c r="R333" s="39" t="n">
        <f aca="false">MIN(N('My Debts'!$E$12),H333)</f>
        <v>0</v>
      </c>
      <c r="S333" s="39" t="n">
        <f aca="false">MIN(N('My Debts'!$E$13),I333)</f>
        <v>0</v>
      </c>
      <c r="T333" s="39" t="n">
        <f aca="false">MIN(N('My Debts'!$E$14),J333)</f>
        <v>0</v>
      </c>
      <c r="U333" s="39" t="n">
        <f aca="false">MIN(N('My Debts'!$E$15),K333)</f>
        <v>0</v>
      </c>
      <c r="V333" s="39" t="n">
        <f aca="false">ROUND(B333-L333-MIN(B333-L333,MAX(0,$AF333-SUMPRODUCT(--($B$4:$K$4&lt;B$4),$B333:$K333-$L333:$U333))),2)</f>
        <v>0</v>
      </c>
      <c r="W333" s="39" t="n">
        <f aca="false">ROUND(C333-M333-MIN(C333-M333,MAX(0,$AF333-SUMPRODUCT(--($B$4:$K$4&lt;C$4),$B333:$K333-$L333:$U333))),2)</f>
        <v>0</v>
      </c>
      <c r="X333" s="39" t="n">
        <f aca="false">ROUND(D333-N333-MIN(D333-N333,MAX(0,$AF333-SUMPRODUCT(--($B$4:$K$4&lt;D$4),$B333:$K333-$L333:$U333))),2)</f>
        <v>0</v>
      </c>
      <c r="Y333" s="39" t="n">
        <f aca="false">ROUND(E333-O333-MIN(E333-O333,MAX(0,$AF333-SUMPRODUCT(--($B$4:$K$4&lt;E$4),$B333:$K333-$L333:$U333))),2)</f>
        <v>0</v>
      </c>
      <c r="Z333" s="39" t="n">
        <f aca="false">ROUND(F333-P333-MIN(F333-P333,MAX(0,$AF333-SUMPRODUCT(--($B$4:$K$4&lt;F$4),$B333:$K333-$L333:$U333))),2)</f>
        <v>0</v>
      </c>
      <c r="AA333" s="39" t="n">
        <f aca="false">ROUND(G333-Q333-MIN(G333-Q333,MAX(0,$AF333-SUMPRODUCT(--($B$4:$K$4&lt;G$4),$B333:$K333-$L333:$U333))),2)</f>
        <v>0</v>
      </c>
      <c r="AB333" s="39" t="n">
        <f aca="false">ROUND(H333-R333-MIN(H333-R333,MAX(0,$AF333-SUMPRODUCT(--($B$4:$K$4&lt;H$4),$B333:$K333-$L333:$U333))),2)</f>
        <v>0</v>
      </c>
      <c r="AC333" s="39" t="n">
        <f aca="false">ROUND(I333-S333-MIN(I333-S333,MAX(0,$AF333-SUMPRODUCT(--($B$4:$K$4&lt;I$4),$B333:$K333-$L333:$U333))),2)</f>
        <v>0</v>
      </c>
      <c r="AD333" s="39" t="n">
        <f aca="false">ROUND(J333-T333-MIN(J333-T333,MAX(0,$AF333-SUMPRODUCT(--($B$4:$K$4&lt;J$4),$B333:$K333-$L333:$U333))),2)</f>
        <v>0</v>
      </c>
      <c r="AE333" s="39" t="n">
        <f aca="false">ROUND(K333-U333-MIN(K333-U333,MAX(0,$AF333-SUMPRODUCT(--($B$4:$K$4&lt;K$4),$B333:$K333-$L333:$U333))),2)</f>
        <v>0</v>
      </c>
      <c r="AF333" s="39" t="n">
        <f aca="false">MAX(0,'Start Here'!$C$5-SUM($L333:$U333))</f>
        <v>1200</v>
      </c>
      <c r="AG333" s="39" t="n">
        <f aca="false">SUM(V333:AE333)</f>
        <v>0</v>
      </c>
      <c r="AH333" s="39" t="n">
        <f aca="false">SUM(B333:K333)-AG332</f>
        <v>0</v>
      </c>
    </row>
    <row r="334" customFormat="false" ht="15" hidden="false" customHeight="false" outlineLevel="0" collapsed="false">
      <c r="A334" s="40" t="n">
        <f aca="false">DATE(YEAR('Start Here'!$C$6),MONTH('Start Here'!$C$6)+327,1)</f>
        <v>56250</v>
      </c>
      <c r="B334" s="39" t="n">
        <f aca="false">ROUND(V333*(1+N('My Debts'!$D$6)/12),2)</f>
        <v>0</v>
      </c>
      <c r="C334" s="39" t="n">
        <f aca="false">ROUND(W333*(1+N('My Debts'!$D$7)/12),2)</f>
        <v>0</v>
      </c>
      <c r="D334" s="39" t="n">
        <f aca="false">ROUND(X333*(1+N('My Debts'!$D$8)/12),2)</f>
        <v>0</v>
      </c>
      <c r="E334" s="39" t="n">
        <f aca="false">ROUND(Y333*(1+N('My Debts'!$D$9)/12),2)</f>
        <v>0</v>
      </c>
      <c r="F334" s="39" t="n">
        <f aca="false">ROUND(Z333*(1+N('My Debts'!$D$10)/12),2)</f>
        <v>0</v>
      </c>
      <c r="G334" s="39" t="n">
        <f aca="false">ROUND(AA333*(1+N('My Debts'!$D$11)/12),2)</f>
        <v>0</v>
      </c>
      <c r="H334" s="39" t="n">
        <f aca="false">ROUND(AB333*(1+N('My Debts'!$D$12)/12),2)</f>
        <v>0</v>
      </c>
      <c r="I334" s="39" t="n">
        <f aca="false">ROUND(AC333*(1+N('My Debts'!$D$13)/12),2)</f>
        <v>0</v>
      </c>
      <c r="J334" s="39" t="n">
        <f aca="false">ROUND(AD333*(1+N('My Debts'!$D$14)/12),2)</f>
        <v>0</v>
      </c>
      <c r="K334" s="39" t="n">
        <f aca="false">ROUND(AE333*(1+N('My Debts'!$D$15)/12),2)</f>
        <v>0</v>
      </c>
      <c r="L334" s="39" t="n">
        <f aca="false">MIN(N('My Debts'!$E$6),B334)</f>
        <v>0</v>
      </c>
      <c r="M334" s="39" t="n">
        <f aca="false">MIN(N('My Debts'!$E$7),C334)</f>
        <v>0</v>
      </c>
      <c r="N334" s="39" t="n">
        <f aca="false">MIN(N('My Debts'!$E$8),D334)</f>
        <v>0</v>
      </c>
      <c r="O334" s="39" t="n">
        <f aca="false">MIN(N('My Debts'!$E$9),E334)</f>
        <v>0</v>
      </c>
      <c r="P334" s="39" t="n">
        <f aca="false">MIN(N('My Debts'!$E$10),F334)</f>
        <v>0</v>
      </c>
      <c r="Q334" s="39" t="n">
        <f aca="false">MIN(N('My Debts'!$E$11),G334)</f>
        <v>0</v>
      </c>
      <c r="R334" s="39" t="n">
        <f aca="false">MIN(N('My Debts'!$E$12),H334)</f>
        <v>0</v>
      </c>
      <c r="S334" s="39" t="n">
        <f aca="false">MIN(N('My Debts'!$E$13),I334)</f>
        <v>0</v>
      </c>
      <c r="T334" s="39" t="n">
        <f aca="false">MIN(N('My Debts'!$E$14),J334)</f>
        <v>0</v>
      </c>
      <c r="U334" s="39" t="n">
        <f aca="false">MIN(N('My Debts'!$E$15),K334)</f>
        <v>0</v>
      </c>
      <c r="V334" s="39" t="n">
        <f aca="false">ROUND(B334-L334-MIN(B334-L334,MAX(0,$AF334-SUMPRODUCT(--($B$4:$K$4&lt;B$4),$B334:$K334-$L334:$U334))),2)</f>
        <v>0</v>
      </c>
      <c r="W334" s="39" t="n">
        <f aca="false">ROUND(C334-M334-MIN(C334-M334,MAX(0,$AF334-SUMPRODUCT(--($B$4:$K$4&lt;C$4),$B334:$K334-$L334:$U334))),2)</f>
        <v>0</v>
      </c>
      <c r="X334" s="39" t="n">
        <f aca="false">ROUND(D334-N334-MIN(D334-N334,MAX(0,$AF334-SUMPRODUCT(--($B$4:$K$4&lt;D$4),$B334:$K334-$L334:$U334))),2)</f>
        <v>0</v>
      </c>
      <c r="Y334" s="39" t="n">
        <f aca="false">ROUND(E334-O334-MIN(E334-O334,MAX(0,$AF334-SUMPRODUCT(--($B$4:$K$4&lt;E$4),$B334:$K334-$L334:$U334))),2)</f>
        <v>0</v>
      </c>
      <c r="Z334" s="39" t="n">
        <f aca="false">ROUND(F334-P334-MIN(F334-P334,MAX(0,$AF334-SUMPRODUCT(--($B$4:$K$4&lt;F$4),$B334:$K334-$L334:$U334))),2)</f>
        <v>0</v>
      </c>
      <c r="AA334" s="39" t="n">
        <f aca="false">ROUND(G334-Q334-MIN(G334-Q334,MAX(0,$AF334-SUMPRODUCT(--($B$4:$K$4&lt;G$4),$B334:$K334-$L334:$U334))),2)</f>
        <v>0</v>
      </c>
      <c r="AB334" s="39" t="n">
        <f aca="false">ROUND(H334-R334-MIN(H334-R334,MAX(0,$AF334-SUMPRODUCT(--($B$4:$K$4&lt;H$4),$B334:$K334-$L334:$U334))),2)</f>
        <v>0</v>
      </c>
      <c r="AC334" s="39" t="n">
        <f aca="false">ROUND(I334-S334-MIN(I334-S334,MAX(0,$AF334-SUMPRODUCT(--($B$4:$K$4&lt;I$4),$B334:$K334-$L334:$U334))),2)</f>
        <v>0</v>
      </c>
      <c r="AD334" s="39" t="n">
        <f aca="false">ROUND(J334-T334-MIN(J334-T334,MAX(0,$AF334-SUMPRODUCT(--($B$4:$K$4&lt;J$4),$B334:$K334-$L334:$U334))),2)</f>
        <v>0</v>
      </c>
      <c r="AE334" s="39" t="n">
        <f aca="false">ROUND(K334-U334-MIN(K334-U334,MAX(0,$AF334-SUMPRODUCT(--($B$4:$K$4&lt;K$4),$B334:$K334-$L334:$U334))),2)</f>
        <v>0</v>
      </c>
      <c r="AF334" s="39" t="n">
        <f aca="false">MAX(0,'Start Here'!$C$5-SUM($L334:$U334))</f>
        <v>1200</v>
      </c>
      <c r="AG334" s="39" t="n">
        <f aca="false">SUM(V334:AE334)</f>
        <v>0</v>
      </c>
      <c r="AH334" s="39" t="n">
        <f aca="false">SUM(B334:K334)-AG333</f>
        <v>0</v>
      </c>
    </row>
    <row r="335" customFormat="false" ht="15" hidden="false" customHeight="false" outlineLevel="0" collapsed="false">
      <c r="A335" s="40" t="n">
        <f aca="false">DATE(YEAR('Start Here'!$C$6),MONTH('Start Here'!$C$6)+328,1)</f>
        <v>56281</v>
      </c>
      <c r="B335" s="39" t="n">
        <f aca="false">ROUND(V334*(1+N('My Debts'!$D$6)/12),2)</f>
        <v>0</v>
      </c>
      <c r="C335" s="39" t="n">
        <f aca="false">ROUND(W334*(1+N('My Debts'!$D$7)/12),2)</f>
        <v>0</v>
      </c>
      <c r="D335" s="39" t="n">
        <f aca="false">ROUND(X334*(1+N('My Debts'!$D$8)/12),2)</f>
        <v>0</v>
      </c>
      <c r="E335" s="39" t="n">
        <f aca="false">ROUND(Y334*(1+N('My Debts'!$D$9)/12),2)</f>
        <v>0</v>
      </c>
      <c r="F335" s="39" t="n">
        <f aca="false">ROUND(Z334*(1+N('My Debts'!$D$10)/12),2)</f>
        <v>0</v>
      </c>
      <c r="G335" s="39" t="n">
        <f aca="false">ROUND(AA334*(1+N('My Debts'!$D$11)/12),2)</f>
        <v>0</v>
      </c>
      <c r="H335" s="39" t="n">
        <f aca="false">ROUND(AB334*(1+N('My Debts'!$D$12)/12),2)</f>
        <v>0</v>
      </c>
      <c r="I335" s="39" t="n">
        <f aca="false">ROUND(AC334*(1+N('My Debts'!$D$13)/12),2)</f>
        <v>0</v>
      </c>
      <c r="J335" s="39" t="n">
        <f aca="false">ROUND(AD334*(1+N('My Debts'!$D$14)/12),2)</f>
        <v>0</v>
      </c>
      <c r="K335" s="39" t="n">
        <f aca="false">ROUND(AE334*(1+N('My Debts'!$D$15)/12),2)</f>
        <v>0</v>
      </c>
      <c r="L335" s="39" t="n">
        <f aca="false">MIN(N('My Debts'!$E$6),B335)</f>
        <v>0</v>
      </c>
      <c r="M335" s="39" t="n">
        <f aca="false">MIN(N('My Debts'!$E$7),C335)</f>
        <v>0</v>
      </c>
      <c r="N335" s="39" t="n">
        <f aca="false">MIN(N('My Debts'!$E$8),D335)</f>
        <v>0</v>
      </c>
      <c r="O335" s="39" t="n">
        <f aca="false">MIN(N('My Debts'!$E$9),E335)</f>
        <v>0</v>
      </c>
      <c r="P335" s="39" t="n">
        <f aca="false">MIN(N('My Debts'!$E$10),F335)</f>
        <v>0</v>
      </c>
      <c r="Q335" s="39" t="n">
        <f aca="false">MIN(N('My Debts'!$E$11),G335)</f>
        <v>0</v>
      </c>
      <c r="R335" s="39" t="n">
        <f aca="false">MIN(N('My Debts'!$E$12),H335)</f>
        <v>0</v>
      </c>
      <c r="S335" s="39" t="n">
        <f aca="false">MIN(N('My Debts'!$E$13),I335)</f>
        <v>0</v>
      </c>
      <c r="T335" s="39" t="n">
        <f aca="false">MIN(N('My Debts'!$E$14),J335)</f>
        <v>0</v>
      </c>
      <c r="U335" s="39" t="n">
        <f aca="false">MIN(N('My Debts'!$E$15),K335)</f>
        <v>0</v>
      </c>
      <c r="V335" s="39" t="n">
        <f aca="false">ROUND(B335-L335-MIN(B335-L335,MAX(0,$AF335-SUMPRODUCT(--($B$4:$K$4&lt;B$4),$B335:$K335-$L335:$U335))),2)</f>
        <v>0</v>
      </c>
      <c r="W335" s="39" t="n">
        <f aca="false">ROUND(C335-M335-MIN(C335-M335,MAX(0,$AF335-SUMPRODUCT(--($B$4:$K$4&lt;C$4),$B335:$K335-$L335:$U335))),2)</f>
        <v>0</v>
      </c>
      <c r="X335" s="39" t="n">
        <f aca="false">ROUND(D335-N335-MIN(D335-N335,MAX(0,$AF335-SUMPRODUCT(--($B$4:$K$4&lt;D$4),$B335:$K335-$L335:$U335))),2)</f>
        <v>0</v>
      </c>
      <c r="Y335" s="39" t="n">
        <f aca="false">ROUND(E335-O335-MIN(E335-O335,MAX(0,$AF335-SUMPRODUCT(--($B$4:$K$4&lt;E$4),$B335:$K335-$L335:$U335))),2)</f>
        <v>0</v>
      </c>
      <c r="Z335" s="39" t="n">
        <f aca="false">ROUND(F335-P335-MIN(F335-P335,MAX(0,$AF335-SUMPRODUCT(--($B$4:$K$4&lt;F$4),$B335:$K335-$L335:$U335))),2)</f>
        <v>0</v>
      </c>
      <c r="AA335" s="39" t="n">
        <f aca="false">ROUND(G335-Q335-MIN(G335-Q335,MAX(0,$AF335-SUMPRODUCT(--($B$4:$K$4&lt;G$4),$B335:$K335-$L335:$U335))),2)</f>
        <v>0</v>
      </c>
      <c r="AB335" s="39" t="n">
        <f aca="false">ROUND(H335-R335-MIN(H335-R335,MAX(0,$AF335-SUMPRODUCT(--($B$4:$K$4&lt;H$4),$B335:$K335-$L335:$U335))),2)</f>
        <v>0</v>
      </c>
      <c r="AC335" s="39" t="n">
        <f aca="false">ROUND(I335-S335-MIN(I335-S335,MAX(0,$AF335-SUMPRODUCT(--($B$4:$K$4&lt;I$4),$B335:$K335-$L335:$U335))),2)</f>
        <v>0</v>
      </c>
      <c r="AD335" s="39" t="n">
        <f aca="false">ROUND(J335-T335-MIN(J335-T335,MAX(0,$AF335-SUMPRODUCT(--($B$4:$K$4&lt;J$4),$B335:$K335-$L335:$U335))),2)</f>
        <v>0</v>
      </c>
      <c r="AE335" s="39" t="n">
        <f aca="false">ROUND(K335-U335-MIN(K335-U335,MAX(0,$AF335-SUMPRODUCT(--($B$4:$K$4&lt;K$4),$B335:$K335-$L335:$U335))),2)</f>
        <v>0</v>
      </c>
      <c r="AF335" s="39" t="n">
        <f aca="false">MAX(0,'Start Here'!$C$5-SUM($L335:$U335))</f>
        <v>1200</v>
      </c>
      <c r="AG335" s="39" t="n">
        <f aca="false">SUM(V335:AE335)</f>
        <v>0</v>
      </c>
      <c r="AH335" s="39" t="n">
        <f aca="false">SUM(B335:K335)-AG334</f>
        <v>0</v>
      </c>
    </row>
    <row r="336" customFormat="false" ht="15" hidden="false" customHeight="false" outlineLevel="0" collapsed="false">
      <c r="A336" s="40" t="n">
        <f aca="false">DATE(YEAR('Start Here'!$C$6),MONTH('Start Here'!$C$6)+329,1)</f>
        <v>56309</v>
      </c>
      <c r="B336" s="39" t="n">
        <f aca="false">ROUND(V335*(1+N('My Debts'!$D$6)/12),2)</f>
        <v>0</v>
      </c>
      <c r="C336" s="39" t="n">
        <f aca="false">ROUND(W335*(1+N('My Debts'!$D$7)/12),2)</f>
        <v>0</v>
      </c>
      <c r="D336" s="39" t="n">
        <f aca="false">ROUND(X335*(1+N('My Debts'!$D$8)/12),2)</f>
        <v>0</v>
      </c>
      <c r="E336" s="39" t="n">
        <f aca="false">ROUND(Y335*(1+N('My Debts'!$D$9)/12),2)</f>
        <v>0</v>
      </c>
      <c r="F336" s="39" t="n">
        <f aca="false">ROUND(Z335*(1+N('My Debts'!$D$10)/12),2)</f>
        <v>0</v>
      </c>
      <c r="G336" s="39" t="n">
        <f aca="false">ROUND(AA335*(1+N('My Debts'!$D$11)/12),2)</f>
        <v>0</v>
      </c>
      <c r="H336" s="39" t="n">
        <f aca="false">ROUND(AB335*(1+N('My Debts'!$D$12)/12),2)</f>
        <v>0</v>
      </c>
      <c r="I336" s="39" t="n">
        <f aca="false">ROUND(AC335*(1+N('My Debts'!$D$13)/12),2)</f>
        <v>0</v>
      </c>
      <c r="J336" s="39" t="n">
        <f aca="false">ROUND(AD335*(1+N('My Debts'!$D$14)/12),2)</f>
        <v>0</v>
      </c>
      <c r="K336" s="39" t="n">
        <f aca="false">ROUND(AE335*(1+N('My Debts'!$D$15)/12),2)</f>
        <v>0</v>
      </c>
      <c r="L336" s="39" t="n">
        <f aca="false">MIN(N('My Debts'!$E$6),B336)</f>
        <v>0</v>
      </c>
      <c r="M336" s="39" t="n">
        <f aca="false">MIN(N('My Debts'!$E$7),C336)</f>
        <v>0</v>
      </c>
      <c r="N336" s="39" t="n">
        <f aca="false">MIN(N('My Debts'!$E$8),D336)</f>
        <v>0</v>
      </c>
      <c r="O336" s="39" t="n">
        <f aca="false">MIN(N('My Debts'!$E$9),E336)</f>
        <v>0</v>
      </c>
      <c r="P336" s="39" t="n">
        <f aca="false">MIN(N('My Debts'!$E$10),F336)</f>
        <v>0</v>
      </c>
      <c r="Q336" s="39" t="n">
        <f aca="false">MIN(N('My Debts'!$E$11),G336)</f>
        <v>0</v>
      </c>
      <c r="R336" s="39" t="n">
        <f aca="false">MIN(N('My Debts'!$E$12),H336)</f>
        <v>0</v>
      </c>
      <c r="S336" s="39" t="n">
        <f aca="false">MIN(N('My Debts'!$E$13),I336)</f>
        <v>0</v>
      </c>
      <c r="T336" s="39" t="n">
        <f aca="false">MIN(N('My Debts'!$E$14),J336)</f>
        <v>0</v>
      </c>
      <c r="U336" s="39" t="n">
        <f aca="false">MIN(N('My Debts'!$E$15),K336)</f>
        <v>0</v>
      </c>
      <c r="V336" s="39" t="n">
        <f aca="false">ROUND(B336-L336-MIN(B336-L336,MAX(0,$AF336-SUMPRODUCT(--($B$4:$K$4&lt;B$4),$B336:$K336-$L336:$U336))),2)</f>
        <v>0</v>
      </c>
      <c r="W336" s="39" t="n">
        <f aca="false">ROUND(C336-M336-MIN(C336-M336,MAX(0,$AF336-SUMPRODUCT(--($B$4:$K$4&lt;C$4),$B336:$K336-$L336:$U336))),2)</f>
        <v>0</v>
      </c>
      <c r="X336" s="39" t="n">
        <f aca="false">ROUND(D336-N336-MIN(D336-N336,MAX(0,$AF336-SUMPRODUCT(--($B$4:$K$4&lt;D$4),$B336:$K336-$L336:$U336))),2)</f>
        <v>0</v>
      </c>
      <c r="Y336" s="39" t="n">
        <f aca="false">ROUND(E336-O336-MIN(E336-O336,MAX(0,$AF336-SUMPRODUCT(--($B$4:$K$4&lt;E$4),$B336:$K336-$L336:$U336))),2)</f>
        <v>0</v>
      </c>
      <c r="Z336" s="39" t="n">
        <f aca="false">ROUND(F336-P336-MIN(F336-P336,MAX(0,$AF336-SUMPRODUCT(--($B$4:$K$4&lt;F$4),$B336:$K336-$L336:$U336))),2)</f>
        <v>0</v>
      </c>
      <c r="AA336" s="39" t="n">
        <f aca="false">ROUND(G336-Q336-MIN(G336-Q336,MAX(0,$AF336-SUMPRODUCT(--($B$4:$K$4&lt;G$4),$B336:$K336-$L336:$U336))),2)</f>
        <v>0</v>
      </c>
      <c r="AB336" s="39" t="n">
        <f aca="false">ROUND(H336-R336-MIN(H336-R336,MAX(0,$AF336-SUMPRODUCT(--($B$4:$K$4&lt;H$4),$B336:$K336-$L336:$U336))),2)</f>
        <v>0</v>
      </c>
      <c r="AC336" s="39" t="n">
        <f aca="false">ROUND(I336-S336-MIN(I336-S336,MAX(0,$AF336-SUMPRODUCT(--($B$4:$K$4&lt;I$4),$B336:$K336-$L336:$U336))),2)</f>
        <v>0</v>
      </c>
      <c r="AD336" s="39" t="n">
        <f aca="false">ROUND(J336-T336-MIN(J336-T336,MAX(0,$AF336-SUMPRODUCT(--($B$4:$K$4&lt;J$4),$B336:$K336-$L336:$U336))),2)</f>
        <v>0</v>
      </c>
      <c r="AE336" s="39" t="n">
        <f aca="false">ROUND(K336-U336-MIN(K336-U336,MAX(0,$AF336-SUMPRODUCT(--($B$4:$K$4&lt;K$4),$B336:$K336-$L336:$U336))),2)</f>
        <v>0</v>
      </c>
      <c r="AF336" s="39" t="n">
        <f aca="false">MAX(0,'Start Here'!$C$5-SUM($L336:$U336))</f>
        <v>1200</v>
      </c>
      <c r="AG336" s="39" t="n">
        <f aca="false">SUM(V336:AE336)</f>
        <v>0</v>
      </c>
      <c r="AH336" s="39" t="n">
        <f aca="false">SUM(B336:K336)-AG335</f>
        <v>0</v>
      </c>
    </row>
    <row r="337" customFormat="false" ht="15" hidden="false" customHeight="false" outlineLevel="0" collapsed="false">
      <c r="A337" s="40" t="n">
        <f aca="false">DATE(YEAR('Start Here'!$C$6),MONTH('Start Here'!$C$6)+330,1)</f>
        <v>56340</v>
      </c>
      <c r="B337" s="39" t="n">
        <f aca="false">ROUND(V336*(1+N('My Debts'!$D$6)/12),2)</f>
        <v>0</v>
      </c>
      <c r="C337" s="39" t="n">
        <f aca="false">ROUND(W336*(1+N('My Debts'!$D$7)/12),2)</f>
        <v>0</v>
      </c>
      <c r="D337" s="39" t="n">
        <f aca="false">ROUND(X336*(1+N('My Debts'!$D$8)/12),2)</f>
        <v>0</v>
      </c>
      <c r="E337" s="39" t="n">
        <f aca="false">ROUND(Y336*(1+N('My Debts'!$D$9)/12),2)</f>
        <v>0</v>
      </c>
      <c r="F337" s="39" t="n">
        <f aca="false">ROUND(Z336*(1+N('My Debts'!$D$10)/12),2)</f>
        <v>0</v>
      </c>
      <c r="G337" s="39" t="n">
        <f aca="false">ROUND(AA336*(1+N('My Debts'!$D$11)/12),2)</f>
        <v>0</v>
      </c>
      <c r="H337" s="39" t="n">
        <f aca="false">ROUND(AB336*(1+N('My Debts'!$D$12)/12),2)</f>
        <v>0</v>
      </c>
      <c r="I337" s="39" t="n">
        <f aca="false">ROUND(AC336*(1+N('My Debts'!$D$13)/12),2)</f>
        <v>0</v>
      </c>
      <c r="J337" s="39" t="n">
        <f aca="false">ROUND(AD336*(1+N('My Debts'!$D$14)/12),2)</f>
        <v>0</v>
      </c>
      <c r="K337" s="39" t="n">
        <f aca="false">ROUND(AE336*(1+N('My Debts'!$D$15)/12),2)</f>
        <v>0</v>
      </c>
      <c r="L337" s="39" t="n">
        <f aca="false">MIN(N('My Debts'!$E$6),B337)</f>
        <v>0</v>
      </c>
      <c r="M337" s="39" t="n">
        <f aca="false">MIN(N('My Debts'!$E$7),C337)</f>
        <v>0</v>
      </c>
      <c r="N337" s="39" t="n">
        <f aca="false">MIN(N('My Debts'!$E$8),D337)</f>
        <v>0</v>
      </c>
      <c r="O337" s="39" t="n">
        <f aca="false">MIN(N('My Debts'!$E$9),E337)</f>
        <v>0</v>
      </c>
      <c r="P337" s="39" t="n">
        <f aca="false">MIN(N('My Debts'!$E$10),F337)</f>
        <v>0</v>
      </c>
      <c r="Q337" s="39" t="n">
        <f aca="false">MIN(N('My Debts'!$E$11),G337)</f>
        <v>0</v>
      </c>
      <c r="R337" s="39" t="n">
        <f aca="false">MIN(N('My Debts'!$E$12),H337)</f>
        <v>0</v>
      </c>
      <c r="S337" s="39" t="n">
        <f aca="false">MIN(N('My Debts'!$E$13),I337)</f>
        <v>0</v>
      </c>
      <c r="T337" s="39" t="n">
        <f aca="false">MIN(N('My Debts'!$E$14),J337)</f>
        <v>0</v>
      </c>
      <c r="U337" s="39" t="n">
        <f aca="false">MIN(N('My Debts'!$E$15),K337)</f>
        <v>0</v>
      </c>
      <c r="V337" s="39" t="n">
        <f aca="false">ROUND(B337-L337-MIN(B337-L337,MAX(0,$AF337-SUMPRODUCT(--($B$4:$K$4&lt;B$4),$B337:$K337-$L337:$U337))),2)</f>
        <v>0</v>
      </c>
      <c r="W337" s="39" t="n">
        <f aca="false">ROUND(C337-M337-MIN(C337-M337,MAX(0,$AF337-SUMPRODUCT(--($B$4:$K$4&lt;C$4),$B337:$K337-$L337:$U337))),2)</f>
        <v>0</v>
      </c>
      <c r="X337" s="39" t="n">
        <f aca="false">ROUND(D337-N337-MIN(D337-N337,MAX(0,$AF337-SUMPRODUCT(--($B$4:$K$4&lt;D$4),$B337:$K337-$L337:$U337))),2)</f>
        <v>0</v>
      </c>
      <c r="Y337" s="39" t="n">
        <f aca="false">ROUND(E337-O337-MIN(E337-O337,MAX(0,$AF337-SUMPRODUCT(--($B$4:$K$4&lt;E$4),$B337:$K337-$L337:$U337))),2)</f>
        <v>0</v>
      </c>
      <c r="Z337" s="39" t="n">
        <f aca="false">ROUND(F337-P337-MIN(F337-P337,MAX(0,$AF337-SUMPRODUCT(--($B$4:$K$4&lt;F$4),$B337:$K337-$L337:$U337))),2)</f>
        <v>0</v>
      </c>
      <c r="AA337" s="39" t="n">
        <f aca="false">ROUND(G337-Q337-MIN(G337-Q337,MAX(0,$AF337-SUMPRODUCT(--($B$4:$K$4&lt;G$4),$B337:$K337-$L337:$U337))),2)</f>
        <v>0</v>
      </c>
      <c r="AB337" s="39" t="n">
        <f aca="false">ROUND(H337-R337-MIN(H337-R337,MAX(0,$AF337-SUMPRODUCT(--($B$4:$K$4&lt;H$4),$B337:$K337-$L337:$U337))),2)</f>
        <v>0</v>
      </c>
      <c r="AC337" s="39" t="n">
        <f aca="false">ROUND(I337-S337-MIN(I337-S337,MAX(0,$AF337-SUMPRODUCT(--($B$4:$K$4&lt;I$4),$B337:$K337-$L337:$U337))),2)</f>
        <v>0</v>
      </c>
      <c r="AD337" s="39" t="n">
        <f aca="false">ROUND(J337-T337-MIN(J337-T337,MAX(0,$AF337-SUMPRODUCT(--($B$4:$K$4&lt;J$4),$B337:$K337-$L337:$U337))),2)</f>
        <v>0</v>
      </c>
      <c r="AE337" s="39" t="n">
        <f aca="false">ROUND(K337-U337-MIN(K337-U337,MAX(0,$AF337-SUMPRODUCT(--($B$4:$K$4&lt;K$4),$B337:$K337-$L337:$U337))),2)</f>
        <v>0</v>
      </c>
      <c r="AF337" s="39" t="n">
        <f aca="false">MAX(0,'Start Here'!$C$5-SUM($L337:$U337))</f>
        <v>1200</v>
      </c>
      <c r="AG337" s="39" t="n">
        <f aca="false">SUM(V337:AE337)</f>
        <v>0</v>
      </c>
      <c r="AH337" s="39" t="n">
        <f aca="false">SUM(B337:K337)-AG336</f>
        <v>0</v>
      </c>
    </row>
    <row r="338" customFormat="false" ht="15" hidden="false" customHeight="false" outlineLevel="0" collapsed="false">
      <c r="A338" s="40" t="n">
        <f aca="false">DATE(YEAR('Start Here'!$C$6),MONTH('Start Here'!$C$6)+331,1)</f>
        <v>56370</v>
      </c>
      <c r="B338" s="39" t="n">
        <f aca="false">ROUND(V337*(1+N('My Debts'!$D$6)/12),2)</f>
        <v>0</v>
      </c>
      <c r="C338" s="39" t="n">
        <f aca="false">ROUND(W337*(1+N('My Debts'!$D$7)/12),2)</f>
        <v>0</v>
      </c>
      <c r="D338" s="39" t="n">
        <f aca="false">ROUND(X337*(1+N('My Debts'!$D$8)/12),2)</f>
        <v>0</v>
      </c>
      <c r="E338" s="39" t="n">
        <f aca="false">ROUND(Y337*(1+N('My Debts'!$D$9)/12),2)</f>
        <v>0</v>
      </c>
      <c r="F338" s="39" t="n">
        <f aca="false">ROUND(Z337*(1+N('My Debts'!$D$10)/12),2)</f>
        <v>0</v>
      </c>
      <c r="G338" s="39" t="n">
        <f aca="false">ROUND(AA337*(1+N('My Debts'!$D$11)/12),2)</f>
        <v>0</v>
      </c>
      <c r="H338" s="39" t="n">
        <f aca="false">ROUND(AB337*(1+N('My Debts'!$D$12)/12),2)</f>
        <v>0</v>
      </c>
      <c r="I338" s="39" t="n">
        <f aca="false">ROUND(AC337*(1+N('My Debts'!$D$13)/12),2)</f>
        <v>0</v>
      </c>
      <c r="J338" s="39" t="n">
        <f aca="false">ROUND(AD337*(1+N('My Debts'!$D$14)/12),2)</f>
        <v>0</v>
      </c>
      <c r="K338" s="39" t="n">
        <f aca="false">ROUND(AE337*(1+N('My Debts'!$D$15)/12),2)</f>
        <v>0</v>
      </c>
      <c r="L338" s="39" t="n">
        <f aca="false">MIN(N('My Debts'!$E$6),B338)</f>
        <v>0</v>
      </c>
      <c r="M338" s="39" t="n">
        <f aca="false">MIN(N('My Debts'!$E$7),C338)</f>
        <v>0</v>
      </c>
      <c r="N338" s="39" t="n">
        <f aca="false">MIN(N('My Debts'!$E$8),D338)</f>
        <v>0</v>
      </c>
      <c r="O338" s="39" t="n">
        <f aca="false">MIN(N('My Debts'!$E$9),E338)</f>
        <v>0</v>
      </c>
      <c r="P338" s="39" t="n">
        <f aca="false">MIN(N('My Debts'!$E$10),F338)</f>
        <v>0</v>
      </c>
      <c r="Q338" s="39" t="n">
        <f aca="false">MIN(N('My Debts'!$E$11),G338)</f>
        <v>0</v>
      </c>
      <c r="R338" s="39" t="n">
        <f aca="false">MIN(N('My Debts'!$E$12),H338)</f>
        <v>0</v>
      </c>
      <c r="S338" s="39" t="n">
        <f aca="false">MIN(N('My Debts'!$E$13),I338)</f>
        <v>0</v>
      </c>
      <c r="T338" s="39" t="n">
        <f aca="false">MIN(N('My Debts'!$E$14),J338)</f>
        <v>0</v>
      </c>
      <c r="U338" s="39" t="n">
        <f aca="false">MIN(N('My Debts'!$E$15),K338)</f>
        <v>0</v>
      </c>
      <c r="V338" s="39" t="n">
        <f aca="false">ROUND(B338-L338-MIN(B338-L338,MAX(0,$AF338-SUMPRODUCT(--($B$4:$K$4&lt;B$4),$B338:$K338-$L338:$U338))),2)</f>
        <v>0</v>
      </c>
      <c r="W338" s="39" t="n">
        <f aca="false">ROUND(C338-M338-MIN(C338-M338,MAX(0,$AF338-SUMPRODUCT(--($B$4:$K$4&lt;C$4),$B338:$K338-$L338:$U338))),2)</f>
        <v>0</v>
      </c>
      <c r="X338" s="39" t="n">
        <f aca="false">ROUND(D338-N338-MIN(D338-N338,MAX(0,$AF338-SUMPRODUCT(--($B$4:$K$4&lt;D$4),$B338:$K338-$L338:$U338))),2)</f>
        <v>0</v>
      </c>
      <c r="Y338" s="39" t="n">
        <f aca="false">ROUND(E338-O338-MIN(E338-O338,MAX(0,$AF338-SUMPRODUCT(--($B$4:$K$4&lt;E$4),$B338:$K338-$L338:$U338))),2)</f>
        <v>0</v>
      </c>
      <c r="Z338" s="39" t="n">
        <f aca="false">ROUND(F338-P338-MIN(F338-P338,MAX(0,$AF338-SUMPRODUCT(--($B$4:$K$4&lt;F$4),$B338:$K338-$L338:$U338))),2)</f>
        <v>0</v>
      </c>
      <c r="AA338" s="39" t="n">
        <f aca="false">ROUND(G338-Q338-MIN(G338-Q338,MAX(0,$AF338-SUMPRODUCT(--($B$4:$K$4&lt;G$4),$B338:$K338-$L338:$U338))),2)</f>
        <v>0</v>
      </c>
      <c r="AB338" s="39" t="n">
        <f aca="false">ROUND(H338-R338-MIN(H338-R338,MAX(0,$AF338-SUMPRODUCT(--($B$4:$K$4&lt;H$4),$B338:$K338-$L338:$U338))),2)</f>
        <v>0</v>
      </c>
      <c r="AC338" s="39" t="n">
        <f aca="false">ROUND(I338-S338-MIN(I338-S338,MAX(0,$AF338-SUMPRODUCT(--($B$4:$K$4&lt;I$4),$B338:$K338-$L338:$U338))),2)</f>
        <v>0</v>
      </c>
      <c r="AD338" s="39" t="n">
        <f aca="false">ROUND(J338-T338-MIN(J338-T338,MAX(0,$AF338-SUMPRODUCT(--($B$4:$K$4&lt;J$4),$B338:$K338-$L338:$U338))),2)</f>
        <v>0</v>
      </c>
      <c r="AE338" s="39" t="n">
        <f aca="false">ROUND(K338-U338-MIN(K338-U338,MAX(0,$AF338-SUMPRODUCT(--($B$4:$K$4&lt;K$4),$B338:$K338-$L338:$U338))),2)</f>
        <v>0</v>
      </c>
      <c r="AF338" s="39" t="n">
        <f aca="false">MAX(0,'Start Here'!$C$5-SUM($L338:$U338))</f>
        <v>1200</v>
      </c>
      <c r="AG338" s="39" t="n">
        <f aca="false">SUM(V338:AE338)</f>
        <v>0</v>
      </c>
      <c r="AH338" s="39" t="n">
        <f aca="false">SUM(B338:K338)-AG337</f>
        <v>0</v>
      </c>
    </row>
    <row r="339" customFormat="false" ht="15" hidden="false" customHeight="false" outlineLevel="0" collapsed="false">
      <c r="A339" s="40" t="n">
        <f aca="false">DATE(YEAR('Start Here'!$C$6),MONTH('Start Here'!$C$6)+332,1)</f>
        <v>56401</v>
      </c>
      <c r="B339" s="39" t="n">
        <f aca="false">ROUND(V338*(1+N('My Debts'!$D$6)/12),2)</f>
        <v>0</v>
      </c>
      <c r="C339" s="39" t="n">
        <f aca="false">ROUND(W338*(1+N('My Debts'!$D$7)/12),2)</f>
        <v>0</v>
      </c>
      <c r="D339" s="39" t="n">
        <f aca="false">ROUND(X338*(1+N('My Debts'!$D$8)/12),2)</f>
        <v>0</v>
      </c>
      <c r="E339" s="39" t="n">
        <f aca="false">ROUND(Y338*(1+N('My Debts'!$D$9)/12),2)</f>
        <v>0</v>
      </c>
      <c r="F339" s="39" t="n">
        <f aca="false">ROUND(Z338*(1+N('My Debts'!$D$10)/12),2)</f>
        <v>0</v>
      </c>
      <c r="G339" s="39" t="n">
        <f aca="false">ROUND(AA338*(1+N('My Debts'!$D$11)/12),2)</f>
        <v>0</v>
      </c>
      <c r="H339" s="39" t="n">
        <f aca="false">ROUND(AB338*(1+N('My Debts'!$D$12)/12),2)</f>
        <v>0</v>
      </c>
      <c r="I339" s="39" t="n">
        <f aca="false">ROUND(AC338*(1+N('My Debts'!$D$13)/12),2)</f>
        <v>0</v>
      </c>
      <c r="J339" s="39" t="n">
        <f aca="false">ROUND(AD338*(1+N('My Debts'!$D$14)/12),2)</f>
        <v>0</v>
      </c>
      <c r="K339" s="39" t="n">
        <f aca="false">ROUND(AE338*(1+N('My Debts'!$D$15)/12),2)</f>
        <v>0</v>
      </c>
      <c r="L339" s="39" t="n">
        <f aca="false">MIN(N('My Debts'!$E$6),B339)</f>
        <v>0</v>
      </c>
      <c r="M339" s="39" t="n">
        <f aca="false">MIN(N('My Debts'!$E$7),C339)</f>
        <v>0</v>
      </c>
      <c r="N339" s="39" t="n">
        <f aca="false">MIN(N('My Debts'!$E$8),D339)</f>
        <v>0</v>
      </c>
      <c r="O339" s="39" t="n">
        <f aca="false">MIN(N('My Debts'!$E$9),E339)</f>
        <v>0</v>
      </c>
      <c r="P339" s="39" t="n">
        <f aca="false">MIN(N('My Debts'!$E$10),F339)</f>
        <v>0</v>
      </c>
      <c r="Q339" s="39" t="n">
        <f aca="false">MIN(N('My Debts'!$E$11),G339)</f>
        <v>0</v>
      </c>
      <c r="R339" s="39" t="n">
        <f aca="false">MIN(N('My Debts'!$E$12),H339)</f>
        <v>0</v>
      </c>
      <c r="S339" s="39" t="n">
        <f aca="false">MIN(N('My Debts'!$E$13),I339)</f>
        <v>0</v>
      </c>
      <c r="T339" s="39" t="n">
        <f aca="false">MIN(N('My Debts'!$E$14),J339)</f>
        <v>0</v>
      </c>
      <c r="U339" s="39" t="n">
        <f aca="false">MIN(N('My Debts'!$E$15),K339)</f>
        <v>0</v>
      </c>
      <c r="V339" s="39" t="n">
        <f aca="false">ROUND(B339-L339-MIN(B339-L339,MAX(0,$AF339-SUMPRODUCT(--($B$4:$K$4&lt;B$4),$B339:$K339-$L339:$U339))),2)</f>
        <v>0</v>
      </c>
      <c r="W339" s="39" t="n">
        <f aca="false">ROUND(C339-M339-MIN(C339-M339,MAX(0,$AF339-SUMPRODUCT(--($B$4:$K$4&lt;C$4),$B339:$K339-$L339:$U339))),2)</f>
        <v>0</v>
      </c>
      <c r="X339" s="39" t="n">
        <f aca="false">ROUND(D339-N339-MIN(D339-N339,MAX(0,$AF339-SUMPRODUCT(--($B$4:$K$4&lt;D$4),$B339:$K339-$L339:$U339))),2)</f>
        <v>0</v>
      </c>
      <c r="Y339" s="39" t="n">
        <f aca="false">ROUND(E339-O339-MIN(E339-O339,MAX(0,$AF339-SUMPRODUCT(--($B$4:$K$4&lt;E$4),$B339:$K339-$L339:$U339))),2)</f>
        <v>0</v>
      </c>
      <c r="Z339" s="39" t="n">
        <f aca="false">ROUND(F339-P339-MIN(F339-P339,MAX(0,$AF339-SUMPRODUCT(--($B$4:$K$4&lt;F$4),$B339:$K339-$L339:$U339))),2)</f>
        <v>0</v>
      </c>
      <c r="AA339" s="39" t="n">
        <f aca="false">ROUND(G339-Q339-MIN(G339-Q339,MAX(0,$AF339-SUMPRODUCT(--($B$4:$K$4&lt;G$4),$B339:$K339-$L339:$U339))),2)</f>
        <v>0</v>
      </c>
      <c r="AB339" s="39" t="n">
        <f aca="false">ROUND(H339-R339-MIN(H339-R339,MAX(0,$AF339-SUMPRODUCT(--($B$4:$K$4&lt;H$4),$B339:$K339-$L339:$U339))),2)</f>
        <v>0</v>
      </c>
      <c r="AC339" s="39" t="n">
        <f aca="false">ROUND(I339-S339-MIN(I339-S339,MAX(0,$AF339-SUMPRODUCT(--($B$4:$K$4&lt;I$4),$B339:$K339-$L339:$U339))),2)</f>
        <v>0</v>
      </c>
      <c r="AD339" s="39" t="n">
        <f aca="false">ROUND(J339-T339-MIN(J339-T339,MAX(0,$AF339-SUMPRODUCT(--($B$4:$K$4&lt;J$4),$B339:$K339-$L339:$U339))),2)</f>
        <v>0</v>
      </c>
      <c r="AE339" s="39" t="n">
        <f aca="false">ROUND(K339-U339-MIN(K339-U339,MAX(0,$AF339-SUMPRODUCT(--($B$4:$K$4&lt;K$4),$B339:$K339-$L339:$U339))),2)</f>
        <v>0</v>
      </c>
      <c r="AF339" s="39" t="n">
        <f aca="false">MAX(0,'Start Here'!$C$5-SUM($L339:$U339))</f>
        <v>1200</v>
      </c>
      <c r="AG339" s="39" t="n">
        <f aca="false">SUM(V339:AE339)</f>
        <v>0</v>
      </c>
      <c r="AH339" s="39" t="n">
        <f aca="false">SUM(B339:K339)-AG338</f>
        <v>0</v>
      </c>
    </row>
    <row r="340" customFormat="false" ht="15" hidden="false" customHeight="false" outlineLevel="0" collapsed="false">
      <c r="A340" s="40" t="n">
        <f aca="false">DATE(YEAR('Start Here'!$C$6),MONTH('Start Here'!$C$6)+333,1)</f>
        <v>56431</v>
      </c>
      <c r="B340" s="39" t="n">
        <f aca="false">ROUND(V339*(1+N('My Debts'!$D$6)/12),2)</f>
        <v>0</v>
      </c>
      <c r="C340" s="39" t="n">
        <f aca="false">ROUND(W339*(1+N('My Debts'!$D$7)/12),2)</f>
        <v>0</v>
      </c>
      <c r="D340" s="39" t="n">
        <f aca="false">ROUND(X339*(1+N('My Debts'!$D$8)/12),2)</f>
        <v>0</v>
      </c>
      <c r="E340" s="39" t="n">
        <f aca="false">ROUND(Y339*(1+N('My Debts'!$D$9)/12),2)</f>
        <v>0</v>
      </c>
      <c r="F340" s="39" t="n">
        <f aca="false">ROUND(Z339*(1+N('My Debts'!$D$10)/12),2)</f>
        <v>0</v>
      </c>
      <c r="G340" s="39" t="n">
        <f aca="false">ROUND(AA339*(1+N('My Debts'!$D$11)/12),2)</f>
        <v>0</v>
      </c>
      <c r="H340" s="39" t="n">
        <f aca="false">ROUND(AB339*(1+N('My Debts'!$D$12)/12),2)</f>
        <v>0</v>
      </c>
      <c r="I340" s="39" t="n">
        <f aca="false">ROUND(AC339*(1+N('My Debts'!$D$13)/12),2)</f>
        <v>0</v>
      </c>
      <c r="J340" s="39" t="n">
        <f aca="false">ROUND(AD339*(1+N('My Debts'!$D$14)/12),2)</f>
        <v>0</v>
      </c>
      <c r="K340" s="39" t="n">
        <f aca="false">ROUND(AE339*(1+N('My Debts'!$D$15)/12),2)</f>
        <v>0</v>
      </c>
      <c r="L340" s="39" t="n">
        <f aca="false">MIN(N('My Debts'!$E$6),B340)</f>
        <v>0</v>
      </c>
      <c r="M340" s="39" t="n">
        <f aca="false">MIN(N('My Debts'!$E$7),C340)</f>
        <v>0</v>
      </c>
      <c r="N340" s="39" t="n">
        <f aca="false">MIN(N('My Debts'!$E$8),D340)</f>
        <v>0</v>
      </c>
      <c r="O340" s="39" t="n">
        <f aca="false">MIN(N('My Debts'!$E$9),E340)</f>
        <v>0</v>
      </c>
      <c r="P340" s="39" t="n">
        <f aca="false">MIN(N('My Debts'!$E$10),F340)</f>
        <v>0</v>
      </c>
      <c r="Q340" s="39" t="n">
        <f aca="false">MIN(N('My Debts'!$E$11),G340)</f>
        <v>0</v>
      </c>
      <c r="R340" s="39" t="n">
        <f aca="false">MIN(N('My Debts'!$E$12),H340)</f>
        <v>0</v>
      </c>
      <c r="S340" s="39" t="n">
        <f aca="false">MIN(N('My Debts'!$E$13),I340)</f>
        <v>0</v>
      </c>
      <c r="T340" s="39" t="n">
        <f aca="false">MIN(N('My Debts'!$E$14),J340)</f>
        <v>0</v>
      </c>
      <c r="U340" s="39" t="n">
        <f aca="false">MIN(N('My Debts'!$E$15),K340)</f>
        <v>0</v>
      </c>
      <c r="V340" s="39" t="n">
        <f aca="false">ROUND(B340-L340-MIN(B340-L340,MAX(0,$AF340-SUMPRODUCT(--($B$4:$K$4&lt;B$4),$B340:$K340-$L340:$U340))),2)</f>
        <v>0</v>
      </c>
      <c r="W340" s="39" t="n">
        <f aca="false">ROUND(C340-M340-MIN(C340-M340,MAX(0,$AF340-SUMPRODUCT(--($B$4:$K$4&lt;C$4),$B340:$K340-$L340:$U340))),2)</f>
        <v>0</v>
      </c>
      <c r="X340" s="39" t="n">
        <f aca="false">ROUND(D340-N340-MIN(D340-N340,MAX(0,$AF340-SUMPRODUCT(--($B$4:$K$4&lt;D$4),$B340:$K340-$L340:$U340))),2)</f>
        <v>0</v>
      </c>
      <c r="Y340" s="39" t="n">
        <f aca="false">ROUND(E340-O340-MIN(E340-O340,MAX(0,$AF340-SUMPRODUCT(--($B$4:$K$4&lt;E$4),$B340:$K340-$L340:$U340))),2)</f>
        <v>0</v>
      </c>
      <c r="Z340" s="39" t="n">
        <f aca="false">ROUND(F340-P340-MIN(F340-P340,MAX(0,$AF340-SUMPRODUCT(--($B$4:$K$4&lt;F$4),$B340:$K340-$L340:$U340))),2)</f>
        <v>0</v>
      </c>
      <c r="AA340" s="39" t="n">
        <f aca="false">ROUND(G340-Q340-MIN(G340-Q340,MAX(0,$AF340-SUMPRODUCT(--($B$4:$K$4&lt;G$4),$B340:$K340-$L340:$U340))),2)</f>
        <v>0</v>
      </c>
      <c r="AB340" s="39" t="n">
        <f aca="false">ROUND(H340-R340-MIN(H340-R340,MAX(0,$AF340-SUMPRODUCT(--($B$4:$K$4&lt;H$4),$B340:$K340-$L340:$U340))),2)</f>
        <v>0</v>
      </c>
      <c r="AC340" s="39" t="n">
        <f aca="false">ROUND(I340-S340-MIN(I340-S340,MAX(0,$AF340-SUMPRODUCT(--($B$4:$K$4&lt;I$4),$B340:$K340-$L340:$U340))),2)</f>
        <v>0</v>
      </c>
      <c r="AD340" s="39" t="n">
        <f aca="false">ROUND(J340-T340-MIN(J340-T340,MAX(0,$AF340-SUMPRODUCT(--($B$4:$K$4&lt;J$4),$B340:$K340-$L340:$U340))),2)</f>
        <v>0</v>
      </c>
      <c r="AE340" s="39" t="n">
        <f aca="false">ROUND(K340-U340-MIN(K340-U340,MAX(0,$AF340-SUMPRODUCT(--($B$4:$K$4&lt;K$4),$B340:$K340-$L340:$U340))),2)</f>
        <v>0</v>
      </c>
      <c r="AF340" s="39" t="n">
        <f aca="false">MAX(0,'Start Here'!$C$5-SUM($L340:$U340))</f>
        <v>1200</v>
      </c>
      <c r="AG340" s="39" t="n">
        <f aca="false">SUM(V340:AE340)</f>
        <v>0</v>
      </c>
      <c r="AH340" s="39" t="n">
        <f aca="false">SUM(B340:K340)-AG339</f>
        <v>0</v>
      </c>
    </row>
    <row r="341" customFormat="false" ht="15" hidden="false" customHeight="false" outlineLevel="0" collapsed="false">
      <c r="A341" s="40" t="n">
        <f aca="false">DATE(YEAR('Start Here'!$C$6),MONTH('Start Here'!$C$6)+334,1)</f>
        <v>56462</v>
      </c>
      <c r="B341" s="39" t="n">
        <f aca="false">ROUND(V340*(1+N('My Debts'!$D$6)/12),2)</f>
        <v>0</v>
      </c>
      <c r="C341" s="39" t="n">
        <f aca="false">ROUND(W340*(1+N('My Debts'!$D$7)/12),2)</f>
        <v>0</v>
      </c>
      <c r="D341" s="39" t="n">
        <f aca="false">ROUND(X340*(1+N('My Debts'!$D$8)/12),2)</f>
        <v>0</v>
      </c>
      <c r="E341" s="39" t="n">
        <f aca="false">ROUND(Y340*(1+N('My Debts'!$D$9)/12),2)</f>
        <v>0</v>
      </c>
      <c r="F341" s="39" t="n">
        <f aca="false">ROUND(Z340*(1+N('My Debts'!$D$10)/12),2)</f>
        <v>0</v>
      </c>
      <c r="G341" s="39" t="n">
        <f aca="false">ROUND(AA340*(1+N('My Debts'!$D$11)/12),2)</f>
        <v>0</v>
      </c>
      <c r="H341" s="39" t="n">
        <f aca="false">ROUND(AB340*(1+N('My Debts'!$D$12)/12),2)</f>
        <v>0</v>
      </c>
      <c r="I341" s="39" t="n">
        <f aca="false">ROUND(AC340*(1+N('My Debts'!$D$13)/12),2)</f>
        <v>0</v>
      </c>
      <c r="J341" s="39" t="n">
        <f aca="false">ROUND(AD340*(1+N('My Debts'!$D$14)/12),2)</f>
        <v>0</v>
      </c>
      <c r="K341" s="39" t="n">
        <f aca="false">ROUND(AE340*(1+N('My Debts'!$D$15)/12),2)</f>
        <v>0</v>
      </c>
      <c r="L341" s="39" t="n">
        <f aca="false">MIN(N('My Debts'!$E$6),B341)</f>
        <v>0</v>
      </c>
      <c r="M341" s="39" t="n">
        <f aca="false">MIN(N('My Debts'!$E$7),C341)</f>
        <v>0</v>
      </c>
      <c r="N341" s="39" t="n">
        <f aca="false">MIN(N('My Debts'!$E$8),D341)</f>
        <v>0</v>
      </c>
      <c r="O341" s="39" t="n">
        <f aca="false">MIN(N('My Debts'!$E$9),E341)</f>
        <v>0</v>
      </c>
      <c r="P341" s="39" t="n">
        <f aca="false">MIN(N('My Debts'!$E$10),F341)</f>
        <v>0</v>
      </c>
      <c r="Q341" s="39" t="n">
        <f aca="false">MIN(N('My Debts'!$E$11),G341)</f>
        <v>0</v>
      </c>
      <c r="R341" s="39" t="n">
        <f aca="false">MIN(N('My Debts'!$E$12),H341)</f>
        <v>0</v>
      </c>
      <c r="S341" s="39" t="n">
        <f aca="false">MIN(N('My Debts'!$E$13),I341)</f>
        <v>0</v>
      </c>
      <c r="T341" s="39" t="n">
        <f aca="false">MIN(N('My Debts'!$E$14),J341)</f>
        <v>0</v>
      </c>
      <c r="U341" s="39" t="n">
        <f aca="false">MIN(N('My Debts'!$E$15),K341)</f>
        <v>0</v>
      </c>
      <c r="V341" s="39" t="n">
        <f aca="false">ROUND(B341-L341-MIN(B341-L341,MAX(0,$AF341-SUMPRODUCT(--($B$4:$K$4&lt;B$4),$B341:$K341-$L341:$U341))),2)</f>
        <v>0</v>
      </c>
      <c r="W341" s="39" t="n">
        <f aca="false">ROUND(C341-M341-MIN(C341-M341,MAX(0,$AF341-SUMPRODUCT(--($B$4:$K$4&lt;C$4),$B341:$K341-$L341:$U341))),2)</f>
        <v>0</v>
      </c>
      <c r="X341" s="39" t="n">
        <f aca="false">ROUND(D341-N341-MIN(D341-N341,MAX(0,$AF341-SUMPRODUCT(--($B$4:$K$4&lt;D$4),$B341:$K341-$L341:$U341))),2)</f>
        <v>0</v>
      </c>
      <c r="Y341" s="39" t="n">
        <f aca="false">ROUND(E341-O341-MIN(E341-O341,MAX(0,$AF341-SUMPRODUCT(--($B$4:$K$4&lt;E$4),$B341:$K341-$L341:$U341))),2)</f>
        <v>0</v>
      </c>
      <c r="Z341" s="39" t="n">
        <f aca="false">ROUND(F341-P341-MIN(F341-P341,MAX(0,$AF341-SUMPRODUCT(--($B$4:$K$4&lt;F$4),$B341:$K341-$L341:$U341))),2)</f>
        <v>0</v>
      </c>
      <c r="AA341" s="39" t="n">
        <f aca="false">ROUND(G341-Q341-MIN(G341-Q341,MAX(0,$AF341-SUMPRODUCT(--($B$4:$K$4&lt;G$4),$B341:$K341-$L341:$U341))),2)</f>
        <v>0</v>
      </c>
      <c r="AB341" s="39" t="n">
        <f aca="false">ROUND(H341-R341-MIN(H341-R341,MAX(0,$AF341-SUMPRODUCT(--($B$4:$K$4&lt;H$4),$B341:$K341-$L341:$U341))),2)</f>
        <v>0</v>
      </c>
      <c r="AC341" s="39" t="n">
        <f aca="false">ROUND(I341-S341-MIN(I341-S341,MAX(0,$AF341-SUMPRODUCT(--($B$4:$K$4&lt;I$4),$B341:$K341-$L341:$U341))),2)</f>
        <v>0</v>
      </c>
      <c r="AD341" s="39" t="n">
        <f aca="false">ROUND(J341-T341-MIN(J341-T341,MAX(0,$AF341-SUMPRODUCT(--($B$4:$K$4&lt;J$4),$B341:$K341-$L341:$U341))),2)</f>
        <v>0</v>
      </c>
      <c r="AE341" s="39" t="n">
        <f aca="false">ROUND(K341-U341-MIN(K341-U341,MAX(0,$AF341-SUMPRODUCT(--($B$4:$K$4&lt;K$4),$B341:$K341-$L341:$U341))),2)</f>
        <v>0</v>
      </c>
      <c r="AF341" s="39" t="n">
        <f aca="false">MAX(0,'Start Here'!$C$5-SUM($L341:$U341))</f>
        <v>1200</v>
      </c>
      <c r="AG341" s="39" t="n">
        <f aca="false">SUM(V341:AE341)</f>
        <v>0</v>
      </c>
      <c r="AH341" s="39" t="n">
        <f aca="false">SUM(B341:K341)-AG340</f>
        <v>0</v>
      </c>
    </row>
    <row r="342" customFormat="false" ht="15" hidden="false" customHeight="false" outlineLevel="0" collapsed="false">
      <c r="A342" s="40" t="n">
        <f aca="false">DATE(YEAR('Start Here'!$C$6),MONTH('Start Here'!$C$6)+335,1)</f>
        <v>56493</v>
      </c>
      <c r="B342" s="39" t="n">
        <f aca="false">ROUND(V341*(1+N('My Debts'!$D$6)/12),2)</f>
        <v>0</v>
      </c>
      <c r="C342" s="39" t="n">
        <f aca="false">ROUND(W341*(1+N('My Debts'!$D$7)/12),2)</f>
        <v>0</v>
      </c>
      <c r="D342" s="39" t="n">
        <f aca="false">ROUND(X341*(1+N('My Debts'!$D$8)/12),2)</f>
        <v>0</v>
      </c>
      <c r="E342" s="39" t="n">
        <f aca="false">ROUND(Y341*(1+N('My Debts'!$D$9)/12),2)</f>
        <v>0</v>
      </c>
      <c r="F342" s="39" t="n">
        <f aca="false">ROUND(Z341*(1+N('My Debts'!$D$10)/12),2)</f>
        <v>0</v>
      </c>
      <c r="G342" s="39" t="n">
        <f aca="false">ROUND(AA341*(1+N('My Debts'!$D$11)/12),2)</f>
        <v>0</v>
      </c>
      <c r="H342" s="39" t="n">
        <f aca="false">ROUND(AB341*(1+N('My Debts'!$D$12)/12),2)</f>
        <v>0</v>
      </c>
      <c r="I342" s="39" t="n">
        <f aca="false">ROUND(AC341*(1+N('My Debts'!$D$13)/12),2)</f>
        <v>0</v>
      </c>
      <c r="J342" s="39" t="n">
        <f aca="false">ROUND(AD341*(1+N('My Debts'!$D$14)/12),2)</f>
        <v>0</v>
      </c>
      <c r="K342" s="39" t="n">
        <f aca="false">ROUND(AE341*(1+N('My Debts'!$D$15)/12),2)</f>
        <v>0</v>
      </c>
      <c r="L342" s="39" t="n">
        <f aca="false">MIN(N('My Debts'!$E$6),B342)</f>
        <v>0</v>
      </c>
      <c r="M342" s="39" t="n">
        <f aca="false">MIN(N('My Debts'!$E$7),C342)</f>
        <v>0</v>
      </c>
      <c r="N342" s="39" t="n">
        <f aca="false">MIN(N('My Debts'!$E$8),D342)</f>
        <v>0</v>
      </c>
      <c r="O342" s="39" t="n">
        <f aca="false">MIN(N('My Debts'!$E$9),E342)</f>
        <v>0</v>
      </c>
      <c r="P342" s="39" t="n">
        <f aca="false">MIN(N('My Debts'!$E$10),F342)</f>
        <v>0</v>
      </c>
      <c r="Q342" s="39" t="n">
        <f aca="false">MIN(N('My Debts'!$E$11),G342)</f>
        <v>0</v>
      </c>
      <c r="R342" s="39" t="n">
        <f aca="false">MIN(N('My Debts'!$E$12),H342)</f>
        <v>0</v>
      </c>
      <c r="S342" s="39" t="n">
        <f aca="false">MIN(N('My Debts'!$E$13),I342)</f>
        <v>0</v>
      </c>
      <c r="T342" s="39" t="n">
        <f aca="false">MIN(N('My Debts'!$E$14),J342)</f>
        <v>0</v>
      </c>
      <c r="U342" s="39" t="n">
        <f aca="false">MIN(N('My Debts'!$E$15),K342)</f>
        <v>0</v>
      </c>
      <c r="V342" s="39" t="n">
        <f aca="false">ROUND(B342-L342-MIN(B342-L342,MAX(0,$AF342-SUMPRODUCT(--($B$4:$K$4&lt;B$4),$B342:$K342-$L342:$U342))),2)</f>
        <v>0</v>
      </c>
      <c r="W342" s="39" t="n">
        <f aca="false">ROUND(C342-M342-MIN(C342-M342,MAX(0,$AF342-SUMPRODUCT(--($B$4:$K$4&lt;C$4),$B342:$K342-$L342:$U342))),2)</f>
        <v>0</v>
      </c>
      <c r="X342" s="39" t="n">
        <f aca="false">ROUND(D342-N342-MIN(D342-N342,MAX(0,$AF342-SUMPRODUCT(--($B$4:$K$4&lt;D$4),$B342:$K342-$L342:$U342))),2)</f>
        <v>0</v>
      </c>
      <c r="Y342" s="39" t="n">
        <f aca="false">ROUND(E342-O342-MIN(E342-O342,MAX(0,$AF342-SUMPRODUCT(--($B$4:$K$4&lt;E$4),$B342:$K342-$L342:$U342))),2)</f>
        <v>0</v>
      </c>
      <c r="Z342" s="39" t="n">
        <f aca="false">ROUND(F342-P342-MIN(F342-P342,MAX(0,$AF342-SUMPRODUCT(--($B$4:$K$4&lt;F$4),$B342:$K342-$L342:$U342))),2)</f>
        <v>0</v>
      </c>
      <c r="AA342" s="39" t="n">
        <f aca="false">ROUND(G342-Q342-MIN(G342-Q342,MAX(0,$AF342-SUMPRODUCT(--($B$4:$K$4&lt;G$4),$B342:$K342-$L342:$U342))),2)</f>
        <v>0</v>
      </c>
      <c r="AB342" s="39" t="n">
        <f aca="false">ROUND(H342-R342-MIN(H342-R342,MAX(0,$AF342-SUMPRODUCT(--($B$4:$K$4&lt;H$4),$B342:$K342-$L342:$U342))),2)</f>
        <v>0</v>
      </c>
      <c r="AC342" s="39" t="n">
        <f aca="false">ROUND(I342-S342-MIN(I342-S342,MAX(0,$AF342-SUMPRODUCT(--($B$4:$K$4&lt;I$4),$B342:$K342-$L342:$U342))),2)</f>
        <v>0</v>
      </c>
      <c r="AD342" s="39" t="n">
        <f aca="false">ROUND(J342-T342-MIN(J342-T342,MAX(0,$AF342-SUMPRODUCT(--($B$4:$K$4&lt;J$4),$B342:$K342-$L342:$U342))),2)</f>
        <v>0</v>
      </c>
      <c r="AE342" s="39" t="n">
        <f aca="false">ROUND(K342-U342-MIN(K342-U342,MAX(0,$AF342-SUMPRODUCT(--($B$4:$K$4&lt;K$4),$B342:$K342-$L342:$U342))),2)</f>
        <v>0</v>
      </c>
      <c r="AF342" s="39" t="n">
        <f aca="false">MAX(0,'Start Here'!$C$5-SUM($L342:$U342))</f>
        <v>1200</v>
      </c>
      <c r="AG342" s="39" t="n">
        <f aca="false">SUM(V342:AE342)</f>
        <v>0</v>
      </c>
      <c r="AH342" s="39" t="n">
        <f aca="false">SUM(B342:K342)-AG341</f>
        <v>0</v>
      </c>
    </row>
    <row r="343" customFormat="false" ht="15" hidden="false" customHeight="false" outlineLevel="0" collapsed="false">
      <c r="A343" s="40" t="n">
        <f aca="false">DATE(YEAR('Start Here'!$C$6),MONTH('Start Here'!$C$6)+336,1)</f>
        <v>56523</v>
      </c>
      <c r="B343" s="39" t="n">
        <f aca="false">ROUND(V342*(1+N('My Debts'!$D$6)/12),2)</f>
        <v>0</v>
      </c>
      <c r="C343" s="39" t="n">
        <f aca="false">ROUND(W342*(1+N('My Debts'!$D$7)/12),2)</f>
        <v>0</v>
      </c>
      <c r="D343" s="39" t="n">
        <f aca="false">ROUND(X342*(1+N('My Debts'!$D$8)/12),2)</f>
        <v>0</v>
      </c>
      <c r="E343" s="39" t="n">
        <f aca="false">ROUND(Y342*(1+N('My Debts'!$D$9)/12),2)</f>
        <v>0</v>
      </c>
      <c r="F343" s="39" t="n">
        <f aca="false">ROUND(Z342*(1+N('My Debts'!$D$10)/12),2)</f>
        <v>0</v>
      </c>
      <c r="G343" s="39" t="n">
        <f aca="false">ROUND(AA342*(1+N('My Debts'!$D$11)/12),2)</f>
        <v>0</v>
      </c>
      <c r="H343" s="39" t="n">
        <f aca="false">ROUND(AB342*(1+N('My Debts'!$D$12)/12),2)</f>
        <v>0</v>
      </c>
      <c r="I343" s="39" t="n">
        <f aca="false">ROUND(AC342*(1+N('My Debts'!$D$13)/12),2)</f>
        <v>0</v>
      </c>
      <c r="J343" s="39" t="n">
        <f aca="false">ROUND(AD342*(1+N('My Debts'!$D$14)/12),2)</f>
        <v>0</v>
      </c>
      <c r="K343" s="39" t="n">
        <f aca="false">ROUND(AE342*(1+N('My Debts'!$D$15)/12),2)</f>
        <v>0</v>
      </c>
      <c r="L343" s="39" t="n">
        <f aca="false">MIN(N('My Debts'!$E$6),B343)</f>
        <v>0</v>
      </c>
      <c r="M343" s="39" t="n">
        <f aca="false">MIN(N('My Debts'!$E$7),C343)</f>
        <v>0</v>
      </c>
      <c r="N343" s="39" t="n">
        <f aca="false">MIN(N('My Debts'!$E$8),D343)</f>
        <v>0</v>
      </c>
      <c r="O343" s="39" t="n">
        <f aca="false">MIN(N('My Debts'!$E$9),E343)</f>
        <v>0</v>
      </c>
      <c r="P343" s="39" t="n">
        <f aca="false">MIN(N('My Debts'!$E$10),F343)</f>
        <v>0</v>
      </c>
      <c r="Q343" s="39" t="n">
        <f aca="false">MIN(N('My Debts'!$E$11),G343)</f>
        <v>0</v>
      </c>
      <c r="R343" s="39" t="n">
        <f aca="false">MIN(N('My Debts'!$E$12),H343)</f>
        <v>0</v>
      </c>
      <c r="S343" s="39" t="n">
        <f aca="false">MIN(N('My Debts'!$E$13),I343)</f>
        <v>0</v>
      </c>
      <c r="T343" s="39" t="n">
        <f aca="false">MIN(N('My Debts'!$E$14),J343)</f>
        <v>0</v>
      </c>
      <c r="U343" s="39" t="n">
        <f aca="false">MIN(N('My Debts'!$E$15),K343)</f>
        <v>0</v>
      </c>
      <c r="V343" s="39" t="n">
        <f aca="false">ROUND(B343-L343-MIN(B343-L343,MAX(0,$AF343-SUMPRODUCT(--($B$4:$K$4&lt;B$4),$B343:$K343-$L343:$U343))),2)</f>
        <v>0</v>
      </c>
      <c r="W343" s="39" t="n">
        <f aca="false">ROUND(C343-M343-MIN(C343-M343,MAX(0,$AF343-SUMPRODUCT(--($B$4:$K$4&lt;C$4),$B343:$K343-$L343:$U343))),2)</f>
        <v>0</v>
      </c>
      <c r="X343" s="39" t="n">
        <f aca="false">ROUND(D343-N343-MIN(D343-N343,MAX(0,$AF343-SUMPRODUCT(--($B$4:$K$4&lt;D$4),$B343:$K343-$L343:$U343))),2)</f>
        <v>0</v>
      </c>
      <c r="Y343" s="39" t="n">
        <f aca="false">ROUND(E343-O343-MIN(E343-O343,MAX(0,$AF343-SUMPRODUCT(--($B$4:$K$4&lt;E$4),$B343:$K343-$L343:$U343))),2)</f>
        <v>0</v>
      </c>
      <c r="Z343" s="39" t="n">
        <f aca="false">ROUND(F343-P343-MIN(F343-P343,MAX(0,$AF343-SUMPRODUCT(--($B$4:$K$4&lt;F$4),$B343:$K343-$L343:$U343))),2)</f>
        <v>0</v>
      </c>
      <c r="AA343" s="39" t="n">
        <f aca="false">ROUND(G343-Q343-MIN(G343-Q343,MAX(0,$AF343-SUMPRODUCT(--($B$4:$K$4&lt;G$4),$B343:$K343-$L343:$U343))),2)</f>
        <v>0</v>
      </c>
      <c r="AB343" s="39" t="n">
        <f aca="false">ROUND(H343-R343-MIN(H343-R343,MAX(0,$AF343-SUMPRODUCT(--($B$4:$K$4&lt;H$4),$B343:$K343-$L343:$U343))),2)</f>
        <v>0</v>
      </c>
      <c r="AC343" s="39" t="n">
        <f aca="false">ROUND(I343-S343-MIN(I343-S343,MAX(0,$AF343-SUMPRODUCT(--($B$4:$K$4&lt;I$4),$B343:$K343-$L343:$U343))),2)</f>
        <v>0</v>
      </c>
      <c r="AD343" s="39" t="n">
        <f aca="false">ROUND(J343-T343-MIN(J343-T343,MAX(0,$AF343-SUMPRODUCT(--($B$4:$K$4&lt;J$4),$B343:$K343-$L343:$U343))),2)</f>
        <v>0</v>
      </c>
      <c r="AE343" s="39" t="n">
        <f aca="false">ROUND(K343-U343-MIN(K343-U343,MAX(0,$AF343-SUMPRODUCT(--($B$4:$K$4&lt;K$4),$B343:$K343-$L343:$U343))),2)</f>
        <v>0</v>
      </c>
      <c r="AF343" s="39" t="n">
        <f aca="false">MAX(0,'Start Here'!$C$5-SUM($L343:$U343))</f>
        <v>1200</v>
      </c>
      <c r="AG343" s="39" t="n">
        <f aca="false">SUM(V343:AE343)</f>
        <v>0</v>
      </c>
      <c r="AH343" s="39" t="n">
        <f aca="false">SUM(B343:K343)-AG342</f>
        <v>0</v>
      </c>
    </row>
    <row r="344" customFormat="false" ht="15" hidden="false" customHeight="false" outlineLevel="0" collapsed="false">
      <c r="A344" s="40" t="n">
        <f aca="false">DATE(YEAR('Start Here'!$C$6),MONTH('Start Here'!$C$6)+337,1)</f>
        <v>56554</v>
      </c>
      <c r="B344" s="39" t="n">
        <f aca="false">ROUND(V343*(1+N('My Debts'!$D$6)/12),2)</f>
        <v>0</v>
      </c>
      <c r="C344" s="39" t="n">
        <f aca="false">ROUND(W343*(1+N('My Debts'!$D$7)/12),2)</f>
        <v>0</v>
      </c>
      <c r="D344" s="39" t="n">
        <f aca="false">ROUND(X343*(1+N('My Debts'!$D$8)/12),2)</f>
        <v>0</v>
      </c>
      <c r="E344" s="39" t="n">
        <f aca="false">ROUND(Y343*(1+N('My Debts'!$D$9)/12),2)</f>
        <v>0</v>
      </c>
      <c r="F344" s="39" t="n">
        <f aca="false">ROUND(Z343*(1+N('My Debts'!$D$10)/12),2)</f>
        <v>0</v>
      </c>
      <c r="G344" s="39" t="n">
        <f aca="false">ROUND(AA343*(1+N('My Debts'!$D$11)/12),2)</f>
        <v>0</v>
      </c>
      <c r="H344" s="39" t="n">
        <f aca="false">ROUND(AB343*(1+N('My Debts'!$D$12)/12),2)</f>
        <v>0</v>
      </c>
      <c r="I344" s="39" t="n">
        <f aca="false">ROUND(AC343*(1+N('My Debts'!$D$13)/12),2)</f>
        <v>0</v>
      </c>
      <c r="J344" s="39" t="n">
        <f aca="false">ROUND(AD343*(1+N('My Debts'!$D$14)/12),2)</f>
        <v>0</v>
      </c>
      <c r="K344" s="39" t="n">
        <f aca="false">ROUND(AE343*(1+N('My Debts'!$D$15)/12),2)</f>
        <v>0</v>
      </c>
      <c r="L344" s="39" t="n">
        <f aca="false">MIN(N('My Debts'!$E$6),B344)</f>
        <v>0</v>
      </c>
      <c r="M344" s="39" t="n">
        <f aca="false">MIN(N('My Debts'!$E$7),C344)</f>
        <v>0</v>
      </c>
      <c r="N344" s="39" t="n">
        <f aca="false">MIN(N('My Debts'!$E$8),D344)</f>
        <v>0</v>
      </c>
      <c r="O344" s="39" t="n">
        <f aca="false">MIN(N('My Debts'!$E$9),E344)</f>
        <v>0</v>
      </c>
      <c r="P344" s="39" t="n">
        <f aca="false">MIN(N('My Debts'!$E$10),F344)</f>
        <v>0</v>
      </c>
      <c r="Q344" s="39" t="n">
        <f aca="false">MIN(N('My Debts'!$E$11),G344)</f>
        <v>0</v>
      </c>
      <c r="R344" s="39" t="n">
        <f aca="false">MIN(N('My Debts'!$E$12),H344)</f>
        <v>0</v>
      </c>
      <c r="S344" s="39" t="n">
        <f aca="false">MIN(N('My Debts'!$E$13),I344)</f>
        <v>0</v>
      </c>
      <c r="T344" s="39" t="n">
        <f aca="false">MIN(N('My Debts'!$E$14),J344)</f>
        <v>0</v>
      </c>
      <c r="U344" s="39" t="n">
        <f aca="false">MIN(N('My Debts'!$E$15),K344)</f>
        <v>0</v>
      </c>
      <c r="V344" s="39" t="n">
        <f aca="false">ROUND(B344-L344-MIN(B344-L344,MAX(0,$AF344-SUMPRODUCT(--($B$4:$K$4&lt;B$4),$B344:$K344-$L344:$U344))),2)</f>
        <v>0</v>
      </c>
      <c r="W344" s="39" t="n">
        <f aca="false">ROUND(C344-M344-MIN(C344-M344,MAX(0,$AF344-SUMPRODUCT(--($B$4:$K$4&lt;C$4),$B344:$K344-$L344:$U344))),2)</f>
        <v>0</v>
      </c>
      <c r="X344" s="39" t="n">
        <f aca="false">ROUND(D344-N344-MIN(D344-N344,MAX(0,$AF344-SUMPRODUCT(--($B$4:$K$4&lt;D$4),$B344:$K344-$L344:$U344))),2)</f>
        <v>0</v>
      </c>
      <c r="Y344" s="39" t="n">
        <f aca="false">ROUND(E344-O344-MIN(E344-O344,MAX(0,$AF344-SUMPRODUCT(--($B$4:$K$4&lt;E$4),$B344:$K344-$L344:$U344))),2)</f>
        <v>0</v>
      </c>
      <c r="Z344" s="39" t="n">
        <f aca="false">ROUND(F344-P344-MIN(F344-P344,MAX(0,$AF344-SUMPRODUCT(--($B$4:$K$4&lt;F$4),$B344:$K344-$L344:$U344))),2)</f>
        <v>0</v>
      </c>
      <c r="AA344" s="39" t="n">
        <f aca="false">ROUND(G344-Q344-MIN(G344-Q344,MAX(0,$AF344-SUMPRODUCT(--($B$4:$K$4&lt;G$4),$B344:$K344-$L344:$U344))),2)</f>
        <v>0</v>
      </c>
      <c r="AB344" s="39" t="n">
        <f aca="false">ROUND(H344-R344-MIN(H344-R344,MAX(0,$AF344-SUMPRODUCT(--($B$4:$K$4&lt;H$4),$B344:$K344-$L344:$U344))),2)</f>
        <v>0</v>
      </c>
      <c r="AC344" s="39" t="n">
        <f aca="false">ROUND(I344-S344-MIN(I344-S344,MAX(0,$AF344-SUMPRODUCT(--($B$4:$K$4&lt;I$4),$B344:$K344-$L344:$U344))),2)</f>
        <v>0</v>
      </c>
      <c r="AD344" s="39" t="n">
        <f aca="false">ROUND(J344-T344-MIN(J344-T344,MAX(0,$AF344-SUMPRODUCT(--($B$4:$K$4&lt;J$4),$B344:$K344-$L344:$U344))),2)</f>
        <v>0</v>
      </c>
      <c r="AE344" s="39" t="n">
        <f aca="false">ROUND(K344-U344-MIN(K344-U344,MAX(0,$AF344-SUMPRODUCT(--($B$4:$K$4&lt;K$4),$B344:$K344-$L344:$U344))),2)</f>
        <v>0</v>
      </c>
      <c r="AF344" s="39" t="n">
        <f aca="false">MAX(0,'Start Here'!$C$5-SUM($L344:$U344))</f>
        <v>1200</v>
      </c>
      <c r="AG344" s="39" t="n">
        <f aca="false">SUM(V344:AE344)</f>
        <v>0</v>
      </c>
      <c r="AH344" s="39" t="n">
        <f aca="false">SUM(B344:K344)-AG343</f>
        <v>0</v>
      </c>
    </row>
    <row r="345" customFormat="false" ht="15" hidden="false" customHeight="false" outlineLevel="0" collapsed="false">
      <c r="A345" s="40" t="n">
        <f aca="false">DATE(YEAR('Start Here'!$C$6),MONTH('Start Here'!$C$6)+338,1)</f>
        <v>56584</v>
      </c>
      <c r="B345" s="39" t="n">
        <f aca="false">ROUND(V344*(1+N('My Debts'!$D$6)/12),2)</f>
        <v>0</v>
      </c>
      <c r="C345" s="39" t="n">
        <f aca="false">ROUND(W344*(1+N('My Debts'!$D$7)/12),2)</f>
        <v>0</v>
      </c>
      <c r="D345" s="39" t="n">
        <f aca="false">ROUND(X344*(1+N('My Debts'!$D$8)/12),2)</f>
        <v>0</v>
      </c>
      <c r="E345" s="39" t="n">
        <f aca="false">ROUND(Y344*(1+N('My Debts'!$D$9)/12),2)</f>
        <v>0</v>
      </c>
      <c r="F345" s="39" t="n">
        <f aca="false">ROUND(Z344*(1+N('My Debts'!$D$10)/12),2)</f>
        <v>0</v>
      </c>
      <c r="G345" s="39" t="n">
        <f aca="false">ROUND(AA344*(1+N('My Debts'!$D$11)/12),2)</f>
        <v>0</v>
      </c>
      <c r="H345" s="39" t="n">
        <f aca="false">ROUND(AB344*(1+N('My Debts'!$D$12)/12),2)</f>
        <v>0</v>
      </c>
      <c r="I345" s="39" t="n">
        <f aca="false">ROUND(AC344*(1+N('My Debts'!$D$13)/12),2)</f>
        <v>0</v>
      </c>
      <c r="J345" s="39" t="n">
        <f aca="false">ROUND(AD344*(1+N('My Debts'!$D$14)/12),2)</f>
        <v>0</v>
      </c>
      <c r="K345" s="39" t="n">
        <f aca="false">ROUND(AE344*(1+N('My Debts'!$D$15)/12),2)</f>
        <v>0</v>
      </c>
      <c r="L345" s="39" t="n">
        <f aca="false">MIN(N('My Debts'!$E$6),B345)</f>
        <v>0</v>
      </c>
      <c r="M345" s="39" t="n">
        <f aca="false">MIN(N('My Debts'!$E$7),C345)</f>
        <v>0</v>
      </c>
      <c r="N345" s="39" t="n">
        <f aca="false">MIN(N('My Debts'!$E$8),D345)</f>
        <v>0</v>
      </c>
      <c r="O345" s="39" t="n">
        <f aca="false">MIN(N('My Debts'!$E$9),E345)</f>
        <v>0</v>
      </c>
      <c r="P345" s="39" t="n">
        <f aca="false">MIN(N('My Debts'!$E$10),F345)</f>
        <v>0</v>
      </c>
      <c r="Q345" s="39" t="n">
        <f aca="false">MIN(N('My Debts'!$E$11),G345)</f>
        <v>0</v>
      </c>
      <c r="R345" s="39" t="n">
        <f aca="false">MIN(N('My Debts'!$E$12),H345)</f>
        <v>0</v>
      </c>
      <c r="S345" s="39" t="n">
        <f aca="false">MIN(N('My Debts'!$E$13),I345)</f>
        <v>0</v>
      </c>
      <c r="T345" s="39" t="n">
        <f aca="false">MIN(N('My Debts'!$E$14),J345)</f>
        <v>0</v>
      </c>
      <c r="U345" s="39" t="n">
        <f aca="false">MIN(N('My Debts'!$E$15),K345)</f>
        <v>0</v>
      </c>
      <c r="V345" s="39" t="n">
        <f aca="false">ROUND(B345-L345-MIN(B345-L345,MAX(0,$AF345-SUMPRODUCT(--($B$4:$K$4&lt;B$4),$B345:$K345-$L345:$U345))),2)</f>
        <v>0</v>
      </c>
      <c r="W345" s="39" t="n">
        <f aca="false">ROUND(C345-M345-MIN(C345-M345,MAX(0,$AF345-SUMPRODUCT(--($B$4:$K$4&lt;C$4),$B345:$K345-$L345:$U345))),2)</f>
        <v>0</v>
      </c>
      <c r="X345" s="39" t="n">
        <f aca="false">ROUND(D345-N345-MIN(D345-N345,MAX(0,$AF345-SUMPRODUCT(--($B$4:$K$4&lt;D$4),$B345:$K345-$L345:$U345))),2)</f>
        <v>0</v>
      </c>
      <c r="Y345" s="39" t="n">
        <f aca="false">ROUND(E345-O345-MIN(E345-O345,MAX(0,$AF345-SUMPRODUCT(--($B$4:$K$4&lt;E$4),$B345:$K345-$L345:$U345))),2)</f>
        <v>0</v>
      </c>
      <c r="Z345" s="39" t="n">
        <f aca="false">ROUND(F345-P345-MIN(F345-P345,MAX(0,$AF345-SUMPRODUCT(--($B$4:$K$4&lt;F$4),$B345:$K345-$L345:$U345))),2)</f>
        <v>0</v>
      </c>
      <c r="AA345" s="39" t="n">
        <f aca="false">ROUND(G345-Q345-MIN(G345-Q345,MAX(0,$AF345-SUMPRODUCT(--($B$4:$K$4&lt;G$4),$B345:$K345-$L345:$U345))),2)</f>
        <v>0</v>
      </c>
      <c r="AB345" s="39" t="n">
        <f aca="false">ROUND(H345-R345-MIN(H345-R345,MAX(0,$AF345-SUMPRODUCT(--($B$4:$K$4&lt;H$4),$B345:$K345-$L345:$U345))),2)</f>
        <v>0</v>
      </c>
      <c r="AC345" s="39" t="n">
        <f aca="false">ROUND(I345-S345-MIN(I345-S345,MAX(0,$AF345-SUMPRODUCT(--($B$4:$K$4&lt;I$4),$B345:$K345-$L345:$U345))),2)</f>
        <v>0</v>
      </c>
      <c r="AD345" s="39" t="n">
        <f aca="false">ROUND(J345-T345-MIN(J345-T345,MAX(0,$AF345-SUMPRODUCT(--($B$4:$K$4&lt;J$4),$B345:$K345-$L345:$U345))),2)</f>
        <v>0</v>
      </c>
      <c r="AE345" s="39" t="n">
        <f aca="false">ROUND(K345-U345-MIN(K345-U345,MAX(0,$AF345-SUMPRODUCT(--($B$4:$K$4&lt;K$4),$B345:$K345-$L345:$U345))),2)</f>
        <v>0</v>
      </c>
      <c r="AF345" s="39" t="n">
        <f aca="false">MAX(0,'Start Here'!$C$5-SUM($L345:$U345))</f>
        <v>1200</v>
      </c>
      <c r="AG345" s="39" t="n">
        <f aca="false">SUM(V345:AE345)</f>
        <v>0</v>
      </c>
      <c r="AH345" s="39" t="n">
        <f aca="false">SUM(B345:K345)-AG344</f>
        <v>0</v>
      </c>
    </row>
    <row r="346" customFormat="false" ht="15" hidden="false" customHeight="false" outlineLevel="0" collapsed="false">
      <c r="A346" s="40" t="n">
        <f aca="false">DATE(YEAR('Start Here'!$C$6),MONTH('Start Here'!$C$6)+339,1)</f>
        <v>56615</v>
      </c>
      <c r="B346" s="39" t="n">
        <f aca="false">ROUND(V345*(1+N('My Debts'!$D$6)/12),2)</f>
        <v>0</v>
      </c>
      <c r="C346" s="39" t="n">
        <f aca="false">ROUND(W345*(1+N('My Debts'!$D$7)/12),2)</f>
        <v>0</v>
      </c>
      <c r="D346" s="39" t="n">
        <f aca="false">ROUND(X345*(1+N('My Debts'!$D$8)/12),2)</f>
        <v>0</v>
      </c>
      <c r="E346" s="39" t="n">
        <f aca="false">ROUND(Y345*(1+N('My Debts'!$D$9)/12),2)</f>
        <v>0</v>
      </c>
      <c r="F346" s="39" t="n">
        <f aca="false">ROUND(Z345*(1+N('My Debts'!$D$10)/12),2)</f>
        <v>0</v>
      </c>
      <c r="G346" s="39" t="n">
        <f aca="false">ROUND(AA345*(1+N('My Debts'!$D$11)/12),2)</f>
        <v>0</v>
      </c>
      <c r="H346" s="39" t="n">
        <f aca="false">ROUND(AB345*(1+N('My Debts'!$D$12)/12),2)</f>
        <v>0</v>
      </c>
      <c r="I346" s="39" t="n">
        <f aca="false">ROUND(AC345*(1+N('My Debts'!$D$13)/12),2)</f>
        <v>0</v>
      </c>
      <c r="J346" s="39" t="n">
        <f aca="false">ROUND(AD345*(1+N('My Debts'!$D$14)/12),2)</f>
        <v>0</v>
      </c>
      <c r="K346" s="39" t="n">
        <f aca="false">ROUND(AE345*(1+N('My Debts'!$D$15)/12),2)</f>
        <v>0</v>
      </c>
      <c r="L346" s="39" t="n">
        <f aca="false">MIN(N('My Debts'!$E$6),B346)</f>
        <v>0</v>
      </c>
      <c r="M346" s="39" t="n">
        <f aca="false">MIN(N('My Debts'!$E$7),C346)</f>
        <v>0</v>
      </c>
      <c r="N346" s="39" t="n">
        <f aca="false">MIN(N('My Debts'!$E$8),D346)</f>
        <v>0</v>
      </c>
      <c r="O346" s="39" t="n">
        <f aca="false">MIN(N('My Debts'!$E$9),E346)</f>
        <v>0</v>
      </c>
      <c r="P346" s="39" t="n">
        <f aca="false">MIN(N('My Debts'!$E$10),F346)</f>
        <v>0</v>
      </c>
      <c r="Q346" s="39" t="n">
        <f aca="false">MIN(N('My Debts'!$E$11),G346)</f>
        <v>0</v>
      </c>
      <c r="R346" s="39" t="n">
        <f aca="false">MIN(N('My Debts'!$E$12),H346)</f>
        <v>0</v>
      </c>
      <c r="S346" s="39" t="n">
        <f aca="false">MIN(N('My Debts'!$E$13),I346)</f>
        <v>0</v>
      </c>
      <c r="T346" s="39" t="n">
        <f aca="false">MIN(N('My Debts'!$E$14),J346)</f>
        <v>0</v>
      </c>
      <c r="U346" s="39" t="n">
        <f aca="false">MIN(N('My Debts'!$E$15),K346)</f>
        <v>0</v>
      </c>
      <c r="V346" s="39" t="n">
        <f aca="false">ROUND(B346-L346-MIN(B346-L346,MAX(0,$AF346-SUMPRODUCT(--($B$4:$K$4&lt;B$4),$B346:$K346-$L346:$U346))),2)</f>
        <v>0</v>
      </c>
      <c r="W346" s="39" t="n">
        <f aca="false">ROUND(C346-M346-MIN(C346-M346,MAX(0,$AF346-SUMPRODUCT(--($B$4:$K$4&lt;C$4),$B346:$K346-$L346:$U346))),2)</f>
        <v>0</v>
      </c>
      <c r="X346" s="39" t="n">
        <f aca="false">ROUND(D346-N346-MIN(D346-N346,MAX(0,$AF346-SUMPRODUCT(--($B$4:$K$4&lt;D$4),$B346:$K346-$L346:$U346))),2)</f>
        <v>0</v>
      </c>
      <c r="Y346" s="39" t="n">
        <f aca="false">ROUND(E346-O346-MIN(E346-O346,MAX(0,$AF346-SUMPRODUCT(--($B$4:$K$4&lt;E$4),$B346:$K346-$L346:$U346))),2)</f>
        <v>0</v>
      </c>
      <c r="Z346" s="39" t="n">
        <f aca="false">ROUND(F346-P346-MIN(F346-P346,MAX(0,$AF346-SUMPRODUCT(--($B$4:$K$4&lt;F$4),$B346:$K346-$L346:$U346))),2)</f>
        <v>0</v>
      </c>
      <c r="AA346" s="39" t="n">
        <f aca="false">ROUND(G346-Q346-MIN(G346-Q346,MAX(0,$AF346-SUMPRODUCT(--($B$4:$K$4&lt;G$4),$B346:$K346-$L346:$U346))),2)</f>
        <v>0</v>
      </c>
      <c r="AB346" s="39" t="n">
        <f aca="false">ROUND(H346-R346-MIN(H346-R346,MAX(0,$AF346-SUMPRODUCT(--($B$4:$K$4&lt;H$4),$B346:$K346-$L346:$U346))),2)</f>
        <v>0</v>
      </c>
      <c r="AC346" s="39" t="n">
        <f aca="false">ROUND(I346-S346-MIN(I346-S346,MAX(0,$AF346-SUMPRODUCT(--($B$4:$K$4&lt;I$4),$B346:$K346-$L346:$U346))),2)</f>
        <v>0</v>
      </c>
      <c r="AD346" s="39" t="n">
        <f aca="false">ROUND(J346-T346-MIN(J346-T346,MAX(0,$AF346-SUMPRODUCT(--($B$4:$K$4&lt;J$4),$B346:$K346-$L346:$U346))),2)</f>
        <v>0</v>
      </c>
      <c r="AE346" s="39" t="n">
        <f aca="false">ROUND(K346-U346-MIN(K346-U346,MAX(0,$AF346-SUMPRODUCT(--($B$4:$K$4&lt;K$4),$B346:$K346-$L346:$U346))),2)</f>
        <v>0</v>
      </c>
      <c r="AF346" s="39" t="n">
        <f aca="false">MAX(0,'Start Here'!$C$5-SUM($L346:$U346))</f>
        <v>1200</v>
      </c>
      <c r="AG346" s="39" t="n">
        <f aca="false">SUM(V346:AE346)</f>
        <v>0</v>
      </c>
      <c r="AH346" s="39" t="n">
        <f aca="false">SUM(B346:K346)-AG345</f>
        <v>0</v>
      </c>
    </row>
    <row r="347" customFormat="false" ht="15" hidden="false" customHeight="false" outlineLevel="0" collapsed="false">
      <c r="A347" s="40" t="n">
        <f aca="false">DATE(YEAR('Start Here'!$C$6),MONTH('Start Here'!$C$6)+340,1)</f>
        <v>56646</v>
      </c>
      <c r="B347" s="39" t="n">
        <f aca="false">ROUND(V346*(1+N('My Debts'!$D$6)/12),2)</f>
        <v>0</v>
      </c>
      <c r="C347" s="39" t="n">
        <f aca="false">ROUND(W346*(1+N('My Debts'!$D$7)/12),2)</f>
        <v>0</v>
      </c>
      <c r="D347" s="39" t="n">
        <f aca="false">ROUND(X346*(1+N('My Debts'!$D$8)/12),2)</f>
        <v>0</v>
      </c>
      <c r="E347" s="39" t="n">
        <f aca="false">ROUND(Y346*(1+N('My Debts'!$D$9)/12),2)</f>
        <v>0</v>
      </c>
      <c r="F347" s="39" t="n">
        <f aca="false">ROUND(Z346*(1+N('My Debts'!$D$10)/12),2)</f>
        <v>0</v>
      </c>
      <c r="G347" s="39" t="n">
        <f aca="false">ROUND(AA346*(1+N('My Debts'!$D$11)/12),2)</f>
        <v>0</v>
      </c>
      <c r="H347" s="39" t="n">
        <f aca="false">ROUND(AB346*(1+N('My Debts'!$D$12)/12),2)</f>
        <v>0</v>
      </c>
      <c r="I347" s="39" t="n">
        <f aca="false">ROUND(AC346*(1+N('My Debts'!$D$13)/12),2)</f>
        <v>0</v>
      </c>
      <c r="J347" s="39" t="n">
        <f aca="false">ROUND(AD346*(1+N('My Debts'!$D$14)/12),2)</f>
        <v>0</v>
      </c>
      <c r="K347" s="39" t="n">
        <f aca="false">ROUND(AE346*(1+N('My Debts'!$D$15)/12),2)</f>
        <v>0</v>
      </c>
      <c r="L347" s="39" t="n">
        <f aca="false">MIN(N('My Debts'!$E$6),B347)</f>
        <v>0</v>
      </c>
      <c r="M347" s="39" t="n">
        <f aca="false">MIN(N('My Debts'!$E$7),C347)</f>
        <v>0</v>
      </c>
      <c r="N347" s="39" t="n">
        <f aca="false">MIN(N('My Debts'!$E$8),D347)</f>
        <v>0</v>
      </c>
      <c r="O347" s="39" t="n">
        <f aca="false">MIN(N('My Debts'!$E$9),E347)</f>
        <v>0</v>
      </c>
      <c r="P347" s="39" t="n">
        <f aca="false">MIN(N('My Debts'!$E$10),F347)</f>
        <v>0</v>
      </c>
      <c r="Q347" s="39" t="n">
        <f aca="false">MIN(N('My Debts'!$E$11),G347)</f>
        <v>0</v>
      </c>
      <c r="R347" s="39" t="n">
        <f aca="false">MIN(N('My Debts'!$E$12),H347)</f>
        <v>0</v>
      </c>
      <c r="S347" s="39" t="n">
        <f aca="false">MIN(N('My Debts'!$E$13),I347)</f>
        <v>0</v>
      </c>
      <c r="T347" s="39" t="n">
        <f aca="false">MIN(N('My Debts'!$E$14),J347)</f>
        <v>0</v>
      </c>
      <c r="U347" s="39" t="n">
        <f aca="false">MIN(N('My Debts'!$E$15),K347)</f>
        <v>0</v>
      </c>
      <c r="V347" s="39" t="n">
        <f aca="false">ROUND(B347-L347-MIN(B347-L347,MAX(0,$AF347-SUMPRODUCT(--($B$4:$K$4&lt;B$4),$B347:$K347-$L347:$U347))),2)</f>
        <v>0</v>
      </c>
      <c r="W347" s="39" t="n">
        <f aca="false">ROUND(C347-M347-MIN(C347-M347,MAX(0,$AF347-SUMPRODUCT(--($B$4:$K$4&lt;C$4),$B347:$K347-$L347:$U347))),2)</f>
        <v>0</v>
      </c>
      <c r="X347" s="39" t="n">
        <f aca="false">ROUND(D347-N347-MIN(D347-N347,MAX(0,$AF347-SUMPRODUCT(--($B$4:$K$4&lt;D$4),$B347:$K347-$L347:$U347))),2)</f>
        <v>0</v>
      </c>
      <c r="Y347" s="39" t="n">
        <f aca="false">ROUND(E347-O347-MIN(E347-O347,MAX(0,$AF347-SUMPRODUCT(--($B$4:$K$4&lt;E$4),$B347:$K347-$L347:$U347))),2)</f>
        <v>0</v>
      </c>
      <c r="Z347" s="39" t="n">
        <f aca="false">ROUND(F347-P347-MIN(F347-P347,MAX(0,$AF347-SUMPRODUCT(--($B$4:$K$4&lt;F$4),$B347:$K347-$L347:$U347))),2)</f>
        <v>0</v>
      </c>
      <c r="AA347" s="39" t="n">
        <f aca="false">ROUND(G347-Q347-MIN(G347-Q347,MAX(0,$AF347-SUMPRODUCT(--($B$4:$K$4&lt;G$4),$B347:$K347-$L347:$U347))),2)</f>
        <v>0</v>
      </c>
      <c r="AB347" s="39" t="n">
        <f aca="false">ROUND(H347-R347-MIN(H347-R347,MAX(0,$AF347-SUMPRODUCT(--($B$4:$K$4&lt;H$4),$B347:$K347-$L347:$U347))),2)</f>
        <v>0</v>
      </c>
      <c r="AC347" s="39" t="n">
        <f aca="false">ROUND(I347-S347-MIN(I347-S347,MAX(0,$AF347-SUMPRODUCT(--($B$4:$K$4&lt;I$4),$B347:$K347-$L347:$U347))),2)</f>
        <v>0</v>
      </c>
      <c r="AD347" s="39" t="n">
        <f aca="false">ROUND(J347-T347-MIN(J347-T347,MAX(0,$AF347-SUMPRODUCT(--($B$4:$K$4&lt;J$4),$B347:$K347-$L347:$U347))),2)</f>
        <v>0</v>
      </c>
      <c r="AE347" s="39" t="n">
        <f aca="false">ROUND(K347-U347-MIN(K347-U347,MAX(0,$AF347-SUMPRODUCT(--($B$4:$K$4&lt;K$4),$B347:$K347-$L347:$U347))),2)</f>
        <v>0</v>
      </c>
      <c r="AF347" s="39" t="n">
        <f aca="false">MAX(0,'Start Here'!$C$5-SUM($L347:$U347))</f>
        <v>1200</v>
      </c>
      <c r="AG347" s="39" t="n">
        <f aca="false">SUM(V347:AE347)</f>
        <v>0</v>
      </c>
      <c r="AH347" s="39" t="n">
        <f aca="false">SUM(B347:K347)-AG346</f>
        <v>0</v>
      </c>
    </row>
    <row r="348" customFormat="false" ht="15" hidden="false" customHeight="false" outlineLevel="0" collapsed="false">
      <c r="A348" s="40" t="n">
        <f aca="false">DATE(YEAR('Start Here'!$C$6),MONTH('Start Here'!$C$6)+341,1)</f>
        <v>56674</v>
      </c>
      <c r="B348" s="39" t="n">
        <f aca="false">ROUND(V347*(1+N('My Debts'!$D$6)/12),2)</f>
        <v>0</v>
      </c>
      <c r="C348" s="39" t="n">
        <f aca="false">ROUND(W347*(1+N('My Debts'!$D$7)/12),2)</f>
        <v>0</v>
      </c>
      <c r="D348" s="39" t="n">
        <f aca="false">ROUND(X347*(1+N('My Debts'!$D$8)/12),2)</f>
        <v>0</v>
      </c>
      <c r="E348" s="39" t="n">
        <f aca="false">ROUND(Y347*(1+N('My Debts'!$D$9)/12),2)</f>
        <v>0</v>
      </c>
      <c r="F348" s="39" t="n">
        <f aca="false">ROUND(Z347*(1+N('My Debts'!$D$10)/12),2)</f>
        <v>0</v>
      </c>
      <c r="G348" s="39" t="n">
        <f aca="false">ROUND(AA347*(1+N('My Debts'!$D$11)/12),2)</f>
        <v>0</v>
      </c>
      <c r="H348" s="39" t="n">
        <f aca="false">ROUND(AB347*(1+N('My Debts'!$D$12)/12),2)</f>
        <v>0</v>
      </c>
      <c r="I348" s="39" t="n">
        <f aca="false">ROUND(AC347*(1+N('My Debts'!$D$13)/12),2)</f>
        <v>0</v>
      </c>
      <c r="J348" s="39" t="n">
        <f aca="false">ROUND(AD347*(1+N('My Debts'!$D$14)/12),2)</f>
        <v>0</v>
      </c>
      <c r="K348" s="39" t="n">
        <f aca="false">ROUND(AE347*(1+N('My Debts'!$D$15)/12),2)</f>
        <v>0</v>
      </c>
      <c r="L348" s="39" t="n">
        <f aca="false">MIN(N('My Debts'!$E$6),B348)</f>
        <v>0</v>
      </c>
      <c r="M348" s="39" t="n">
        <f aca="false">MIN(N('My Debts'!$E$7),C348)</f>
        <v>0</v>
      </c>
      <c r="N348" s="39" t="n">
        <f aca="false">MIN(N('My Debts'!$E$8),D348)</f>
        <v>0</v>
      </c>
      <c r="O348" s="39" t="n">
        <f aca="false">MIN(N('My Debts'!$E$9),E348)</f>
        <v>0</v>
      </c>
      <c r="P348" s="39" t="n">
        <f aca="false">MIN(N('My Debts'!$E$10),F348)</f>
        <v>0</v>
      </c>
      <c r="Q348" s="39" t="n">
        <f aca="false">MIN(N('My Debts'!$E$11),G348)</f>
        <v>0</v>
      </c>
      <c r="R348" s="39" t="n">
        <f aca="false">MIN(N('My Debts'!$E$12),H348)</f>
        <v>0</v>
      </c>
      <c r="S348" s="39" t="n">
        <f aca="false">MIN(N('My Debts'!$E$13),I348)</f>
        <v>0</v>
      </c>
      <c r="T348" s="39" t="n">
        <f aca="false">MIN(N('My Debts'!$E$14),J348)</f>
        <v>0</v>
      </c>
      <c r="U348" s="39" t="n">
        <f aca="false">MIN(N('My Debts'!$E$15),K348)</f>
        <v>0</v>
      </c>
      <c r="V348" s="39" t="n">
        <f aca="false">ROUND(B348-L348-MIN(B348-L348,MAX(0,$AF348-SUMPRODUCT(--($B$4:$K$4&lt;B$4),$B348:$K348-$L348:$U348))),2)</f>
        <v>0</v>
      </c>
      <c r="W348" s="39" t="n">
        <f aca="false">ROUND(C348-M348-MIN(C348-M348,MAX(0,$AF348-SUMPRODUCT(--($B$4:$K$4&lt;C$4),$B348:$K348-$L348:$U348))),2)</f>
        <v>0</v>
      </c>
      <c r="X348" s="39" t="n">
        <f aca="false">ROUND(D348-N348-MIN(D348-N348,MAX(0,$AF348-SUMPRODUCT(--($B$4:$K$4&lt;D$4),$B348:$K348-$L348:$U348))),2)</f>
        <v>0</v>
      </c>
      <c r="Y348" s="39" t="n">
        <f aca="false">ROUND(E348-O348-MIN(E348-O348,MAX(0,$AF348-SUMPRODUCT(--($B$4:$K$4&lt;E$4),$B348:$K348-$L348:$U348))),2)</f>
        <v>0</v>
      </c>
      <c r="Z348" s="39" t="n">
        <f aca="false">ROUND(F348-P348-MIN(F348-P348,MAX(0,$AF348-SUMPRODUCT(--($B$4:$K$4&lt;F$4),$B348:$K348-$L348:$U348))),2)</f>
        <v>0</v>
      </c>
      <c r="AA348" s="39" t="n">
        <f aca="false">ROUND(G348-Q348-MIN(G348-Q348,MAX(0,$AF348-SUMPRODUCT(--($B$4:$K$4&lt;G$4),$B348:$K348-$L348:$U348))),2)</f>
        <v>0</v>
      </c>
      <c r="AB348" s="39" t="n">
        <f aca="false">ROUND(H348-R348-MIN(H348-R348,MAX(0,$AF348-SUMPRODUCT(--($B$4:$K$4&lt;H$4),$B348:$K348-$L348:$U348))),2)</f>
        <v>0</v>
      </c>
      <c r="AC348" s="39" t="n">
        <f aca="false">ROUND(I348-S348-MIN(I348-S348,MAX(0,$AF348-SUMPRODUCT(--($B$4:$K$4&lt;I$4),$B348:$K348-$L348:$U348))),2)</f>
        <v>0</v>
      </c>
      <c r="AD348" s="39" t="n">
        <f aca="false">ROUND(J348-T348-MIN(J348-T348,MAX(0,$AF348-SUMPRODUCT(--($B$4:$K$4&lt;J$4),$B348:$K348-$L348:$U348))),2)</f>
        <v>0</v>
      </c>
      <c r="AE348" s="39" t="n">
        <f aca="false">ROUND(K348-U348-MIN(K348-U348,MAX(0,$AF348-SUMPRODUCT(--($B$4:$K$4&lt;K$4),$B348:$K348-$L348:$U348))),2)</f>
        <v>0</v>
      </c>
      <c r="AF348" s="39" t="n">
        <f aca="false">MAX(0,'Start Here'!$C$5-SUM($L348:$U348))</f>
        <v>1200</v>
      </c>
      <c r="AG348" s="39" t="n">
        <f aca="false">SUM(V348:AE348)</f>
        <v>0</v>
      </c>
      <c r="AH348" s="39" t="n">
        <f aca="false">SUM(B348:K348)-AG347</f>
        <v>0</v>
      </c>
    </row>
    <row r="349" customFormat="false" ht="15" hidden="false" customHeight="false" outlineLevel="0" collapsed="false">
      <c r="A349" s="40" t="n">
        <f aca="false">DATE(YEAR('Start Here'!$C$6),MONTH('Start Here'!$C$6)+342,1)</f>
        <v>56705</v>
      </c>
      <c r="B349" s="39" t="n">
        <f aca="false">ROUND(V348*(1+N('My Debts'!$D$6)/12),2)</f>
        <v>0</v>
      </c>
      <c r="C349" s="39" t="n">
        <f aca="false">ROUND(W348*(1+N('My Debts'!$D$7)/12),2)</f>
        <v>0</v>
      </c>
      <c r="D349" s="39" t="n">
        <f aca="false">ROUND(X348*(1+N('My Debts'!$D$8)/12),2)</f>
        <v>0</v>
      </c>
      <c r="E349" s="39" t="n">
        <f aca="false">ROUND(Y348*(1+N('My Debts'!$D$9)/12),2)</f>
        <v>0</v>
      </c>
      <c r="F349" s="39" t="n">
        <f aca="false">ROUND(Z348*(1+N('My Debts'!$D$10)/12),2)</f>
        <v>0</v>
      </c>
      <c r="G349" s="39" t="n">
        <f aca="false">ROUND(AA348*(1+N('My Debts'!$D$11)/12),2)</f>
        <v>0</v>
      </c>
      <c r="H349" s="39" t="n">
        <f aca="false">ROUND(AB348*(1+N('My Debts'!$D$12)/12),2)</f>
        <v>0</v>
      </c>
      <c r="I349" s="39" t="n">
        <f aca="false">ROUND(AC348*(1+N('My Debts'!$D$13)/12),2)</f>
        <v>0</v>
      </c>
      <c r="J349" s="39" t="n">
        <f aca="false">ROUND(AD348*(1+N('My Debts'!$D$14)/12),2)</f>
        <v>0</v>
      </c>
      <c r="K349" s="39" t="n">
        <f aca="false">ROUND(AE348*(1+N('My Debts'!$D$15)/12),2)</f>
        <v>0</v>
      </c>
      <c r="L349" s="39" t="n">
        <f aca="false">MIN(N('My Debts'!$E$6),B349)</f>
        <v>0</v>
      </c>
      <c r="M349" s="39" t="n">
        <f aca="false">MIN(N('My Debts'!$E$7),C349)</f>
        <v>0</v>
      </c>
      <c r="N349" s="39" t="n">
        <f aca="false">MIN(N('My Debts'!$E$8),D349)</f>
        <v>0</v>
      </c>
      <c r="O349" s="39" t="n">
        <f aca="false">MIN(N('My Debts'!$E$9),E349)</f>
        <v>0</v>
      </c>
      <c r="P349" s="39" t="n">
        <f aca="false">MIN(N('My Debts'!$E$10),F349)</f>
        <v>0</v>
      </c>
      <c r="Q349" s="39" t="n">
        <f aca="false">MIN(N('My Debts'!$E$11),G349)</f>
        <v>0</v>
      </c>
      <c r="R349" s="39" t="n">
        <f aca="false">MIN(N('My Debts'!$E$12),H349)</f>
        <v>0</v>
      </c>
      <c r="S349" s="39" t="n">
        <f aca="false">MIN(N('My Debts'!$E$13),I349)</f>
        <v>0</v>
      </c>
      <c r="T349" s="39" t="n">
        <f aca="false">MIN(N('My Debts'!$E$14),J349)</f>
        <v>0</v>
      </c>
      <c r="U349" s="39" t="n">
        <f aca="false">MIN(N('My Debts'!$E$15),K349)</f>
        <v>0</v>
      </c>
      <c r="V349" s="39" t="n">
        <f aca="false">ROUND(B349-L349-MIN(B349-L349,MAX(0,$AF349-SUMPRODUCT(--($B$4:$K$4&lt;B$4),$B349:$K349-$L349:$U349))),2)</f>
        <v>0</v>
      </c>
      <c r="W349" s="39" t="n">
        <f aca="false">ROUND(C349-M349-MIN(C349-M349,MAX(0,$AF349-SUMPRODUCT(--($B$4:$K$4&lt;C$4),$B349:$K349-$L349:$U349))),2)</f>
        <v>0</v>
      </c>
      <c r="X349" s="39" t="n">
        <f aca="false">ROUND(D349-N349-MIN(D349-N349,MAX(0,$AF349-SUMPRODUCT(--($B$4:$K$4&lt;D$4),$B349:$K349-$L349:$U349))),2)</f>
        <v>0</v>
      </c>
      <c r="Y349" s="39" t="n">
        <f aca="false">ROUND(E349-O349-MIN(E349-O349,MAX(0,$AF349-SUMPRODUCT(--($B$4:$K$4&lt;E$4),$B349:$K349-$L349:$U349))),2)</f>
        <v>0</v>
      </c>
      <c r="Z349" s="39" t="n">
        <f aca="false">ROUND(F349-P349-MIN(F349-P349,MAX(0,$AF349-SUMPRODUCT(--($B$4:$K$4&lt;F$4),$B349:$K349-$L349:$U349))),2)</f>
        <v>0</v>
      </c>
      <c r="AA349" s="39" t="n">
        <f aca="false">ROUND(G349-Q349-MIN(G349-Q349,MAX(0,$AF349-SUMPRODUCT(--($B$4:$K$4&lt;G$4),$B349:$K349-$L349:$U349))),2)</f>
        <v>0</v>
      </c>
      <c r="AB349" s="39" t="n">
        <f aca="false">ROUND(H349-R349-MIN(H349-R349,MAX(0,$AF349-SUMPRODUCT(--($B$4:$K$4&lt;H$4),$B349:$K349-$L349:$U349))),2)</f>
        <v>0</v>
      </c>
      <c r="AC349" s="39" t="n">
        <f aca="false">ROUND(I349-S349-MIN(I349-S349,MAX(0,$AF349-SUMPRODUCT(--($B$4:$K$4&lt;I$4),$B349:$K349-$L349:$U349))),2)</f>
        <v>0</v>
      </c>
      <c r="AD349" s="39" t="n">
        <f aca="false">ROUND(J349-T349-MIN(J349-T349,MAX(0,$AF349-SUMPRODUCT(--($B$4:$K$4&lt;J$4),$B349:$K349-$L349:$U349))),2)</f>
        <v>0</v>
      </c>
      <c r="AE349" s="39" t="n">
        <f aca="false">ROUND(K349-U349-MIN(K349-U349,MAX(0,$AF349-SUMPRODUCT(--($B$4:$K$4&lt;K$4),$B349:$K349-$L349:$U349))),2)</f>
        <v>0</v>
      </c>
      <c r="AF349" s="39" t="n">
        <f aca="false">MAX(0,'Start Here'!$C$5-SUM($L349:$U349))</f>
        <v>1200</v>
      </c>
      <c r="AG349" s="39" t="n">
        <f aca="false">SUM(V349:AE349)</f>
        <v>0</v>
      </c>
      <c r="AH349" s="39" t="n">
        <f aca="false">SUM(B349:K349)-AG348</f>
        <v>0</v>
      </c>
    </row>
    <row r="350" customFormat="false" ht="15" hidden="false" customHeight="false" outlineLevel="0" collapsed="false">
      <c r="A350" s="40" t="n">
        <f aca="false">DATE(YEAR('Start Here'!$C$6),MONTH('Start Here'!$C$6)+343,1)</f>
        <v>56735</v>
      </c>
      <c r="B350" s="39" t="n">
        <f aca="false">ROUND(V349*(1+N('My Debts'!$D$6)/12),2)</f>
        <v>0</v>
      </c>
      <c r="C350" s="39" t="n">
        <f aca="false">ROUND(W349*(1+N('My Debts'!$D$7)/12),2)</f>
        <v>0</v>
      </c>
      <c r="D350" s="39" t="n">
        <f aca="false">ROUND(X349*(1+N('My Debts'!$D$8)/12),2)</f>
        <v>0</v>
      </c>
      <c r="E350" s="39" t="n">
        <f aca="false">ROUND(Y349*(1+N('My Debts'!$D$9)/12),2)</f>
        <v>0</v>
      </c>
      <c r="F350" s="39" t="n">
        <f aca="false">ROUND(Z349*(1+N('My Debts'!$D$10)/12),2)</f>
        <v>0</v>
      </c>
      <c r="G350" s="39" t="n">
        <f aca="false">ROUND(AA349*(1+N('My Debts'!$D$11)/12),2)</f>
        <v>0</v>
      </c>
      <c r="H350" s="39" t="n">
        <f aca="false">ROUND(AB349*(1+N('My Debts'!$D$12)/12),2)</f>
        <v>0</v>
      </c>
      <c r="I350" s="39" t="n">
        <f aca="false">ROUND(AC349*(1+N('My Debts'!$D$13)/12),2)</f>
        <v>0</v>
      </c>
      <c r="J350" s="39" t="n">
        <f aca="false">ROUND(AD349*(1+N('My Debts'!$D$14)/12),2)</f>
        <v>0</v>
      </c>
      <c r="K350" s="39" t="n">
        <f aca="false">ROUND(AE349*(1+N('My Debts'!$D$15)/12),2)</f>
        <v>0</v>
      </c>
      <c r="L350" s="39" t="n">
        <f aca="false">MIN(N('My Debts'!$E$6),B350)</f>
        <v>0</v>
      </c>
      <c r="M350" s="39" t="n">
        <f aca="false">MIN(N('My Debts'!$E$7),C350)</f>
        <v>0</v>
      </c>
      <c r="N350" s="39" t="n">
        <f aca="false">MIN(N('My Debts'!$E$8),D350)</f>
        <v>0</v>
      </c>
      <c r="O350" s="39" t="n">
        <f aca="false">MIN(N('My Debts'!$E$9),E350)</f>
        <v>0</v>
      </c>
      <c r="P350" s="39" t="n">
        <f aca="false">MIN(N('My Debts'!$E$10),F350)</f>
        <v>0</v>
      </c>
      <c r="Q350" s="39" t="n">
        <f aca="false">MIN(N('My Debts'!$E$11),G350)</f>
        <v>0</v>
      </c>
      <c r="R350" s="39" t="n">
        <f aca="false">MIN(N('My Debts'!$E$12),H350)</f>
        <v>0</v>
      </c>
      <c r="S350" s="39" t="n">
        <f aca="false">MIN(N('My Debts'!$E$13),I350)</f>
        <v>0</v>
      </c>
      <c r="T350" s="39" t="n">
        <f aca="false">MIN(N('My Debts'!$E$14),J350)</f>
        <v>0</v>
      </c>
      <c r="U350" s="39" t="n">
        <f aca="false">MIN(N('My Debts'!$E$15),K350)</f>
        <v>0</v>
      </c>
      <c r="V350" s="39" t="n">
        <f aca="false">ROUND(B350-L350-MIN(B350-L350,MAX(0,$AF350-SUMPRODUCT(--($B$4:$K$4&lt;B$4),$B350:$K350-$L350:$U350))),2)</f>
        <v>0</v>
      </c>
      <c r="W350" s="39" t="n">
        <f aca="false">ROUND(C350-M350-MIN(C350-M350,MAX(0,$AF350-SUMPRODUCT(--($B$4:$K$4&lt;C$4),$B350:$K350-$L350:$U350))),2)</f>
        <v>0</v>
      </c>
      <c r="X350" s="39" t="n">
        <f aca="false">ROUND(D350-N350-MIN(D350-N350,MAX(0,$AF350-SUMPRODUCT(--($B$4:$K$4&lt;D$4),$B350:$K350-$L350:$U350))),2)</f>
        <v>0</v>
      </c>
      <c r="Y350" s="39" t="n">
        <f aca="false">ROUND(E350-O350-MIN(E350-O350,MAX(0,$AF350-SUMPRODUCT(--($B$4:$K$4&lt;E$4),$B350:$K350-$L350:$U350))),2)</f>
        <v>0</v>
      </c>
      <c r="Z350" s="39" t="n">
        <f aca="false">ROUND(F350-P350-MIN(F350-P350,MAX(0,$AF350-SUMPRODUCT(--($B$4:$K$4&lt;F$4),$B350:$K350-$L350:$U350))),2)</f>
        <v>0</v>
      </c>
      <c r="AA350" s="39" t="n">
        <f aca="false">ROUND(G350-Q350-MIN(G350-Q350,MAX(0,$AF350-SUMPRODUCT(--($B$4:$K$4&lt;G$4),$B350:$K350-$L350:$U350))),2)</f>
        <v>0</v>
      </c>
      <c r="AB350" s="39" t="n">
        <f aca="false">ROUND(H350-R350-MIN(H350-R350,MAX(0,$AF350-SUMPRODUCT(--($B$4:$K$4&lt;H$4),$B350:$K350-$L350:$U350))),2)</f>
        <v>0</v>
      </c>
      <c r="AC350" s="39" t="n">
        <f aca="false">ROUND(I350-S350-MIN(I350-S350,MAX(0,$AF350-SUMPRODUCT(--($B$4:$K$4&lt;I$4),$B350:$K350-$L350:$U350))),2)</f>
        <v>0</v>
      </c>
      <c r="AD350" s="39" t="n">
        <f aca="false">ROUND(J350-T350-MIN(J350-T350,MAX(0,$AF350-SUMPRODUCT(--($B$4:$K$4&lt;J$4),$B350:$K350-$L350:$U350))),2)</f>
        <v>0</v>
      </c>
      <c r="AE350" s="39" t="n">
        <f aca="false">ROUND(K350-U350-MIN(K350-U350,MAX(0,$AF350-SUMPRODUCT(--($B$4:$K$4&lt;K$4),$B350:$K350-$L350:$U350))),2)</f>
        <v>0</v>
      </c>
      <c r="AF350" s="39" t="n">
        <f aca="false">MAX(0,'Start Here'!$C$5-SUM($L350:$U350))</f>
        <v>1200</v>
      </c>
      <c r="AG350" s="39" t="n">
        <f aca="false">SUM(V350:AE350)</f>
        <v>0</v>
      </c>
      <c r="AH350" s="39" t="n">
        <f aca="false">SUM(B350:K350)-AG349</f>
        <v>0</v>
      </c>
    </row>
    <row r="351" customFormat="false" ht="15" hidden="false" customHeight="false" outlineLevel="0" collapsed="false">
      <c r="A351" s="40" t="n">
        <f aca="false">DATE(YEAR('Start Here'!$C$6),MONTH('Start Here'!$C$6)+344,1)</f>
        <v>56766</v>
      </c>
      <c r="B351" s="39" t="n">
        <f aca="false">ROUND(V350*(1+N('My Debts'!$D$6)/12),2)</f>
        <v>0</v>
      </c>
      <c r="C351" s="39" t="n">
        <f aca="false">ROUND(W350*(1+N('My Debts'!$D$7)/12),2)</f>
        <v>0</v>
      </c>
      <c r="D351" s="39" t="n">
        <f aca="false">ROUND(X350*(1+N('My Debts'!$D$8)/12),2)</f>
        <v>0</v>
      </c>
      <c r="E351" s="39" t="n">
        <f aca="false">ROUND(Y350*(1+N('My Debts'!$D$9)/12),2)</f>
        <v>0</v>
      </c>
      <c r="F351" s="39" t="n">
        <f aca="false">ROUND(Z350*(1+N('My Debts'!$D$10)/12),2)</f>
        <v>0</v>
      </c>
      <c r="G351" s="39" t="n">
        <f aca="false">ROUND(AA350*(1+N('My Debts'!$D$11)/12),2)</f>
        <v>0</v>
      </c>
      <c r="H351" s="39" t="n">
        <f aca="false">ROUND(AB350*(1+N('My Debts'!$D$12)/12),2)</f>
        <v>0</v>
      </c>
      <c r="I351" s="39" t="n">
        <f aca="false">ROUND(AC350*(1+N('My Debts'!$D$13)/12),2)</f>
        <v>0</v>
      </c>
      <c r="J351" s="39" t="n">
        <f aca="false">ROUND(AD350*(1+N('My Debts'!$D$14)/12),2)</f>
        <v>0</v>
      </c>
      <c r="K351" s="39" t="n">
        <f aca="false">ROUND(AE350*(1+N('My Debts'!$D$15)/12),2)</f>
        <v>0</v>
      </c>
      <c r="L351" s="39" t="n">
        <f aca="false">MIN(N('My Debts'!$E$6),B351)</f>
        <v>0</v>
      </c>
      <c r="M351" s="39" t="n">
        <f aca="false">MIN(N('My Debts'!$E$7),C351)</f>
        <v>0</v>
      </c>
      <c r="N351" s="39" t="n">
        <f aca="false">MIN(N('My Debts'!$E$8),D351)</f>
        <v>0</v>
      </c>
      <c r="O351" s="39" t="n">
        <f aca="false">MIN(N('My Debts'!$E$9),E351)</f>
        <v>0</v>
      </c>
      <c r="P351" s="39" t="n">
        <f aca="false">MIN(N('My Debts'!$E$10),F351)</f>
        <v>0</v>
      </c>
      <c r="Q351" s="39" t="n">
        <f aca="false">MIN(N('My Debts'!$E$11),G351)</f>
        <v>0</v>
      </c>
      <c r="R351" s="39" t="n">
        <f aca="false">MIN(N('My Debts'!$E$12),H351)</f>
        <v>0</v>
      </c>
      <c r="S351" s="39" t="n">
        <f aca="false">MIN(N('My Debts'!$E$13),I351)</f>
        <v>0</v>
      </c>
      <c r="T351" s="39" t="n">
        <f aca="false">MIN(N('My Debts'!$E$14),J351)</f>
        <v>0</v>
      </c>
      <c r="U351" s="39" t="n">
        <f aca="false">MIN(N('My Debts'!$E$15),K351)</f>
        <v>0</v>
      </c>
      <c r="V351" s="39" t="n">
        <f aca="false">ROUND(B351-L351-MIN(B351-L351,MAX(0,$AF351-SUMPRODUCT(--($B$4:$K$4&lt;B$4),$B351:$K351-$L351:$U351))),2)</f>
        <v>0</v>
      </c>
      <c r="W351" s="39" t="n">
        <f aca="false">ROUND(C351-M351-MIN(C351-M351,MAX(0,$AF351-SUMPRODUCT(--($B$4:$K$4&lt;C$4),$B351:$K351-$L351:$U351))),2)</f>
        <v>0</v>
      </c>
      <c r="X351" s="39" t="n">
        <f aca="false">ROUND(D351-N351-MIN(D351-N351,MAX(0,$AF351-SUMPRODUCT(--($B$4:$K$4&lt;D$4),$B351:$K351-$L351:$U351))),2)</f>
        <v>0</v>
      </c>
      <c r="Y351" s="39" t="n">
        <f aca="false">ROUND(E351-O351-MIN(E351-O351,MAX(0,$AF351-SUMPRODUCT(--($B$4:$K$4&lt;E$4),$B351:$K351-$L351:$U351))),2)</f>
        <v>0</v>
      </c>
      <c r="Z351" s="39" t="n">
        <f aca="false">ROUND(F351-P351-MIN(F351-P351,MAX(0,$AF351-SUMPRODUCT(--($B$4:$K$4&lt;F$4),$B351:$K351-$L351:$U351))),2)</f>
        <v>0</v>
      </c>
      <c r="AA351" s="39" t="n">
        <f aca="false">ROUND(G351-Q351-MIN(G351-Q351,MAX(0,$AF351-SUMPRODUCT(--($B$4:$K$4&lt;G$4),$B351:$K351-$L351:$U351))),2)</f>
        <v>0</v>
      </c>
      <c r="AB351" s="39" t="n">
        <f aca="false">ROUND(H351-R351-MIN(H351-R351,MAX(0,$AF351-SUMPRODUCT(--($B$4:$K$4&lt;H$4),$B351:$K351-$L351:$U351))),2)</f>
        <v>0</v>
      </c>
      <c r="AC351" s="39" t="n">
        <f aca="false">ROUND(I351-S351-MIN(I351-S351,MAX(0,$AF351-SUMPRODUCT(--($B$4:$K$4&lt;I$4),$B351:$K351-$L351:$U351))),2)</f>
        <v>0</v>
      </c>
      <c r="AD351" s="39" t="n">
        <f aca="false">ROUND(J351-T351-MIN(J351-T351,MAX(0,$AF351-SUMPRODUCT(--($B$4:$K$4&lt;J$4),$B351:$K351-$L351:$U351))),2)</f>
        <v>0</v>
      </c>
      <c r="AE351" s="39" t="n">
        <f aca="false">ROUND(K351-U351-MIN(K351-U351,MAX(0,$AF351-SUMPRODUCT(--($B$4:$K$4&lt;K$4),$B351:$K351-$L351:$U351))),2)</f>
        <v>0</v>
      </c>
      <c r="AF351" s="39" t="n">
        <f aca="false">MAX(0,'Start Here'!$C$5-SUM($L351:$U351))</f>
        <v>1200</v>
      </c>
      <c r="AG351" s="39" t="n">
        <f aca="false">SUM(V351:AE351)</f>
        <v>0</v>
      </c>
      <c r="AH351" s="39" t="n">
        <f aca="false">SUM(B351:K351)-AG350</f>
        <v>0</v>
      </c>
    </row>
    <row r="352" customFormat="false" ht="15" hidden="false" customHeight="false" outlineLevel="0" collapsed="false">
      <c r="A352" s="40" t="n">
        <f aca="false">DATE(YEAR('Start Here'!$C$6),MONTH('Start Here'!$C$6)+345,1)</f>
        <v>56796</v>
      </c>
      <c r="B352" s="39" t="n">
        <f aca="false">ROUND(V351*(1+N('My Debts'!$D$6)/12),2)</f>
        <v>0</v>
      </c>
      <c r="C352" s="39" t="n">
        <f aca="false">ROUND(W351*(1+N('My Debts'!$D$7)/12),2)</f>
        <v>0</v>
      </c>
      <c r="D352" s="39" t="n">
        <f aca="false">ROUND(X351*(1+N('My Debts'!$D$8)/12),2)</f>
        <v>0</v>
      </c>
      <c r="E352" s="39" t="n">
        <f aca="false">ROUND(Y351*(1+N('My Debts'!$D$9)/12),2)</f>
        <v>0</v>
      </c>
      <c r="F352" s="39" t="n">
        <f aca="false">ROUND(Z351*(1+N('My Debts'!$D$10)/12),2)</f>
        <v>0</v>
      </c>
      <c r="G352" s="39" t="n">
        <f aca="false">ROUND(AA351*(1+N('My Debts'!$D$11)/12),2)</f>
        <v>0</v>
      </c>
      <c r="H352" s="39" t="n">
        <f aca="false">ROUND(AB351*(1+N('My Debts'!$D$12)/12),2)</f>
        <v>0</v>
      </c>
      <c r="I352" s="39" t="n">
        <f aca="false">ROUND(AC351*(1+N('My Debts'!$D$13)/12),2)</f>
        <v>0</v>
      </c>
      <c r="J352" s="39" t="n">
        <f aca="false">ROUND(AD351*(1+N('My Debts'!$D$14)/12),2)</f>
        <v>0</v>
      </c>
      <c r="K352" s="39" t="n">
        <f aca="false">ROUND(AE351*(1+N('My Debts'!$D$15)/12),2)</f>
        <v>0</v>
      </c>
      <c r="L352" s="39" t="n">
        <f aca="false">MIN(N('My Debts'!$E$6),B352)</f>
        <v>0</v>
      </c>
      <c r="M352" s="39" t="n">
        <f aca="false">MIN(N('My Debts'!$E$7),C352)</f>
        <v>0</v>
      </c>
      <c r="N352" s="39" t="n">
        <f aca="false">MIN(N('My Debts'!$E$8),D352)</f>
        <v>0</v>
      </c>
      <c r="O352" s="39" t="n">
        <f aca="false">MIN(N('My Debts'!$E$9),E352)</f>
        <v>0</v>
      </c>
      <c r="P352" s="39" t="n">
        <f aca="false">MIN(N('My Debts'!$E$10),F352)</f>
        <v>0</v>
      </c>
      <c r="Q352" s="39" t="n">
        <f aca="false">MIN(N('My Debts'!$E$11),G352)</f>
        <v>0</v>
      </c>
      <c r="R352" s="39" t="n">
        <f aca="false">MIN(N('My Debts'!$E$12),H352)</f>
        <v>0</v>
      </c>
      <c r="S352" s="39" t="n">
        <f aca="false">MIN(N('My Debts'!$E$13),I352)</f>
        <v>0</v>
      </c>
      <c r="T352" s="39" t="n">
        <f aca="false">MIN(N('My Debts'!$E$14),J352)</f>
        <v>0</v>
      </c>
      <c r="U352" s="39" t="n">
        <f aca="false">MIN(N('My Debts'!$E$15),K352)</f>
        <v>0</v>
      </c>
      <c r="V352" s="39" t="n">
        <f aca="false">ROUND(B352-L352-MIN(B352-L352,MAX(0,$AF352-SUMPRODUCT(--($B$4:$K$4&lt;B$4),$B352:$K352-$L352:$U352))),2)</f>
        <v>0</v>
      </c>
      <c r="W352" s="39" t="n">
        <f aca="false">ROUND(C352-M352-MIN(C352-M352,MAX(0,$AF352-SUMPRODUCT(--($B$4:$K$4&lt;C$4),$B352:$K352-$L352:$U352))),2)</f>
        <v>0</v>
      </c>
      <c r="X352" s="39" t="n">
        <f aca="false">ROUND(D352-N352-MIN(D352-N352,MAX(0,$AF352-SUMPRODUCT(--($B$4:$K$4&lt;D$4),$B352:$K352-$L352:$U352))),2)</f>
        <v>0</v>
      </c>
      <c r="Y352" s="39" t="n">
        <f aca="false">ROUND(E352-O352-MIN(E352-O352,MAX(0,$AF352-SUMPRODUCT(--($B$4:$K$4&lt;E$4),$B352:$K352-$L352:$U352))),2)</f>
        <v>0</v>
      </c>
      <c r="Z352" s="39" t="n">
        <f aca="false">ROUND(F352-P352-MIN(F352-P352,MAX(0,$AF352-SUMPRODUCT(--($B$4:$K$4&lt;F$4),$B352:$K352-$L352:$U352))),2)</f>
        <v>0</v>
      </c>
      <c r="AA352" s="39" t="n">
        <f aca="false">ROUND(G352-Q352-MIN(G352-Q352,MAX(0,$AF352-SUMPRODUCT(--($B$4:$K$4&lt;G$4),$B352:$K352-$L352:$U352))),2)</f>
        <v>0</v>
      </c>
      <c r="AB352" s="39" t="n">
        <f aca="false">ROUND(H352-R352-MIN(H352-R352,MAX(0,$AF352-SUMPRODUCT(--($B$4:$K$4&lt;H$4),$B352:$K352-$L352:$U352))),2)</f>
        <v>0</v>
      </c>
      <c r="AC352" s="39" t="n">
        <f aca="false">ROUND(I352-S352-MIN(I352-S352,MAX(0,$AF352-SUMPRODUCT(--($B$4:$K$4&lt;I$4),$B352:$K352-$L352:$U352))),2)</f>
        <v>0</v>
      </c>
      <c r="AD352" s="39" t="n">
        <f aca="false">ROUND(J352-T352-MIN(J352-T352,MAX(0,$AF352-SUMPRODUCT(--($B$4:$K$4&lt;J$4),$B352:$K352-$L352:$U352))),2)</f>
        <v>0</v>
      </c>
      <c r="AE352" s="39" t="n">
        <f aca="false">ROUND(K352-U352-MIN(K352-U352,MAX(0,$AF352-SUMPRODUCT(--($B$4:$K$4&lt;K$4),$B352:$K352-$L352:$U352))),2)</f>
        <v>0</v>
      </c>
      <c r="AF352" s="39" t="n">
        <f aca="false">MAX(0,'Start Here'!$C$5-SUM($L352:$U352))</f>
        <v>1200</v>
      </c>
      <c r="AG352" s="39" t="n">
        <f aca="false">SUM(V352:AE352)</f>
        <v>0</v>
      </c>
      <c r="AH352" s="39" t="n">
        <f aca="false">SUM(B352:K352)-AG351</f>
        <v>0</v>
      </c>
    </row>
    <row r="353" customFormat="false" ht="15" hidden="false" customHeight="false" outlineLevel="0" collapsed="false">
      <c r="A353" s="40" t="n">
        <f aca="false">DATE(YEAR('Start Here'!$C$6),MONTH('Start Here'!$C$6)+346,1)</f>
        <v>56827</v>
      </c>
      <c r="B353" s="39" t="n">
        <f aca="false">ROUND(V352*(1+N('My Debts'!$D$6)/12),2)</f>
        <v>0</v>
      </c>
      <c r="C353" s="39" t="n">
        <f aca="false">ROUND(W352*(1+N('My Debts'!$D$7)/12),2)</f>
        <v>0</v>
      </c>
      <c r="D353" s="39" t="n">
        <f aca="false">ROUND(X352*(1+N('My Debts'!$D$8)/12),2)</f>
        <v>0</v>
      </c>
      <c r="E353" s="39" t="n">
        <f aca="false">ROUND(Y352*(1+N('My Debts'!$D$9)/12),2)</f>
        <v>0</v>
      </c>
      <c r="F353" s="39" t="n">
        <f aca="false">ROUND(Z352*(1+N('My Debts'!$D$10)/12),2)</f>
        <v>0</v>
      </c>
      <c r="G353" s="39" t="n">
        <f aca="false">ROUND(AA352*(1+N('My Debts'!$D$11)/12),2)</f>
        <v>0</v>
      </c>
      <c r="H353" s="39" t="n">
        <f aca="false">ROUND(AB352*(1+N('My Debts'!$D$12)/12),2)</f>
        <v>0</v>
      </c>
      <c r="I353" s="39" t="n">
        <f aca="false">ROUND(AC352*(1+N('My Debts'!$D$13)/12),2)</f>
        <v>0</v>
      </c>
      <c r="J353" s="39" t="n">
        <f aca="false">ROUND(AD352*(1+N('My Debts'!$D$14)/12),2)</f>
        <v>0</v>
      </c>
      <c r="K353" s="39" t="n">
        <f aca="false">ROUND(AE352*(1+N('My Debts'!$D$15)/12),2)</f>
        <v>0</v>
      </c>
      <c r="L353" s="39" t="n">
        <f aca="false">MIN(N('My Debts'!$E$6),B353)</f>
        <v>0</v>
      </c>
      <c r="M353" s="39" t="n">
        <f aca="false">MIN(N('My Debts'!$E$7),C353)</f>
        <v>0</v>
      </c>
      <c r="N353" s="39" t="n">
        <f aca="false">MIN(N('My Debts'!$E$8),D353)</f>
        <v>0</v>
      </c>
      <c r="O353" s="39" t="n">
        <f aca="false">MIN(N('My Debts'!$E$9),E353)</f>
        <v>0</v>
      </c>
      <c r="P353" s="39" t="n">
        <f aca="false">MIN(N('My Debts'!$E$10),F353)</f>
        <v>0</v>
      </c>
      <c r="Q353" s="39" t="n">
        <f aca="false">MIN(N('My Debts'!$E$11),G353)</f>
        <v>0</v>
      </c>
      <c r="R353" s="39" t="n">
        <f aca="false">MIN(N('My Debts'!$E$12),H353)</f>
        <v>0</v>
      </c>
      <c r="S353" s="39" t="n">
        <f aca="false">MIN(N('My Debts'!$E$13),I353)</f>
        <v>0</v>
      </c>
      <c r="T353" s="39" t="n">
        <f aca="false">MIN(N('My Debts'!$E$14),J353)</f>
        <v>0</v>
      </c>
      <c r="U353" s="39" t="n">
        <f aca="false">MIN(N('My Debts'!$E$15),K353)</f>
        <v>0</v>
      </c>
      <c r="V353" s="39" t="n">
        <f aca="false">ROUND(B353-L353-MIN(B353-L353,MAX(0,$AF353-SUMPRODUCT(--($B$4:$K$4&lt;B$4),$B353:$K353-$L353:$U353))),2)</f>
        <v>0</v>
      </c>
      <c r="W353" s="39" t="n">
        <f aca="false">ROUND(C353-M353-MIN(C353-M353,MAX(0,$AF353-SUMPRODUCT(--($B$4:$K$4&lt;C$4),$B353:$K353-$L353:$U353))),2)</f>
        <v>0</v>
      </c>
      <c r="X353" s="39" t="n">
        <f aca="false">ROUND(D353-N353-MIN(D353-N353,MAX(0,$AF353-SUMPRODUCT(--($B$4:$K$4&lt;D$4),$B353:$K353-$L353:$U353))),2)</f>
        <v>0</v>
      </c>
      <c r="Y353" s="39" t="n">
        <f aca="false">ROUND(E353-O353-MIN(E353-O353,MAX(0,$AF353-SUMPRODUCT(--($B$4:$K$4&lt;E$4),$B353:$K353-$L353:$U353))),2)</f>
        <v>0</v>
      </c>
      <c r="Z353" s="39" t="n">
        <f aca="false">ROUND(F353-P353-MIN(F353-P353,MAX(0,$AF353-SUMPRODUCT(--($B$4:$K$4&lt;F$4),$B353:$K353-$L353:$U353))),2)</f>
        <v>0</v>
      </c>
      <c r="AA353" s="39" t="n">
        <f aca="false">ROUND(G353-Q353-MIN(G353-Q353,MAX(0,$AF353-SUMPRODUCT(--($B$4:$K$4&lt;G$4),$B353:$K353-$L353:$U353))),2)</f>
        <v>0</v>
      </c>
      <c r="AB353" s="39" t="n">
        <f aca="false">ROUND(H353-R353-MIN(H353-R353,MAX(0,$AF353-SUMPRODUCT(--($B$4:$K$4&lt;H$4),$B353:$K353-$L353:$U353))),2)</f>
        <v>0</v>
      </c>
      <c r="AC353" s="39" t="n">
        <f aca="false">ROUND(I353-S353-MIN(I353-S353,MAX(0,$AF353-SUMPRODUCT(--($B$4:$K$4&lt;I$4),$B353:$K353-$L353:$U353))),2)</f>
        <v>0</v>
      </c>
      <c r="AD353" s="39" t="n">
        <f aca="false">ROUND(J353-T353-MIN(J353-T353,MAX(0,$AF353-SUMPRODUCT(--($B$4:$K$4&lt;J$4),$B353:$K353-$L353:$U353))),2)</f>
        <v>0</v>
      </c>
      <c r="AE353" s="39" t="n">
        <f aca="false">ROUND(K353-U353-MIN(K353-U353,MAX(0,$AF353-SUMPRODUCT(--($B$4:$K$4&lt;K$4),$B353:$K353-$L353:$U353))),2)</f>
        <v>0</v>
      </c>
      <c r="AF353" s="39" t="n">
        <f aca="false">MAX(0,'Start Here'!$C$5-SUM($L353:$U353))</f>
        <v>1200</v>
      </c>
      <c r="AG353" s="39" t="n">
        <f aca="false">SUM(V353:AE353)</f>
        <v>0</v>
      </c>
      <c r="AH353" s="39" t="n">
        <f aca="false">SUM(B353:K353)-AG352</f>
        <v>0</v>
      </c>
    </row>
    <row r="354" customFormat="false" ht="15" hidden="false" customHeight="false" outlineLevel="0" collapsed="false">
      <c r="A354" s="40" t="n">
        <f aca="false">DATE(YEAR('Start Here'!$C$6),MONTH('Start Here'!$C$6)+347,1)</f>
        <v>56858</v>
      </c>
      <c r="B354" s="39" t="n">
        <f aca="false">ROUND(V353*(1+N('My Debts'!$D$6)/12),2)</f>
        <v>0</v>
      </c>
      <c r="C354" s="39" t="n">
        <f aca="false">ROUND(W353*(1+N('My Debts'!$D$7)/12),2)</f>
        <v>0</v>
      </c>
      <c r="D354" s="39" t="n">
        <f aca="false">ROUND(X353*(1+N('My Debts'!$D$8)/12),2)</f>
        <v>0</v>
      </c>
      <c r="E354" s="39" t="n">
        <f aca="false">ROUND(Y353*(1+N('My Debts'!$D$9)/12),2)</f>
        <v>0</v>
      </c>
      <c r="F354" s="39" t="n">
        <f aca="false">ROUND(Z353*(1+N('My Debts'!$D$10)/12),2)</f>
        <v>0</v>
      </c>
      <c r="G354" s="39" t="n">
        <f aca="false">ROUND(AA353*(1+N('My Debts'!$D$11)/12),2)</f>
        <v>0</v>
      </c>
      <c r="H354" s="39" t="n">
        <f aca="false">ROUND(AB353*(1+N('My Debts'!$D$12)/12),2)</f>
        <v>0</v>
      </c>
      <c r="I354" s="39" t="n">
        <f aca="false">ROUND(AC353*(1+N('My Debts'!$D$13)/12),2)</f>
        <v>0</v>
      </c>
      <c r="J354" s="39" t="n">
        <f aca="false">ROUND(AD353*(1+N('My Debts'!$D$14)/12),2)</f>
        <v>0</v>
      </c>
      <c r="K354" s="39" t="n">
        <f aca="false">ROUND(AE353*(1+N('My Debts'!$D$15)/12),2)</f>
        <v>0</v>
      </c>
      <c r="L354" s="39" t="n">
        <f aca="false">MIN(N('My Debts'!$E$6),B354)</f>
        <v>0</v>
      </c>
      <c r="M354" s="39" t="n">
        <f aca="false">MIN(N('My Debts'!$E$7),C354)</f>
        <v>0</v>
      </c>
      <c r="N354" s="39" t="n">
        <f aca="false">MIN(N('My Debts'!$E$8),D354)</f>
        <v>0</v>
      </c>
      <c r="O354" s="39" t="n">
        <f aca="false">MIN(N('My Debts'!$E$9),E354)</f>
        <v>0</v>
      </c>
      <c r="P354" s="39" t="n">
        <f aca="false">MIN(N('My Debts'!$E$10),F354)</f>
        <v>0</v>
      </c>
      <c r="Q354" s="39" t="n">
        <f aca="false">MIN(N('My Debts'!$E$11),G354)</f>
        <v>0</v>
      </c>
      <c r="R354" s="39" t="n">
        <f aca="false">MIN(N('My Debts'!$E$12),H354)</f>
        <v>0</v>
      </c>
      <c r="S354" s="39" t="n">
        <f aca="false">MIN(N('My Debts'!$E$13),I354)</f>
        <v>0</v>
      </c>
      <c r="T354" s="39" t="n">
        <f aca="false">MIN(N('My Debts'!$E$14),J354)</f>
        <v>0</v>
      </c>
      <c r="U354" s="39" t="n">
        <f aca="false">MIN(N('My Debts'!$E$15),K354)</f>
        <v>0</v>
      </c>
      <c r="V354" s="39" t="n">
        <f aca="false">ROUND(B354-L354-MIN(B354-L354,MAX(0,$AF354-SUMPRODUCT(--($B$4:$K$4&lt;B$4),$B354:$K354-$L354:$U354))),2)</f>
        <v>0</v>
      </c>
      <c r="W354" s="39" t="n">
        <f aca="false">ROUND(C354-M354-MIN(C354-M354,MAX(0,$AF354-SUMPRODUCT(--($B$4:$K$4&lt;C$4),$B354:$K354-$L354:$U354))),2)</f>
        <v>0</v>
      </c>
      <c r="X354" s="39" t="n">
        <f aca="false">ROUND(D354-N354-MIN(D354-N354,MAX(0,$AF354-SUMPRODUCT(--($B$4:$K$4&lt;D$4),$B354:$K354-$L354:$U354))),2)</f>
        <v>0</v>
      </c>
      <c r="Y354" s="39" t="n">
        <f aca="false">ROUND(E354-O354-MIN(E354-O354,MAX(0,$AF354-SUMPRODUCT(--($B$4:$K$4&lt;E$4),$B354:$K354-$L354:$U354))),2)</f>
        <v>0</v>
      </c>
      <c r="Z354" s="39" t="n">
        <f aca="false">ROUND(F354-P354-MIN(F354-P354,MAX(0,$AF354-SUMPRODUCT(--($B$4:$K$4&lt;F$4),$B354:$K354-$L354:$U354))),2)</f>
        <v>0</v>
      </c>
      <c r="AA354" s="39" t="n">
        <f aca="false">ROUND(G354-Q354-MIN(G354-Q354,MAX(0,$AF354-SUMPRODUCT(--($B$4:$K$4&lt;G$4),$B354:$K354-$L354:$U354))),2)</f>
        <v>0</v>
      </c>
      <c r="AB354" s="39" t="n">
        <f aca="false">ROUND(H354-R354-MIN(H354-R354,MAX(0,$AF354-SUMPRODUCT(--($B$4:$K$4&lt;H$4),$B354:$K354-$L354:$U354))),2)</f>
        <v>0</v>
      </c>
      <c r="AC354" s="39" t="n">
        <f aca="false">ROUND(I354-S354-MIN(I354-S354,MAX(0,$AF354-SUMPRODUCT(--($B$4:$K$4&lt;I$4),$B354:$K354-$L354:$U354))),2)</f>
        <v>0</v>
      </c>
      <c r="AD354" s="39" t="n">
        <f aca="false">ROUND(J354-T354-MIN(J354-T354,MAX(0,$AF354-SUMPRODUCT(--($B$4:$K$4&lt;J$4),$B354:$K354-$L354:$U354))),2)</f>
        <v>0</v>
      </c>
      <c r="AE354" s="39" t="n">
        <f aca="false">ROUND(K354-U354-MIN(K354-U354,MAX(0,$AF354-SUMPRODUCT(--($B$4:$K$4&lt;K$4),$B354:$K354-$L354:$U354))),2)</f>
        <v>0</v>
      </c>
      <c r="AF354" s="39" t="n">
        <f aca="false">MAX(0,'Start Here'!$C$5-SUM($L354:$U354))</f>
        <v>1200</v>
      </c>
      <c r="AG354" s="39" t="n">
        <f aca="false">SUM(V354:AE354)</f>
        <v>0</v>
      </c>
      <c r="AH354" s="39" t="n">
        <f aca="false">SUM(B354:K354)-AG353</f>
        <v>0</v>
      </c>
    </row>
    <row r="355" customFormat="false" ht="15" hidden="false" customHeight="false" outlineLevel="0" collapsed="false">
      <c r="A355" s="40" t="n">
        <f aca="false">DATE(YEAR('Start Here'!$C$6),MONTH('Start Here'!$C$6)+348,1)</f>
        <v>56888</v>
      </c>
      <c r="B355" s="39" t="n">
        <f aca="false">ROUND(V354*(1+N('My Debts'!$D$6)/12),2)</f>
        <v>0</v>
      </c>
      <c r="C355" s="39" t="n">
        <f aca="false">ROUND(W354*(1+N('My Debts'!$D$7)/12),2)</f>
        <v>0</v>
      </c>
      <c r="D355" s="39" t="n">
        <f aca="false">ROUND(X354*(1+N('My Debts'!$D$8)/12),2)</f>
        <v>0</v>
      </c>
      <c r="E355" s="39" t="n">
        <f aca="false">ROUND(Y354*(1+N('My Debts'!$D$9)/12),2)</f>
        <v>0</v>
      </c>
      <c r="F355" s="39" t="n">
        <f aca="false">ROUND(Z354*(1+N('My Debts'!$D$10)/12),2)</f>
        <v>0</v>
      </c>
      <c r="G355" s="39" t="n">
        <f aca="false">ROUND(AA354*(1+N('My Debts'!$D$11)/12),2)</f>
        <v>0</v>
      </c>
      <c r="H355" s="39" t="n">
        <f aca="false">ROUND(AB354*(1+N('My Debts'!$D$12)/12),2)</f>
        <v>0</v>
      </c>
      <c r="I355" s="39" t="n">
        <f aca="false">ROUND(AC354*(1+N('My Debts'!$D$13)/12),2)</f>
        <v>0</v>
      </c>
      <c r="J355" s="39" t="n">
        <f aca="false">ROUND(AD354*(1+N('My Debts'!$D$14)/12),2)</f>
        <v>0</v>
      </c>
      <c r="K355" s="39" t="n">
        <f aca="false">ROUND(AE354*(1+N('My Debts'!$D$15)/12),2)</f>
        <v>0</v>
      </c>
      <c r="L355" s="39" t="n">
        <f aca="false">MIN(N('My Debts'!$E$6),B355)</f>
        <v>0</v>
      </c>
      <c r="M355" s="39" t="n">
        <f aca="false">MIN(N('My Debts'!$E$7),C355)</f>
        <v>0</v>
      </c>
      <c r="N355" s="39" t="n">
        <f aca="false">MIN(N('My Debts'!$E$8),D355)</f>
        <v>0</v>
      </c>
      <c r="O355" s="39" t="n">
        <f aca="false">MIN(N('My Debts'!$E$9),E355)</f>
        <v>0</v>
      </c>
      <c r="P355" s="39" t="n">
        <f aca="false">MIN(N('My Debts'!$E$10),F355)</f>
        <v>0</v>
      </c>
      <c r="Q355" s="39" t="n">
        <f aca="false">MIN(N('My Debts'!$E$11),G355)</f>
        <v>0</v>
      </c>
      <c r="R355" s="39" t="n">
        <f aca="false">MIN(N('My Debts'!$E$12),H355)</f>
        <v>0</v>
      </c>
      <c r="S355" s="39" t="n">
        <f aca="false">MIN(N('My Debts'!$E$13),I355)</f>
        <v>0</v>
      </c>
      <c r="T355" s="39" t="n">
        <f aca="false">MIN(N('My Debts'!$E$14),J355)</f>
        <v>0</v>
      </c>
      <c r="U355" s="39" t="n">
        <f aca="false">MIN(N('My Debts'!$E$15),K355)</f>
        <v>0</v>
      </c>
      <c r="V355" s="39" t="n">
        <f aca="false">ROUND(B355-L355-MIN(B355-L355,MAX(0,$AF355-SUMPRODUCT(--($B$4:$K$4&lt;B$4),$B355:$K355-$L355:$U355))),2)</f>
        <v>0</v>
      </c>
      <c r="W355" s="39" t="n">
        <f aca="false">ROUND(C355-M355-MIN(C355-M355,MAX(0,$AF355-SUMPRODUCT(--($B$4:$K$4&lt;C$4),$B355:$K355-$L355:$U355))),2)</f>
        <v>0</v>
      </c>
      <c r="X355" s="39" t="n">
        <f aca="false">ROUND(D355-N355-MIN(D355-N355,MAX(0,$AF355-SUMPRODUCT(--($B$4:$K$4&lt;D$4),$B355:$K355-$L355:$U355))),2)</f>
        <v>0</v>
      </c>
      <c r="Y355" s="39" t="n">
        <f aca="false">ROUND(E355-O355-MIN(E355-O355,MAX(0,$AF355-SUMPRODUCT(--($B$4:$K$4&lt;E$4),$B355:$K355-$L355:$U355))),2)</f>
        <v>0</v>
      </c>
      <c r="Z355" s="39" t="n">
        <f aca="false">ROUND(F355-P355-MIN(F355-P355,MAX(0,$AF355-SUMPRODUCT(--($B$4:$K$4&lt;F$4),$B355:$K355-$L355:$U355))),2)</f>
        <v>0</v>
      </c>
      <c r="AA355" s="39" t="n">
        <f aca="false">ROUND(G355-Q355-MIN(G355-Q355,MAX(0,$AF355-SUMPRODUCT(--($B$4:$K$4&lt;G$4),$B355:$K355-$L355:$U355))),2)</f>
        <v>0</v>
      </c>
      <c r="AB355" s="39" t="n">
        <f aca="false">ROUND(H355-R355-MIN(H355-R355,MAX(0,$AF355-SUMPRODUCT(--($B$4:$K$4&lt;H$4),$B355:$K355-$L355:$U355))),2)</f>
        <v>0</v>
      </c>
      <c r="AC355" s="39" t="n">
        <f aca="false">ROUND(I355-S355-MIN(I355-S355,MAX(0,$AF355-SUMPRODUCT(--($B$4:$K$4&lt;I$4),$B355:$K355-$L355:$U355))),2)</f>
        <v>0</v>
      </c>
      <c r="AD355" s="39" t="n">
        <f aca="false">ROUND(J355-T355-MIN(J355-T355,MAX(0,$AF355-SUMPRODUCT(--($B$4:$K$4&lt;J$4),$B355:$K355-$L355:$U355))),2)</f>
        <v>0</v>
      </c>
      <c r="AE355" s="39" t="n">
        <f aca="false">ROUND(K355-U355-MIN(K355-U355,MAX(0,$AF355-SUMPRODUCT(--($B$4:$K$4&lt;K$4),$B355:$K355-$L355:$U355))),2)</f>
        <v>0</v>
      </c>
      <c r="AF355" s="39" t="n">
        <f aca="false">MAX(0,'Start Here'!$C$5-SUM($L355:$U355))</f>
        <v>1200</v>
      </c>
      <c r="AG355" s="39" t="n">
        <f aca="false">SUM(V355:AE355)</f>
        <v>0</v>
      </c>
      <c r="AH355" s="39" t="n">
        <f aca="false">SUM(B355:K355)-AG354</f>
        <v>0</v>
      </c>
    </row>
    <row r="356" customFormat="false" ht="15" hidden="false" customHeight="false" outlineLevel="0" collapsed="false">
      <c r="A356" s="40" t="n">
        <f aca="false">DATE(YEAR('Start Here'!$C$6),MONTH('Start Here'!$C$6)+349,1)</f>
        <v>56919</v>
      </c>
      <c r="B356" s="39" t="n">
        <f aca="false">ROUND(V355*(1+N('My Debts'!$D$6)/12),2)</f>
        <v>0</v>
      </c>
      <c r="C356" s="39" t="n">
        <f aca="false">ROUND(W355*(1+N('My Debts'!$D$7)/12),2)</f>
        <v>0</v>
      </c>
      <c r="D356" s="39" t="n">
        <f aca="false">ROUND(X355*(1+N('My Debts'!$D$8)/12),2)</f>
        <v>0</v>
      </c>
      <c r="E356" s="39" t="n">
        <f aca="false">ROUND(Y355*(1+N('My Debts'!$D$9)/12),2)</f>
        <v>0</v>
      </c>
      <c r="F356" s="39" t="n">
        <f aca="false">ROUND(Z355*(1+N('My Debts'!$D$10)/12),2)</f>
        <v>0</v>
      </c>
      <c r="G356" s="39" t="n">
        <f aca="false">ROUND(AA355*(1+N('My Debts'!$D$11)/12),2)</f>
        <v>0</v>
      </c>
      <c r="H356" s="39" t="n">
        <f aca="false">ROUND(AB355*(1+N('My Debts'!$D$12)/12),2)</f>
        <v>0</v>
      </c>
      <c r="I356" s="39" t="n">
        <f aca="false">ROUND(AC355*(1+N('My Debts'!$D$13)/12),2)</f>
        <v>0</v>
      </c>
      <c r="J356" s="39" t="n">
        <f aca="false">ROUND(AD355*(1+N('My Debts'!$D$14)/12),2)</f>
        <v>0</v>
      </c>
      <c r="K356" s="39" t="n">
        <f aca="false">ROUND(AE355*(1+N('My Debts'!$D$15)/12),2)</f>
        <v>0</v>
      </c>
      <c r="L356" s="39" t="n">
        <f aca="false">MIN(N('My Debts'!$E$6),B356)</f>
        <v>0</v>
      </c>
      <c r="M356" s="39" t="n">
        <f aca="false">MIN(N('My Debts'!$E$7),C356)</f>
        <v>0</v>
      </c>
      <c r="N356" s="39" t="n">
        <f aca="false">MIN(N('My Debts'!$E$8),D356)</f>
        <v>0</v>
      </c>
      <c r="O356" s="39" t="n">
        <f aca="false">MIN(N('My Debts'!$E$9),E356)</f>
        <v>0</v>
      </c>
      <c r="P356" s="39" t="n">
        <f aca="false">MIN(N('My Debts'!$E$10),F356)</f>
        <v>0</v>
      </c>
      <c r="Q356" s="39" t="n">
        <f aca="false">MIN(N('My Debts'!$E$11),G356)</f>
        <v>0</v>
      </c>
      <c r="R356" s="39" t="n">
        <f aca="false">MIN(N('My Debts'!$E$12),H356)</f>
        <v>0</v>
      </c>
      <c r="S356" s="39" t="n">
        <f aca="false">MIN(N('My Debts'!$E$13),I356)</f>
        <v>0</v>
      </c>
      <c r="T356" s="39" t="n">
        <f aca="false">MIN(N('My Debts'!$E$14),J356)</f>
        <v>0</v>
      </c>
      <c r="U356" s="39" t="n">
        <f aca="false">MIN(N('My Debts'!$E$15),K356)</f>
        <v>0</v>
      </c>
      <c r="V356" s="39" t="n">
        <f aca="false">ROUND(B356-L356-MIN(B356-L356,MAX(0,$AF356-SUMPRODUCT(--($B$4:$K$4&lt;B$4),$B356:$K356-$L356:$U356))),2)</f>
        <v>0</v>
      </c>
      <c r="W356" s="39" t="n">
        <f aca="false">ROUND(C356-M356-MIN(C356-M356,MAX(0,$AF356-SUMPRODUCT(--($B$4:$K$4&lt;C$4),$B356:$K356-$L356:$U356))),2)</f>
        <v>0</v>
      </c>
      <c r="X356" s="39" t="n">
        <f aca="false">ROUND(D356-N356-MIN(D356-N356,MAX(0,$AF356-SUMPRODUCT(--($B$4:$K$4&lt;D$4),$B356:$K356-$L356:$U356))),2)</f>
        <v>0</v>
      </c>
      <c r="Y356" s="39" t="n">
        <f aca="false">ROUND(E356-O356-MIN(E356-O356,MAX(0,$AF356-SUMPRODUCT(--($B$4:$K$4&lt;E$4),$B356:$K356-$L356:$U356))),2)</f>
        <v>0</v>
      </c>
      <c r="Z356" s="39" t="n">
        <f aca="false">ROUND(F356-P356-MIN(F356-P356,MAX(0,$AF356-SUMPRODUCT(--($B$4:$K$4&lt;F$4),$B356:$K356-$L356:$U356))),2)</f>
        <v>0</v>
      </c>
      <c r="AA356" s="39" t="n">
        <f aca="false">ROUND(G356-Q356-MIN(G356-Q356,MAX(0,$AF356-SUMPRODUCT(--($B$4:$K$4&lt;G$4),$B356:$K356-$L356:$U356))),2)</f>
        <v>0</v>
      </c>
      <c r="AB356" s="39" t="n">
        <f aca="false">ROUND(H356-R356-MIN(H356-R356,MAX(0,$AF356-SUMPRODUCT(--($B$4:$K$4&lt;H$4),$B356:$K356-$L356:$U356))),2)</f>
        <v>0</v>
      </c>
      <c r="AC356" s="39" t="n">
        <f aca="false">ROUND(I356-S356-MIN(I356-S356,MAX(0,$AF356-SUMPRODUCT(--($B$4:$K$4&lt;I$4),$B356:$K356-$L356:$U356))),2)</f>
        <v>0</v>
      </c>
      <c r="AD356" s="39" t="n">
        <f aca="false">ROUND(J356-T356-MIN(J356-T356,MAX(0,$AF356-SUMPRODUCT(--($B$4:$K$4&lt;J$4),$B356:$K356-$L356:$U356))),2)</f>
        <v>0</v>
      </c>
      <c r="AE356" s="39" t="n">
        <f aca="false">ROUND(K356-U356-MIN(K356-U356,MAX(0,$AF356-SUMPRODUCT(--($B$4:$K$4&lt;K$4),$B356:$K356-$L356:$U356))),2)</f>
        <v>0</v>
      </c>
      <c r="AF356" s="39" t="n">
        <f aca="false">MAX(0,'Start Here'!$C$5-SUM($L356:$U356))</f>
        <v>1200</v>
      </c>
      <c r="AG356" s="39" t="n">
        <f aca="false">SUM(V356:AE356)</f>
        <v>0</v>
      </c>
      <c r="AH356" s="39" t="n">
        <f aca="false">SUM(B356:K356)-AG355</f>
        <v>0</v>
      </c>
    </row>
    <row r="357" customFormat="false" ht="15" hidden="false" customHeight="false" outlineLevel="0" collapsed="false">
      <c r="A357" s="40" t="n">
        <f aca="false">DATE(YEAR('Start Here'!$C$6),MONTH('Start Here'!$C$6)+350,1)</f>
        <v>56949</v>
      </c>
      <c r="B357" s="39" t="n">
        <f aca="false">ROUND(V356*(1+N('My Debts'!$D$6)/12),2)</f>
        <v>0</v>
      </c>
      <c r="C357" s="39" t="n">
        <f aca="false">ROUND(W356*(1+N('My Debts'!$D$7)/12),2)</f>
        <v>0</v>
      </c>
      <c r="D357" s="39" t="n">
        <f aca="false">ROUND(X356*(1+N('My Debts'!$D$8)/12),2)</f>
        <v>0</v>
      </c>
      <c r="E357" s="39" t="n">
        <f aca="false">ROUND(Y356*(1+N('My Debts'!$D$9)/12),2)</f>
        <v>0</v>
      </c>
      <c r="F357" s="39" t="n">
        <f aca="false">ROUND(Z356*(1+N('My Debts'!$D$10)/12),2)</f>
        <v>0</v>
      </c>
      <c r="G357" s="39" t="n">
        <f aca="false">ROUND(AA356*(1+N('My Debts'!$D$11)/12),2)</f>
        <v>0</v>
      </c>
      <c r="H357" s="39" t="n">
        <f aca="false">ROUND(AB356*(1+N('My Debts'!$D$12)/12),2)</f>
        <v>0</v>
      </c>
      <c r="I357" s="39" t="n">
        <f aca="false">ROUND(AC356*(1+N('My Debts'!$D$13)/12),2)</f>
        <v>0</v>
      </c>
      <c r="J357" s="39" t="n">
        <f aca="false">ROUND(AD356*(1+N('My Debts'!$D$14)/12),2)</f>
        <v>0</v>
      </c>
      <c r="K357" s="39" t="n">
        <f aca="false">ROUND(AE356*(1+N('My Debts'!$D$15)/12),2)</f>
        <v>0</v>
      </c>
      <c r="L357" s="39" t="n">
        <f aca="false">MIN(N('My Debts'!$E$6),B357)</f>
        <v>0</v>
      </c>
      <c r="M357" s="39" t="n">
        <f aca="false">MIN(N('My Debts'!$E$7),C357)</f>
        <v>0</v>
      </c>
      <c r="N357" s="39" t="n">
        <f aca="false">MIN(N('My Debts'!$E$8),D357)</f>
        <v>0</v>
      </c>
      <c r="O357" s="39" t="n">
        <f aca="false">MIN(N('My Debts'!$E$9),E357)</f>
        <v>0</v>
      </c>
      <c r="P357" s="39" t="n">
        <f aca="false">MIN(N('My Debts'!$E$10),F357)</f>
        <v>0</v>
      </c>
      <c r="Q357" s="39" t="n">
        <f aca="false">MIN(N('My Debts'!$E$11),G357)</f>
        <v>0</v>
      </c>
      <c r="R357" s="39" t="n">
        <f aca="false">MIN(N('My Debts'!$E$12),H357)</f>
        <v>0</v>
      </c>
      <c r="S357" s="39" t="n">
        <f aca="false">MIN(N('My Debts'!$E$13),I357)</f>
        <v>0</v>
      </c>
      <c r="T357" s="39" t="n">
        <f aca="false">MIN(N('My Debts'!$E$14),J357)</f>
        <v>0</v>
      </c>
      <c r="U357" s="39" t="n">
        <f aca="false">MIN(N('My Debts'!$E$15),K357)</f>
        <v>0</v>
      </c>
      <c r="V357" s="39" t="n">
        <f aca="false">ROUND(B357-L357-MIN(B357-L357,MAX(0,$AF357-SUMPRODUCT(--($B$4:$K$4&lt;B$4),$B357:$K357-$L357:$U357))),2)</f>
        <v>0</v>
      </c>
      <c r="W357" s="39" t="n">
        <f aca="false">ROUND(C357-M357-MIN(C357-M357,MAX(0,$AF357-SUMPRODUCT(--($B$4:$K$4&lt;C$4),$B357:$K357-$L357:$U357))),2)</f>
        <v>0</v>
      </c>
      <c r="X357" s="39" t="n">
        <f aca="false">ROUND(D357-N357-MIN(D357-N357,MAX(0,$AF357-SUMPRODUCT(--($B$4:$K$4&lt;D$4),$B357:$K357-$L357:$U357))),2)</f>
        <v>0</v>
      </c>
      <c r="Y357" s="39" t="n">
        <f aca="false">ROUND(E357-O357-MIN(E357-O357,MAX(0,$AF357-SUMPRODUCT(--($B$4:$K$4&lt;E$4),$B357:$K357-$L357:$U357))),2)</f>
        <v>0</v>
      </c>
      <c r="Z357" s="39" t="n">
        <f aca="false">ROUND(F357-P357-MIN(F357-P357,MAX(0,$AF357-SUMPRODUCT(--($B$4:$K$4&lt;F$4),$B357:$K357-$L357:$U357))),2)</f>
        <v>0</v>
      </c>
      <c r="AA357" s="39" t="n">
        <f aca="false">ROUND(G357-Q357-MIN(G357-Q357,MAX(0,$AF357-SUMPRODUCT(--($B$4:$K$4&lt;G$4),$B357:$K357-$L357:$U357))),2)</f>
        <v>0</v>
      </c>
      <c r="AB357" s="39" t="n">
        <f aca="false">ROUND(H357-R357-MIN(H357-R357,MAX(0,$AF357-SUMPRODUCT(--($B$4:$K$4&lt;H$4),$B357:$K357-$L357:$U357))),2)</f>
        <v>0</v>
      </c>
      <c r="AC357" s="39" t="n">
        <f aca="false">ROUND(I357-S357-MIN(I357-S357,MAX(0,$AF357-SUMPRODUCT(--($B$4:$K$4&lt;I$4),$B357:$K357-$L357:$U357))),2)</f>
        <v>0</v>
      </c>
      <c r="AD357" s="39" t="n">
        <f aca="false">ROUND(J357-T357-MIN(J357-T357,MAX(0,$AF357-SUMPRODUCT(--($B$4:$K$4&lt;J$4),$B357:$K357-$L357:$U357))),2)</f>
        <v>0</v>
      </c>
      <c r="AE357" s="39" t="n">
        <f aca="false">ROUND(K357-U357-MIN(K357-U357,MAX(0,$AF357-SUMPRODUCT(--($B$4:$K$4&lt;K$4),$B357:$K357-$L357:$U357))),2)</f>
        <v>0</v>
      </c>
      <c r="AF357" s="39" t="n">
        <f aca="false">MAX(0,'Start Here'!$C$5-SUM($L357:$U357))</f>
        <v>1200</v>
      </c>
      <c r="AG357" s="39" t="n">
        <f aca="false">SUM(V357:AE357)</f>
        <v>0</v>
      </c>
      <c r="AH357" s="39" t="n">
        <f aca="false">SUM(B357:K357)-AG356</f>
        <v>0</v>
      </c>
    </row>
    <row r="358" customFormat="false" ht="15" hidden="false" customHeight="false" outlineLevel="0" collapsed="false">
      <c r="A358" s="40" t="n">
        <f aca="false">DATE(YEAR('Start Here'!$C$6),MONTH('Start Here'!$C$6)+351,1)</f>
        <v>56980</v>
      </c>
      <c r="B358" s="39" t="n">
        <f aca="false">ROUND(V357*(1+N('My Debts'!$D$6)/12),2)</f>
        <v>0</v>
      </c>
      <c r="C358" s="39" t="n">
        <f aca="false">ROUND(W357*(1+N('My Debts'!$D$7)/12),2)</f>
        <v>0</v>
      </c>
      <c r="D358" s="39" t="n">
        <f aca="false">ROUND(X357*(1+N('My Debts'!$D$8)/12),2)</f>
        <v>0</v>
      </c>
      <c r="E358" s="39" t="n">
        <f aca="false">ROUND(Y357*(1+N('My Debts'!$D$9)/12),2)</f>
        <v>0</v>
      </c>
      <c r="F358" s="39" t="n">
        <f aca="false">ROUND(Z357*(1+N('My Debts'!$D$10)/12),2)</f>
        <v>0</v>
      </c>
      <c r="G358" s="39" t="n">
        <f aca="false">ROUND(AA357*(1+N('My Debts'!$D$11)/12),2)</f>
        <v>0</v>
      </c>
      <c r="H358" s="39" t="n">
        <f aca="false">ROUND(AB357*(1+N('My Debts'!$D$12)/12),2)</f>
        <v>0</v>
      </c>
      <c r="I358" s="39" t="n">
        <f aca="false">ROUND(AC357*(1+N('My Debts'!$D$13)/12),2)</f>
        <v>0</v>
      </c>
      <c r="J358" s="39" t="n">
        <f aca="false">ROUND(AD357*(1+N('My Debts'!$D$14)/12),2)</f>
        <v>0</v>
      </c>
      <c r="K358" s="39" t="n">
        <f aca="false">ROUND(AE357*(1+N('My Debts'!$D$15)/12),2)</f>
        <v>0</v>
      </c>
      <c r="L358" s="39" t="n">
        <f aca="false">MIN(N('My Debts'!$E$6),B358)</f>
        <v>0</v>
      </c>
      <c r="M358" s="39" t="n">
        <f aca="false">MIN(N('My Debts'!$E$7),C358)</f>
        <v>0</v>
      </c>
      <c r="N358" s="39" t="n">
        <f aca="false">MIN(N('My Debts'!$E$8),D358)</f>
        <v>0</v>
      </c>
      <c r="O358" s="39" t="n">
        <f aca="false">MIN(N('My Debts'!$E$9),E358)</f>
        <v>0</v>
      </c>
      <c r="P358" s="39" t="n">
        <f aca="false">MIN(N('My Debts'!$E$10),F358)</f>
        <v>0</v>
      </c>
      <c r="Q358" s="39" t="n">
        <f aca="false">MIN(N('My Debts'!$E$11),G358)</f>
        <v>0</v>
      </c>
      <c r="R358" s="39" t="n">
        <f aca="false">MIN(N('My Debts'!$E$12),H358)</f>
        <v>0</v>
      </c>
      <c r="S358" s="39" t="n">
        <f aca="false">MIN(N('My Debts'!$E$13),I358)</f>
        <v>0</v>
      </c>
      <c r="T358" s="39" t="n">
        <f aca="false">MIN(N('My Debts'!$E$14),J358)</f>
        <v>0</v>
      </c>
      <c r="U358" s="39" t="n">
        <f aca="false">MIN(N('My Debts'!$E$15),K358)</f>
        <v>0</v>
      </c>
      <c r="V358" s="39" t="n">
        <f aca="false">ROUND(B358-L358-MIN(B358-L358,MAX(0,$AF358-SUMPRODUCT(--($B$4:$K$4&lt;B$4),$B358:$K358-$L358:$U358))),2)</f>
        <v>0</v>
      </c>
      <c r="W358" s="39" t="n">
        <f aca="false">ROUND(C358-M358-MIN(C358-M358,MAX(0,$AF358-SUMPRODUCT(--($B$4:$K$4&lt;C$4),$B358:$K358-$L358:$U358))),2)</f>
        <v>0</v>
      </c>
      <c r="X358" s="39" t="n">
        <f aca="false">ROUND(D358-N358-MIN(D358-N358,MAX(0,$AF358-SUMPRODUCT(--($B$4:$K$4&lt;D$4),$B358:$K358-$L358:$U358))),2)</f>
        <v>0</v>
      </c>
      <c r="Y358" s="39" t="n">
        <f aca="false">ROUND(E358-O358-MIN(E358-O358,MAX(0,$AF358-SUMPRODUCT(--($B$4:$K$4&lt;E$4),$B358:$K358-$L358:$U358))),2)</f>
        <v>0</v>
      </c>
      <c r="Z358" s="39" t="n">
        <f aca="false">ROUND(F358-P358-MIN(F358-P358,MAX(0,$AF358-SUMPRODUCT(--($B$4:$K$4&lt;F$4),$B358:$K358-$L358:$U358))),2)</f>
        <v>0</v>
      </c>
      <c r="AA358" s="39" t="n">
        <f aca="false">ROUND(G358-Q358-MIN(G358-Q358,MAX(0,$AF358-SUMPRODUCT(--($B$4:$K$4&lt;G$4),$B358:$K358-$L358:$U358))),2)</f>
        <v>0</v>
      </c>
      <c r="AB358" s="39" t="n">
        <f aca="false">ROUND(H358-R358-MIN(H358-R358,MAX(0,$AF358-SUMPRODUCT(--($B$4:$K$4&lt;H$4),$B358:$K358-$L358:$U358))),2)</f>
        <v>0</v>
      </c>
      <c r="AC358" s="39" t="n">
        <f aca="false">ROUND(I358-S358-MIN(I358-S358,MAX(0,$AF358-SUMPRODUCT(--($B$4:$K$4&lt;I$4),$B358:$K358-$L358:$U358))),2)</f>
        <v>0</v>
      </c>
      <c r="AD358" s="39" t="n">
        <f aca="false">ROUND(J358-T358-MIN(J358-T358,MAX(0,$AF358-SUMPRODUCT(--($B$4:$K$4&lt;J$4),$B358:$K358-$L358:$U358))),2)</f>
        <v>0</v>
      </c>
      <c r="AE358" s="39" t="n">
        <f aca="false">ROUND(K358-U358-MIN(K358-U358,MAX(0,$AF358-SUMPRODUCT(--($B$4:$K$4&lt;K$4),$B358:$K358-$L358:$U358))),2)</f>
        <v>0</v>
      </c>
      <c r="AF358" s="39" t="n">
        <f aca="false">MAX(0,'Start Here'!$C$5-SUM($L358:$U358))</f>
        <v>1200</v>
      </c>
      <c r="AG358" s="39" t="n">
        <f aca="false">SUM(V358:AE358)</f>
        <v>0</v>
      </c>
      <c r="AH358" s="39" t="n">
        <f aca="false">SUM(B358:K358)-AG357</f>
        <v>0</v>
      </c>
    </row>
    <row r="359" customFormat="false" ht="15" hidden="false" customHeight="false" outlineLevel="0" collapsed="false">
      <c r="A359" s="40" t="n">
        <f aca="false">DATE(YEAR('Start Here'!$C$6),MONTH('Start Here'!$C$6)+352,1)</f>
        <v>57011</v>
      </c>
      <c r="B359" s="39" t="n">
        <f aca="false">ROUND(V358*(1+N('My Debts'!$D$6)/12),2)</f>
        <v>0</v>
      </c>
      <c r="C359" s="39" t="n">
        <f aca="false">ROUND(W358*(1+N('My Debts'!$D$7)/12),2)</f>
        <v>0</v>
      </c>
      <c r="D359" s="39" t="n">
        <f aca="false">ROUND(X358*(1+N('My Debts'!$D$8)/12),2)</f>
        <v>0</v>
      </c>
      <c r="E359" s="39" t="n">
        <f aca="false">ROUND(Y358*(1+N('My Debts'!$D$9)/12),2)</f>
        <v>0</v>
      </c>
      <c r="F359" s="39" t="n">
        <f aca="false">ROUND(Z358*(1+N('My Debts'!$D$10)/12),2)</f>
        <v>0</v>
      </c>
      <c r="G359" s="39" t="n">
        <f aca="false">ROUND(AA358*(1+N('My Debts'!$D$11)/12),2)</f>
        <v>0</v>
      </c>
      <c r="H359" s="39" t="n">
        <f aca="false">ROUND(AB358*(1+N('My Debts'!$D$12)/12),2)</f>
        <v>0</v>
      </c>
      <c r="I359" s="39" t="n">
        <f aca="false">ROUND(AC358*(1+N('My Debts'!$D$13)/12),2)</f>
        <v>0</v>
      </c>
      <c r="J359" s="39" t="n">
        <f aca="false">ROUND(AD358*(1+N('My Debts'!$D$14)/12),2)</f>
        <v>0</v>
      </c>
      <c r="K359" s="39" t="n">
        <f aca="false">ROUND(AE358*(1+N('My Debts'!$D$15)/12),2)</f>
        <v>0</v>
      </c>
      <c r="L359" s="39" t="n">
        <f aca="false">MIN(N('My Debts'!$E$6),B359)</f>
        <v>0</v>
      </c>
      <c r="M359" s="39" t="n">
        <f aca="false">MIN(N('My Debts'!$E$7),C359)</f>
        <v>0</v>
      </c>
      <c r="N359" s="39" t="n">
        <f aca="false">MIN(N('My Debts'!$E$8),D359)</f>
        <v>0</v>
      </c>
      <c r="O359" s="39" t="n">
        <f aca="false">MIN(N('My Debts'!$E$9),E359)</f>
        <v>0</v>
      </c>
      <c r="P359" s="39" t="n">
        <f aca="false">MIN(N('My Debts'!$E$10),F359)</f>
        <v>0</v>
      </c>
      <c r="Q359" s="39" t="n">
        <f aca="false">MIN(N('My Debts'!$E$11),G359)</f>
        <v>0</v>
      </c>
      <c r="R359" s="39" t="n">
        <f aca="false">MIN(N('My Debts'!$E$12),H359)</f>
        <v>0</v>
      </c>
      <c r="S359" s="39" t="n">
        <f aca="false">MIN(N('My Debts'!$E$13),I359)</f>
        <v>0</v>
      </c>
      <c r="T359" s="39" t="n">
        <f aca="false">MIN(N('My Debts'!$E$14),J359)</f>
        <v>0</v>
      </c>
      <c r="U359" s="39" t="n">
        <f aca="false">MIN(N('My Debts'!$E$15),K359)</f>
        <v>0</v>
      </c>
      <c r="V359" s="39" t="n">
        <f aca="false">ROUND(B359-L359-MIN(B359-L359,MAX(0,$AF359-SUMPRODUCT(--($B$4:$K$4&lt;B$4),$B359:$K359-$L359:$U359))),2)</f>
        <v>0</v>
      </c>
      <c r="W359" s="39" t="n">
        <f aca="false">ROUND(C359-M359-MIN(C359-M359,MAX(0,$AF359-SUMPRODUCT(--($B$4:$K$4&lt;C$4),$B359:$K359-$L359:$U359))),2)</f>
        <v>0</v>
      </c>
      <c r="X359" s="39" t="n">
        <f aca="false">ROUND(D359-N359-MIN(D359-N359,MAX(0,$AF359-SUMPRODUCT(--($B$4:$K$4&lt;D$4),$B359:$K359-$L359:$U359))),2)</f>
        <v>0</v>
      </c>
      <c r="Y359" s="39" t="n">
        <f aca="false">ROUND(E359-O359-MIN(E359-O359,MAX(0,$AF359-SUMPRODUCT(--($B$4:$K$4&lt;E$4),$B359:$K359-$L359:$U359))),2)</f>
        <v>0</v>
      </c>
      <c r="Z359" s="39" t="n">
        <f aca="false">ROUND(F359-P359-MIN(F359-P359,MAX(0,$AF359-SUMPRODUCT(--($B$4:$K$4&lt;F$4),$B359:$K359-$L359:$U359))),2)</f>
        <v>0</v>
      </c>
      <c r="AA359" s="39" t="n">
        <f aca="false">ROUND(G359-Q359-MIN(G359-Q359,MAX(0,$AF359-SUMPRODUCT(--($B$4:$K$4&lt;G$4),$B359:$K359-$L359:$U359))),2)</f>
        <v>0</v>
      </c>
      <c r="AB359" s="39" t="n">
        <f aca="false">ROUND(H359-R359-MIN(H359-R359,MAX(0,$AF359-SUMPRODUCT(--($B$4:$K$4&lt;H$4),$B359:$K359-$L359:$U359))),2)</f>
        <v>0</v>
      </c>
      <c r="AC359" s="39" t="n">
        <f aca="false">ROUND(I359-S359-MIN(I359-S359,MAX(0,$AF359-SUMPRODUCT(--($B$4:$K$4&lt;I$4),$B359:$K359-$L359:$U359))),2)</f>
        <v>0</v>
      </c>
      <c r="AD359" s="39" t="n">
        <f aca="false">ROUND(J359-T359-MIN(J359-T359,MAX(0,$AF359-SUMPRODUCT(--($B$4:$K$4&lt;J$4),$B359:$K359-$L359:$U359))),2)</f>
        <v>0</v>
      </c>
      <c r="AE359" s="39" t="n">
        <f aca="false">ROUND(K359-U359-MIN(K359-U359,MAX(0,$AF359-SUMPRODUCT(--($B$4:$K$4&lt;K$4),$B359:$K359-$L359:$U359))),2)</f>
        <v>0</v>
      </c>
      <c r="AF359" s="39" t="n">
        <f aca="false">MAX(0,'Start Here'!$C$5-SUM($L359:$U359))</f>
        <v>1200</v>
      </c>
      <c r="AG359" s="39" t="n">
        <f aca="false">SUM(V359:AE359)</f>
        <v>0</v>
      </c>
      <c r="AH359" s="39" t="n">
        <f aca="false">SUM(B359:K359)-AG358</f>
        <v>0</v>
      </c>
    </row>
    <row r="360" customFormat="false" ht="15" hidden="false" customHeight="false" outlineLevel="0" collapsed="false">
      <c r="A360" s="40" t="n">
        <f aca="false">DATE(YEAR('Start Here'!$C$6),MONTH('Start Here'!$C$6)+353,1)</f>
        <v>57040</v>
      </c>
      <c r="B360" s="39" t="n">
        <f aca="false">ROUND(V359*(1+N('My Debts'!$D$6)/12),2)</f>
        <v>0</v>
      </c>
      <c r="C360" s="39" t="n">
        <f aca="false">ROUND(W359*(1+N('My Debts'!$D$7)/12),2)</f>
        <v>0</v>
      </c>
      <c r="D360" s="39" t="n">
        <f aca="false">ROUND(X359*(1+N('My Debts'!$D$8)/12),2)</f>
        <v>0</v>
      </c>
      <c r="E360" s="39" t="n">
        <f aca="false">ROUND(Y359*(1+N('My Debts'!$D$9)/12),2)</f>
        <v>0</v>
      </c>
      <c r="F360" s="39" t="n">
        <f aca="false">ROUND(Z359*(1+N('My Debts'!$D$10)/12),2)</f>
        <v>0</v>
      </c>
      <c r="G360" s="39" t="n">
        <f aca="false">ROUND(AA359*(1+N('My Debts'!$D$11)/12),2)</f>
        <v>0</v>
      </c>
      <c r="H360" s="39" t="n">
        <f aca="false">ROUND(AB359*(1+N('My Debts'!$D$12)/12),2)</f>
        <v>0</v>
      </c>
      <c r="I360" s="39" t="n">
        <f aca="false">ROUND(AC359*(1+N('My Debts'!$D$13)/12),2)</f>
        <v>0</v>
      </c>
      <c r="J360" s="39" t="n">
        <f aca="false">ROUND(AD359*(1+N('My Debts'!$D$14)/12),2)</f>
        <v>0</v>
      </c>
      <c r="K360" s="39" t="n">
        <f aca="false">ROUND(AE359*(1+N('My Debts'!$D$15)/12),2)</f>
        <v>0</v>
      </c>
      <c r="L360" s="39" t="n">
        <f aca="false">MIN(N('My Debts'!$E$6),B360)</f>
        <v>0</v>
      </c>
      <c r="M360" s="39" t="n">
        <f aca="false">MIN(N('My Debts'!$E$7),C360)</f>
        <v>0</v>
      </c>
      <c r="N360" s="39" t="n">
        <f aca="false">MIN(N('My Debts'!$E$8),D360)</f>
        <v>0</v>
      </c>
      <c r="O360" s="39" t="n">
        <f aca="false">MIN(N('My Debts'!$E$9),E360)</f>
        <v>0</v>
      </c>
      <c r="P360" s="39" t="n">
        <f aca="false">MIN(N('My Debts'!$E$10),F360)</f>
        <v>0</v>
      </c>
      <c r="Q360" s="39" t="n">
        <f aca="false">MIN(N('My Debts'!$E$11),G360)</f>
        <v>0</v>
      </c>
      <c r="R360" s="39" t="n">
        <f aca="false">MIN(N('My Debts'!$E$12),H360)</f>
        <v>0</v>
      </c>
      <c r="S360" s="39" t="n">
        <f aca="false">MIN(N('My Debts'!$E$13),I360)</f>
        <v>0</v>
      </c>
      <c r="T360" s="39" t="n">
        <f aca="false">MIN(N('My Debts'!$E$14),J360)</f>
        <v>0</v>
      </c>
      <c r="U360" s="39" t="n">
        <f aca="false">MIN(N('My Debts'!$E$15),K360)</f>
        <v>0</v>
      </c>
      <c r="V360" s="39" t="n">
        <f aca="false">ROUND(B360-L360-MIN(B360-L360,MAX(0,$AF360-SUMPRODUCT(--($B$4:$K$4&lt;B$4),$B360:$K360-$L360:$U360))),2)</f>
        <v>0</v>
      </c>
      <c r="W360" s="39" t="n">
        <f aca="false">ROUND(C360-M360-MIN(C360-M360,MAX(0,$AF360-SUMPRODUCT(--($B$4:$K$4&lt;C$4),$B360:$K360-$L360:$U360))),2)</f>
        <v>0</v>
      </c>
      <c r="X360" s="39" t="n">
        <f aca="false">ROUND(D360-N360-MIN(D360-N360,MAX(0,$AF360-SUMPRODUCT(--($B$4:$K$4&lt;D$4),$B360:$K360-$L360:$U360))),2)</f>
        <v>0</v>
      </c>
      <c r="Y360" s="39" t="n">
        <f aca="false">ROUND(E360-O360-MIN(E360-O360,MAX(0,$AF360-SUMPRODUCT(--($B$4:$K$4&lt;E$4),$B360:$K360-$L360:$U360))),2)</f>
        <v>0</v>
      </c>
      <c r="Z360" s="39" t="n">
        <f aca="false">ROUND(F360-P360-MIN(F360-P360,MAX(0,$AF360-SUMPRODUCT(--($B$4:$K$4&lt;F$4),$B360:$K360-$L360:$U360))),2)</f>
        <v>0</v>
      </c>
      <c r="AA360" s="39" t="n">
        <f aca="false">ROUND(G360-Q360-MIN(G360-Q360,MAX(0,$AF360-SUMPRODUCT(--($B$4:$K$4&lt;G$4),$B360:$K360-$L360:$U360))),2)</f>
        <v>0</v>
      </c>
      <c r="AB360" s="39" t="n">
        <f aca="false">ROUND(H360-R360-MIN(H360-R360,MAX(0,$AF360-SUMPRODUCT(--($B$4:$K$4&lt;H$4),$B360:$K360-$L360:$U360))),2)</f>
        <v>0</v>
      </c>
      <c r="AC360" s="39" t="n">
        <f aca="false">ROUND(I360-S360-MIN(I360-S360,MAX(0,$AF360-SUMPRODUCT(--($B$4:$K$4&lt;I$4),$B360:$K360-$L360:$U360))),2)</f>
        <v>0</v>
      </c>
      <c r="AD360" s="39" t="n">
        <f aca="false">ROUND(J360-T360-MIN(J360-T360,MAX(0,$AF360-SUMPRODUCT(--($B$4:$K$4&lt;J$4),$B360:$K360-$L360:$U360))),2)</f>
        <v>0</v>
      </c>
      <c r="AE360" s="39" t="n">
        <f aca="false">ROUND(K360-U360-MIN(K360-U360,MAX(0,$AF360-SUMPRODUCT(--($B$4:$K$4&lt;K$4),$B360:$K360-$L360:$U360))),2)</f>
        <v>0</v>
      </c>
      <c r="AF360" s="39" t="n">
        <f aca="false">MAX(0,'Start Here'!$C$5-SUM($L360:$U360))</f>
        <v>1200</v>
      </c>
      <c r="AG360" s="39" t="n">
        <f aca="false">SUM(V360:AE360)</f>
        <v>0</v>
      </c>
      <c r="AH360" s="39" t="n">
        <f aca="false">SUM(B360:K360)-AG359</f>
        <v>0</v>
      </c>
    </row>
    <row r="361" customFormat="false" ht="15" hidden="false" customHeight="false" outlineLevel="0" collapsed="false">
      <c r="A361" s="40" t="n">
        <f aca="false">DATE(YEAR('Start Here'!$C$6),MONTH('Start Here'!$C$6)+354,1)</f>
        <v>57071</v>
      </c>
      <c r="B361" s="39" t="n">
        <f aca="false">ROUND(V360*(1+N('My Debts'!$D$6)/12),2)</f>
        <v>0</v>
      </c>
      <c r="C361" s="39" t="n">
        <f aca="false">ROUND(W360*(1+N('My Debts'!$D$7)/12),2)</f>
        <v>0</v>
      </c>
      <c r="D361" s="39" t="n">
        <f aca="false">ROUND(X360*(1+N('My Debts'!$D$8)/12),2)</f>
        <v>0</v>
      </c>
      <c r="E361" s="39" t="n">
        <f aca="false">ROUND(Y360*(1+N('My Debts'!$D$9)/12),2)</f>
        <v>0</v>
      </c>
      <c r="F361" s="39" t="n">
        <f aca="false">ROUND(Z360*(1+N('My Debts'!$D$10)/12),2)</f>
        <v>0</v>
      </c>
      <c r="G361" s="39" t="n">
        <f aca="false">ROUND(AA360*(1+N('My Debts'!$D$11)/12),2)</f>
        <v>0</v>
      </c>
      <c r="H361" s="39" t="n">
        <f aca="false">ROUND(AB360*(1+N('My Debts'!$D$12)/12),2)</f>
        <v>0</v>
      </c>
      <c r="I361" s="39" t="n">
        <f aca="false">ROUND(AC360*(1+N('My Debts'!$D$13)/12),2)</f>
        <v>0</v>
      </c>
      <c r="J361" s="39" t="n">
        <f aca="false">ROUND(AD360*(1+N('My Debts'!$D$14)/12),2)</f>
        <v>0</v>
      </c>
      <c r="K361" s="39" t="n">
        <f aca="false">ROUND(AE360*(1+N('My Debts'!$D$15)/12),2)</f>
        <v>0</v>
      </c>
      <c r="L361" s="39" t="n">
        <f aca="false">MIN(N('My Debts'!$E$6),B361)</f>
        <v>0</v>
      </c>
      <c r="M361" s="39" t="n">
        <f aca="false">MIN(N('My Debts'!$E$7),C361)</f>
        <v>0</v>
      </c>
      <c r="N361" s="39" t="n">
        <f aca="false">MIN(N('My Debts'!$E$8),D361)</f>
        <v>0</v>
      </c>
      <c r="O361" s="39" t="n">
        <f aca="false">MIN(N('My Debts'!$E$9),E361)</f>
        <v>0</v>
      </c>
      <c r="P361" s="39" t="n">
        <f aca="false">MIN(N('My Debts'!$E$10),F361)</f>
        <v>0</v>
      </c>
      <c r="Q361" s="39" t="n">
        <f aca="false">MIN(N('My Debts'!$E$11),G361)</f>
        <v>0</v>
      </c>
      <c r="R361" s="39" t="n">
        <f aca="false">MIN(N('My Debts'!$E$12),H361)</f>
        <v>0</v>
      </c>
      <c r="S361" s="39" t="n">
        <f aca="false">MIN(N('My Debts'!$E$13),I361)</f>
        <v>0</v>
      </c>
      <c r="T361" s="39" t="n">
        <f aca="false">MIN(N('My Debts'!$E$14),J361)</f>
        <v>0</v>
      </c>
      <c r="U361" s="39" t="n">
        <f aca="false">MIN(N('My Debts'!$E$15),K361)</f>
        <v>0</v>
      </c>
      <c r="V361" s="39" t="n">
        <f aca="false">ROUND(B361-L361-MIN(B361-L361,MAX(0,$AF361-SUMPRODUCT(--($B$4:$K$4&lt;B$4),$B361:$K361-$L361:$U361))),2)</f>
        <v>0</v>
      </c>
      <c r="W361" s="39" t="n">
        <f aca="false">ROUND(C361-M361-MIN(C361-M361,MAX(0,$AF361-SUMPRODUCT(--($B$4:$K$4&lt;C$4),$B361:$K361-$L361:$U361))),2)</f>
        <v>0</v>
      </c>
      <c r="X361" s="39" t="n">
        <f aca="false">ROUND(D361-N361-MIN(D361-N361,MAX(0,$AF361-SUMPRODUCT(--($B$4:$K$4&lt;D$4),$B361:$K361-$L361:$U361))),2)</f>
        <v>0</v>
      </c>
      <c r="Y361" s="39" t="n">
        <f aca="false">ROUND(E361-O361-MIN(E361-O361,MAX(0,$AF361-SUMPRODUCT(--($B$4:$K$4&lt;E$4),$B361:$K361-$L361:$U361))),2)</f>
        <v>0</v>
      </c>
      <c r="Z361" s="39" t="n">
        <f aca="false">ROUND(F361-P361-MIN(F361-P361,MAX(0,$AF361-SUMPRODUCT(--($B$4:$K$4&lt;F$4),$B361:$K361-$L361:$U361))),2)</f>
        <v>0</v>
      </c>
      <c r="AA361" s="39" t="n">
        <f aca="false">ROUND(G361-Q361-MIN(G361-Q361,MAX(0,$AF361-SUMPRODUCT(--($B$4:$K$4&lt;G$4),$B361:$K361-$L361:$U361))),2)</f>
        <v>0</v>
      </c>
      <c r="AB361" s="39" t="n">
        <f aca="false">ROUND(H361-R361-MIN(H361-R361,MAX(0,$AF361-SUMPRODUCT(--($B$4:$K$4&lt;H$4),$B361:$K361-$L361:$U361))),2)</f>
        <v>0</v>
      </c>
      <c r="AC361" s="39" t="n">
        <f aca="false">ROUND(I361-S361-MIN(I361-S361,MAX(0,$AF361-SUMPRODUCT(--($B$4:$K$4&lt;I$4),$B361:$K361-$L361:$U361))),2)</f>
        <v>0</v>
      </c>
      <c r="AD361" s="39" t="n">
        <f aca="false">ROUND(J361-T361-MIN(J361-T361,MAX(0,$AF361-SUMPRODUCT(--($B$4:$K$4&lt;J$4),$B361:$K361-$L361:$U361))),2)</f>
        <v>0</v>
      </c>
      <c r="AE361" s="39" t="n">
        <f aca="false">ROUND(K361-U361-MIN(K361-U361,MAX(0,$AF361-SUMPRODUCT(--($B$4:$K$4&lt;K$4),$B361:$K361-$L361:$U361))),2)</f>
        <v>0</v>
      </c>
      <c r="AF361" s="39" t="n">
        <f aca="false">MAX(0,'Start Here'!$C$5-SUM($L361:$U361))</f>
        <v>1200</v>
      </c>
      <c r="AG361" s="39" t="n">
        <f aca="false">SUM(V361:AE361)</f>
        <v>0</v>
      </c>
      <c r="AH361" s="39" t="n">
        <f aca="false">SUM(B361:K361)-AG360</f>
        <v>0</v>
      </c>
    </row>
    <row r="362" customFormat="false" ht="15" hidden="false" customHeight="false" outlineLevel="0" collapsed="false">
      <c r="A362" s="40" t="n">
        <f aca="false">DATE(YEAR('Start Here'!$C$6),MONTH('Start Here'!$C$6)+355,1)</f>
        <v>57101</v>
      </c>
      <c r="B362" s="39" t="n">
        <f aca="false">ROUND(V361*(1+N('My Debts'!$D$6)/12),2)</f>
        <v>0</v>
      </c>
      <c r="C362" s="39" t="n">
        <f aca="false">ROUND(W361*(1+N('My Debts'!$D$7)/12),2)</f>
        <v>0</v>
      </c>
      <c r="D362" s="39" t="n">
        <f aca="false">ROUND(X361*(1+N('My Debts'!$D$8)/12),2)</f>
        <v>0</v>
      </c>
      <c r="E362" s="39" t="n">
        <f aca="false">ROUND(Y361*(1+N('My Debts'!$D$9)/12),2)</f>
        <v>0</v>
      </c>
      <c r="F362" s="39" t="n">
        <f aca="false">ROUND(Z361*(1+N('My Debts'!$D$10)/12),2)</f>
        <v>0</v>
      </c>
      <c r="G362" s="39" t="n">
        <f aca="false">ROUND(AA361*(1+N('My Debts'!$D$11)/12),2)</f>
        <v>0</v>
      </c>
      <c r="H362" s="39" t="n">
        <f aca="false">ROUND(AB361*(1+N('My Debts'!$D$12)/12),2)</f>
        <v>0</v>
      </c>
      <c r="I362" s="39" t="n">
        <f aca="false">ROUND(AC361*(1+N('My Debts'!$D$13)/12),2)</f>
        <v>0</v>
      </c>
      <c r="J362" s="39" t="n">
        <f aca="false">ROUND(AD361*(1+N('My Debts'!$D$14)/12),2)</f>
        <v>0</v>
      </c>
      <c r="K362" s="39" t="n">
        <f aca="false">ROUND(AE361*(1+N('My Debts'!$D$15)/12),2)</f>
        <v>0</v>
      </c>
      <c r="L362" s="39" t="n">
        <f aca="false">MIN(N('My Debts'!$E$6),B362)</f>
        <v>0</v>
      </c>
      <c r="M362" s="39" t="n">
        <f aca="false">MIN(N('My Debts'!$E$7),C362)</f>
        <v>0</v>
      </c>
      <c r="N362" s="39" t="n">
        <f aca="false">MIN(N('My Debts'!$E$8),D362)</f>
        <v>0</v>
      </c>
      <c r="O362" s="39" t="n">
        <f aca="false">MIN(N('My Debts'!$E$9),E362)</f>
        <v>0</v>
      </c>
      <c r="P362" s="39" t="n">
        <f aca="false">MIN(N('My Debts'!$E$10),F362)</f>
        <v>0</v>
      </c>
      <c r="Q362" s="39" t="n">
        <f aca="false">MIN(N('My Debts'!$E$11),G362)</f>
        <v>0</v>
      </c>
      <c r="R362" s="39" t="n">
        <f aca="false">MIN(N('My Debts'!$E$12),H362)</f>
        <v>0</v>
      </c>
      <c r="S362" s="39" t="n">
        <f aca="false">MIN(N('My Debts'!$E$13),I362)</f>
        <v>0</v>
      </c>
      <c r="T362" s="39" t="n">
        <f aca="false">MIN(N('My Debts'!$E$14),J362)</f>
        <v>0</v>
      </c>
      <c r="U362" s="39" t="n">
        <f aca="false">MIN(N('My Debts'!$E$15),K362)</f>
        <v>0</v>
      </c>
      <c r="V362" s="39" t="n">
        <f aca="false">ROUND(B362-L362-MIN(B362-L362,MAX(0,$AF362-SUMPRODUCT(--($B$4:$K$4&lt;B$4),$B362:$K362-$L362:$U362))),2)</f>
        <v>0</v>
      </c>
      <c r="W362" s="39" t="n">
        <f aca="false">ROUND(C362-M362-MIN(C362-M362,MAX(0,$AF362-SUMPRODUCT(--($B$4:$K$4&lt;C$4),$B362:$K362-$L362:$U362))),2)</f>
        <v>0</v>
      </c>
      <c r="X362" s="39" t="n">
        <f aca="false">ROUND(D362-N362-MIN(D362-N362,MAX(0,$AF362-SUMPRODUCT(--($B$4:$K$4&lt;D$4),$B362:$K362-$L362:$U362))),2)</f>
        <v>0</v>
      </c>
      <c r="Y362" s="39" t="n">
        <f aca="false">ROUND(E362-O362-MIN(E362-O362,MAX(0,$AF362-SUMPRODUCT(--($B$4:$K$4&lt;E$4),$B362:$K362-$L362:$U362))),2)</f>
        <v>0</v>
      </c>
      <c r="Z362" s="39" t="n">
        <f aca="false">ROUND(F362-P362-MIN(F362-P362,MAX(0,$AF362-SUMPRODUCT(--($B$4:$K$4&lt;F$4),$B362:$K362-$L362:$U362))),2)</f>
        <v>0</v>
      </c>
      <c r="AA362" s="39" t="n">
        <f aca="false">ROUND(G362-Q362-MIN(G362-Q362,MAX(0,$AF362-SUMPRODUCT(--($B$4:$K$4&lt;G$4),$B362:$K362-$L362:$U362))),2)</f>
        <v>0</v>
      </c>
      <c r="AB362" s="39" t="n">
        <f aca="false">ROUND(H362-R362-MIN(H362-R362,MAX(0,$AF362-SUMPRODUCT(--($B$4:$K$4&lt;H$4),$B362:$K362-$L362:$U362))),2)</f>
        <v>0</v>
      </c>
      <c r="AC362" s="39" t="n">
        <f aca="false">ROUND(I362-S362-MIN(I362-S362,MAX(0,$AF362-SUMPRODUCT(--($B$4:$K$4&lt;I$4),$B362:$K362-$L362:$U362))),2)</f>
        <v>0</v>
      </c>
      <c r="AD362" s="39" t="n">
        <f aca="false">ROUND(J362-T362-MIN(J362-T362,MAX(0,$AF362-SUMPRODUCT(--($B$4:$K$4&lt;J$4),$B362:$K362-$L362:$U362))),2)</f>
        <v>0</v>
      </c>
      <c r="AE362" s="39" t="n">
        <f aca="false">ROUND(K362-U362-MIN(K362-U362,MAX(0,$AF362-SUMPRODUCT(--($B$4:$K$4&lt;K$4),$B362:$K362-$L362:$U362))),2)</f>
        <v>0</v>
      </c>
      <c r="AF362" s="39" t="n">
        <f aca="false">MAX(0,'Start Here'!$C$5-SUM($L362:$U362))</f>
        <v>1200</v>
      </c>
      <c r="AG362" s="39" t="n">
        <f aca="false">SUM(V362:AE362)</f>
        <v>0</v>
      </c>
      <c r="AH362" s="39" t="n">
        <f aca="false">SUM(B362:K362)-AG361</f>
        <v>0</v>
      </c>
    </row>
    <row r="363" customFormat="false" ht="15" hidden="false" customHeight="false" outlineLevel="0" collapsed="false">
      <c r="A363" s="40" t="n">
        <f aca="false">DATE(YEAR('Start Here'!$C$6),MONTH('Start Here'!$C$6)+356,1)</f>
        <v>57132</v>
      </c>
      <c r="B363" s="39" t="n">
        <f aca="false">ROUND(V362*(1+N('My Debts'!$D$6)/12),2)</f>
        <v>0</v>
      </c>
      <c r="C363" s="39" t="n">
        <f aca="false">ROUND(W362*(1+N('My Debts'!$D$7)/12),2)</f>
        <v>0</v>
      </c>
      <c r="D363" s="39" t="n">
        <f aca="false">ROUND(X362*(1+N('My Debts'!$D$8)/12),2)</f>
        <v>0</v>
      </c>
      <c r="E363" s="39" t="n">
        <f aca="false">ROUND(Y362*(1+N('My Debts'!$D$9)/12),2)</f>
        <v>0</v>
      </c>
      <c r="F363" s="39" t="n">
        <f aca="false">ROUND(Z362*(1+N('My Debts'!$D$10)/12),2)</f>
        <v>0</v>
      </c>
      <c r="G363" s="39" t="n">
        <f aca="false">ROUND(AA362*(1+N('My Debts'!$D$11)/12),2)</f>
        <v>0</v>
      </c>
      <c r="H363" s="39" t="n">
        <f aca="false">ROUND(AB362*(1+N('My Debts'!$D$12)/12),2)</f>
        <v>0</v>
      </c>
      <c r="I363" s="39" t="n">
        <f aca="false">ROUND(AC362*(1+N('My Debts'!$D$13)/12),2)</f>
        <v>0</v>
      </c>
      <c r="J363" s="39" t="n">
        <f aca="false">ROUND(AD362*(1+N('My Debts'!$D$14)/12),2)</f>
        <v>0</v>
      </c>
      <c r="K363" s="39" t="n">
        <f aca="false">ROUND(AE362*(1+N('My Debts'!$D$15)/12),2)</f>
        <v>0</v>
      </c>
      <c r="L363" s="39" t="n">
        <f aca="false">MIN(N('My Debts'!$E$6),B363)</f>
        <v>0</v>
      </c>
      <c r="M363" s="39" t="n">
        <f aca="false">MIN(N('My Debts'!$E$7),C363)</f>
        <v>0</v>
      </c>
      <c r="N363" s="39" t="n">
        <f aca="false">MIN(N('My Debts'!$E$8),D363)</f>
        <v>0</v>
      </c>
      <c r="O363" s="39" t="n">
        <f aca="false">MIN(N('My Debts'!$E$9),E363)</f>
        <v>0</v>
      </c>
      <c r="P363" s="39" t="n">
        <f aca="false">MIN(N('My Debts'!$E$10),F363)</f>
        <v>0</v>
      </c>
      <c r="Q363" s="39" t="n">
        <f aca="false">MIN(N('My Debts'!$E$11),G363)</f>
        <v>0</v>
      </c>
      <c r="R363" s="39" t="n">
        <f aca="false">MIN(N('My Debts'!$E$12),H363)</f>
        <v>0</v>
      </c>
      <c r="S363" s="39" t="n">
        <f aca="false">MIN(N('My Debts'!$E$13),I363)</f>
        <v>0</v>
      </c>
      <c r="T363" s="39" t="n">
        <f aca="false">MIN(N('My Debts'!$E$14),J363)</f>
        <v>0</v>
      </c>
      <c r="U363" s="39" t="n">
        <f aca="false">MIN(N('My Debts'!$E$15),K363)</f>
        <v>0</v>
      </c>
      <c r="V363" s="39" t="n">
        <f aca="false">ROUND(B363-L363-MIN(B363-L363,MAX(0,$AF363-SUMPRODUCT(--($B$4:$K$4&lt;B$4),$B363:$K363-$L363:$U363))),2)</f>
        <v>0</v>
      </c>
      <c r="W363" s="39" t="n">
        <f aca="false">ROUND(C363-M363-MIN(C363-M363,MAX(0,$AF363-SUMPRODUCT(--($B$4:$K$4&lt;C$4),$B363:$K363-$L363:$U363))),2)</f>
        <v>0</v>
      </c>
      <c r="X363" s="39" t="n">
        <f aca="false">ROUND(D363-N363-MIN(D363-N363,MAX(0,$AF363-SUMPRODUCT(--($B$4:$K$4&lt;D$4),$B363:$K363-$L363:$U363))),2)</f>
        <v>0</v>
      </c>
      <c r="Y363" s="39" t="n">
        <f aca="false">ROUND(E363-O363-MIN(E363-O363,MAX(0,$AF363-SUMPRODUCT(--($B$4:$K$4&lt;E$4),$B363:$K363-$L363:$U363))),2)</f>
        <v>0</v>
      </c>
      <c r="Z363" s="39" t="n">
        <f aca="false">ROUND(F363-P363-MIN(F363-P363,MAX(0,$AF363-SUMPRODUCT(--($B$4:$K$4&lt;F$4),$B363:$K363-$L363:$U363))),2)</f>
        <v>0</v>
      </c>
      <c r="AA363" s="39" t="n">
        <f aca="false">ROUND(G363-Q363-MIN(G363-Q363,MAX(0,$AF363-SUMPRODUCT(--($B$4:$K$4&lt;G$4),$B363:$K363-$L363:$U363))),2)</f>
        <v>0</v>
      </c>
      <c r="AB363" s="39" t="n">
        <f aca="false">ROUND(H363-R363-MIN(H363-R363,MAX(0,$AF363-SUMPRODUCT(--($B$4:$K$4&lt;H$4),$B363:$K363-$L363:$U363))),2)</f>
        <v>0</v>
      </c>
      <c r="AC363" s="39" t="n">
        <f aca="false">ROUND(I363-S363-MIN(I363-S363,MAX(0,$AF363-SUMPRODUCT(--($B$4:$K$4&lt;I$4),$B363:$K363-$L363:$U363))),2)</f>
        <v>0</v>
      </c>
      <c r="AD363" s="39" t="n">
        <f aca="false">ROUND(J363-T363-MIN(J363-T363,MAX(0,$AF363-SUMPRODUCT(--($B$4:$K$4&lt;J$4),$B363:$K363-$L363:$U363))),2)</f>
        <v>0</v>
      </c>
      <c r="AE363" s="39" t="n">
        <f aca="false">ROUND(K363-U363-MIN(K363-U363,MAX(0,$AF363-SUMPRODUCT(--($B$4:$K$4&lt;K$4),$B363:$K363-$L363:$U363))),2)</f>
        <v>0</v>
      </c>
      <c r="AF363" s="39" t="n">
        <f aca="false">MAX(0,'Start Here'!$C$5-SUM($L363:$U363))</f>
        <v>1200</v>
      </c>
      <c r="AG363" s="39" t="n">
        <f aca="false">SUM(V363:AE363)</f>
        <v>0</v>
      </c>
      <c r="AH363" s="39" t="n">
        <f aca="false">SUM(B363:K363)-AG362</f>
        <v>0</v>
      </c>
    </row>
    <row r="364" customFormat="false" ht="15" hidden="false" customHeight="false" outlineLevel="0" collapsed="false">
      <c r="A364" s="40" t="n">
        <f aca="false">DATE(YEAR('Start Here'!$C$6),MONTH('Start Here'!$C$6)+357,1)</f>
        <v>57162</v>
      </c>
      <c r="B364" s="39" t="n">
        <f aca="false">ROUND(V363*(1+N('My Debts'!$D$6)/12),2)</f>
        <v>0</v>
      </c>
      <c r="C364" s="39" t="n">
        <f aca="false">ROUND(W363*(1+N('My Debts'!$D$7)/12),2)</f>
        <v>0</v>
      </c>
      <c r="D364" s="39" t="n">
        <f aca="false">ROUND(X363*(1+N('My Debts'!$D$8)/12),2)</f>
        <v>0</v>
      </c>
      <c r="E364" s="39" t="n">
        <f aca="false">ROUND(Y363*(1+N('My Debts'!$D$9)/12),2)</f>
        <v>0</v>
      </c>
      <c r="F364" s="39" t="n">
        <f aca="false">ROUND(Z363*(1+N('My Debts'!$D$10)/12),2)</f>
        <v>0</v>
      </c>
      <c r="G364" s="39" t="n">
        <f aca="false">ROUND(AA363*(1+N('My Debts'!$D$11)/12),2)</f>
        <v>0</v>
      </c>
      <c r="H364" s="39" t="n">
        <f aca="false">ROUND(AB363*(1+N('My Debts'!$D$12)/12),2)</f>
        <v>0</v>
      </c>
      <c r="I364" s="39" t="n">
        <f aca="false">ROUND(AC363*(1+N('My Debts'!$D$13)/12),2)</f>
        <v>0</v>
      </c>
      <c r="J364" s="39" t="n">
        <f aca="false">ROUND(AD363*(1+N('My Debts'!$D$14)/12),2)</f>
        <v>0</v>
      </c>
      <c r="K364" s="39" t="n">
        <f aca="false">ROUND(AE363*(1+N('My Debts'!$D$15)/12),2)</f>
        <v>0</v>
      </c>
      <c r="L364" s="39" t="n">
        <f aca="false">MIN(N('My Debts'!$E$6),B364)</f>
        <v>0</v>
      </c>
      <c r="M364" s="39" t="n">
        <f aca="false">MIN(N('My Debts'!$E$7),C364)</f>
        <v>0</v>
      </c>
      <c r="N364" s="39" t="n">
        <f aca="false">MIN(N('My Debts'!$E$8),D364)</f>
        <v>0</v>
      </c>
      <c r="O364" s="39" t="n">
        <f aca="false">MIN(N('My Debts'!$E$9),E364)</f>
        <v>0</v>
      </c>
      <c r="P364" s="39" t="n">
        <f aca="false">MIN(N('My Debts'!$E$10),F364)</f>
        <v>0</v>
      </c>
      <c r="Q364" s="39" t="n">
        <f aca="false">MIN(N('My Debts'!$E$11),G364)</f>
        <v>0</v>
      </c>
      <c r="R364" s="39" t="n">
        <f aca="false">MIN(N('My Debts'!$E$12),H364)</f>
        <v>0</v>
      </c>
      <c r="S364" s="39" t="n">
        <f aca="false">MIN(N('My Debts'!$E$13),I364)</f>
        <v>0</v>
      </c>
      <c r="T364" s="39" t="n">
        <f aca="false">MIN(N('My Debts'!$E$14),J364)</f>
        <v>0</v>
      </c>
      <c r="U364" s="39" t="n">
        <f aca="false">MIN(N('My Debts'!$E$15),K364)</f>
        <v>0</v>
      </c>
      <c r="V364" s="39" t="n">
        <f aca="false">ROUND(B364-L364-MIN(B364-L364,MAX(0,$AF364-SUMPRODUCT(--($B$4:$K$4&lt;B$4),$B364:$K364-$L364:$U364))),2)</f>
        <v>0</v>
      </c>
      <c r="W364" s="39" t="n">
        <f aca="false">ROUND(C364-M364-MIN(C364-M364,MAX(0,$AF364-SUMPRODUCT(--($B$4:$K$4&lt;C$4),$B364:$K364-$L364:$U364))),2)</f>
        <v>0</v>
      </c>
      <c r="X364" s="39" t="n">
        <f aca="false">ROUND(D364-N364-MIN(D364-N364,MAX(0,$AF364-SUMPRODUCT(--($B$4:$K$4&lt;D$4),$B364:$K364-$L364:$U364))),2)</f>
        <v>0</v>
      </c>
      <c r="Y364" s="39" t="n">
        <f aca="false">ROUND(E364-O364-MIN(E364-O364,MAX(0,$AF364-SUMPRODUCT(--($B$4:$K$4&lt;E$4),$B364:$K364-$L364:$U364))),2)</f>
        <v>0</v>
      </c>
      <c r="Z364" s="39" t="n">
        <f aca="false">ROUND(F364-P364-MIN(F364-P364,MAX(0,$AF364-SUMPRODUCT(--($B$4:$K$4&lt;F$4),$B364:$K364-$L364:$U364))),2)</f>
        <v>0</v>
      </c>
      <c r="AA364" s="39" t="n">
        <f aca="false">ROUND(G364-Q364-MIN(G364-Q364,MAX(0,$AF364-SUMPRODUCT(--($B$4:$K$4&lt;G$4),$B364:$K364-$L364:$U364))),2)</f>
        <v>0</v>
      </c>
      <c r="AB364" s="39" t="n">
        <f aca="false">ROUND(H364-R364-MIN(H364-R364,MAX(0,$AF364-SUMPRODUCT(--($B$4:$K$4&lt;H$4),$B364:$K364-$L364:$U364))),2)</f>
        <v>0</v>
      </c>
      <c r="AC364" s="39" t="n">
        <f aca="false">ROUND(I364-S364-MIN(I364-S364,MAX(0,$AF364-SUMPRODUCT(--($B$4:$K$4&lt;I$4),$B364:$K364-$L364:$U364))),2)</f>
        <v>0</v>
      </c>
      <c r="AD364" s="39" t="n">
        <f aca="false">ROUND(J364-T364-MIN(J364-T364,MAX(0,$AF364-SUMPRODUCT(--($B$4:$K$4&lt;J$4),$B364:$K364-$L364:$U364))),2)</f>
        <v>0</v>
      </c>
      <c r="AE364" s="39" t="n">
        <f aca="false">ROUND(K364-U364-MIN(K364-U364,MAX(0,$AF364-SUMPRODUCT(--($B$4:$K$4&lt;K$4),$B364:$K364-$L364:$U364))),2)</f>
        <v>0</v>
      </c>
      <c r="AF364" s="39" t="n">
        <f aca="false">MAX(0,'Start Here'!$C$5-SUM($L364:$U364))</f>
        <v>1200</v>
      </c>
      <c r="AG364" s="39" t="n">
        <f aca="false">SUM(V364:AE364)</f>
        <v>0</v>
      </c>
      <c r="AH364" s="39" t="n">
        <f aca="false">SUM(B364:K364)-AG363</f>
        <v>0</v>
      </c>
    </row>
    <row r="365" customFormat="false" ht="15" hidden="false" customHeight="false" outlineLevel="0" collapsed="false">
      <c r="A365" s="40" t="n">
        <f aca="false">DATE(YEAR('Start Here'!$C$6),MONTH('Start Here'!$C$6)+358,1)</f>
        <v>57193</v>
      </c>
      <c r="B365" s="39" t="n">
        <f aca="false">ROUND(V364*(1+N('My Debts'!$D$6)/12),2)</f>
        <v>0</v>
      </c>
      <c r="C365" s="39" t="n">
        <f aca="false">ROUND(W364*(1+N('My Debts'!$D$7)/12),2)</f>
        <v>0</v>
      </c>
      <c r="D365" s="39" t="n">
        <f aca="false">ROUND(X364*(1+N('My Debts'!$D$8)/12),2)</f>
        <v>0</v>
      </c>
      <c r="E365" s="39" t="n">
        <f aca="false">ROUND(Y364*(1+N('My Debts'!$D$9)/12),2)</f>
        <v>0</v>
      </c>
      <c r="F365" s="39" t="n">
        <f aca="false">ROUND(Z364*(1+N('My Debts'!$D$10)/12),2)</f>
        <v>0</v>
      </c>
      <c r="G365" s="39" t="n">
        <f aca="false">ROUND(AA364*(1+N('My Debts'!$D$11)/12),2)</f>
        <v>0</v>
      </c>
      <c r="H365" s="39" t="n">
        <f aca="false">ROUND(AB364*(1+N('My Debts'!$D$12)/12),2)</f>
        <v>0</v>
      </c>
      <c r="I365" s="39" t="n">
        <f aca="false">ROUND(AC364*(1+N('My Debts'!$D$13)/12),2)</f>
        <v>0</v>
      </c>
      <c r="J365" s="39" t="n">
        <f aca="false">ROUND(AD364*(1+N('My Debts'!$D$14)/12),2)</f>
        <v>0</v>
      </c>
      <c r="K365" s="39" t="n">
        <f aca="false">ROUND(AE364*(1+N('My Debts'!$D$15)/12),2)</f>
        <v>0</v>
      </c>
      <c r="L365" s="39" t="n">
        <f aca="false">MIN(N('My Debts'!$E$6),B365)</f>
        <v>0</v>
      </c>
      <c r="M365" s="39" t="n">
        <f aca="false">MIN(N('My Debts'!$E$7),C365)</f>
        <v>0</v>
      </c>
      <c r="N365" s="39" t="n">
        <f aca="false">MIN(N('My Debts'!$E$8),D365)</f>
        <v>0</v>
      </c>
      <c r="O365" s="39" t="n">
        <f aca="false">MIN(N('My Debts'!$E$9),E365)</f>
        <v>0</v>
      </c>
      <c r="P365" s="39" t="n">
        <f aca="false">MIN(N('My Debts'!$E$10),F365)</f>
        <v>0</v>
      </c>
      <c r="Q365" s="39" t="n">
        <f aca="false">MIN(N('My Debts'!$E$11),G365)</f>
        <v>0</v>
      </c>
      <c r="R365" s="39" t="n">
        <f aca="false">MIN(N('My Debts'!$E$12),H365)</f>
        <v>0</v>
      </c>
      <c r="S365" s="39" t="n">
        <f aca="false">MIN(N('My Debts'!$E$13),I365)</f>
        <v>0</v>
      </c>
      <c r="T365" s="39" t="n">
        <f aca="false">MIN(N('My Debts'!$E$14),J365)</f>
        <v>0</v>
      </c>
      <c r="U365" s="39" t="n">
        <f aca="false">MIN(N('My Debts'!$E$15),K365)</f>
        <v>0</v>
      </c>
      <c r="V365" s="39" t="n">
        <f aca="false">ROUND(B365-L365-MIN(B365-L365,MAX(0,$AF365-SUMPRODUCT(--($B$4:$K$4&lt;B$4),$B365:$K365-$L365:$U365))),2)</f>
        <v>0</v>
      </c>
      <c r="W365" s="39" t="n">
        <f aca="false">ROUND(C365-M365-MIN(C365-M365,MAX(0,$AF365-SUMPRODUCT(--($B$4:$K$4&lt;C$4),$B365:$K365-$L365:$U365))),2)</f>
        <v>0</v>
      </c>
      <c r="X365" s="39" t="n">
        <f aca="false">ROUND(D365-N365-MIN(D365-N365,MAX(0,$AF365-SUMPRODUCT(--($B$4:$K$4&lt;D$4),$B365:$K365-$L365:$U365))),2)</f>
        <v>0</v>
      </c>
      <c r="Y365" s="39" t="n">
        <f aca="false">ROUND(E365-O365-MIN(E365-O365,MAX(0,$AF365-SUMPRODUCT(--($B$4:$K$4&lt;E$4),$B365:$K365-$L365:$U365))),2)</f>
        <v>0</v>
      </c>
      <c r="Z365" s="39" t="n">
        <f aca="false">ROUND(F365-P365-MIN(F365-P365,MAX(0,$AF365-SUMPRODUCT(--($B$4:$K$4&lt;F$4),$B365:$K365-$L365:$U365))),2)</f>
        <v>0</v>
      </c>
      <c r="AA365" s="39" t="n">
        <f aca="false">ROUND(G365-Q365-MIN(G365-Q365,MAX(0,$AF365-SUMPRODUCT(--($B$4:$K$4&lt;G$4),$B365:$K365-$L365:$U365))),2)</f>
        <v>0</v>
      </c>
      <c r="AB365" s="39" t="n">
        <f aca="false">ROUND(H365-R365-MIN(H365-R365,MAX(0,$AF365-SUMPRODUCT(--($B$4:$K$4&lt;H$4),$B365:$K365-$L365:$U365))),2)</f>
        <v>0</v>
      </c>
      <c r="AC365" s="39" t="n">
        <f aca="false">ROUND(I365-S365-MIN(I365-S365,MAX(0,$AF365-SUMPRODUCT(--($B$4:$K$4&lt;I$4),$B365:$K365-$L365:$U365))),2)</f>
        <v>0</v>
      </c>
      <c r="AD365" s="39" t="n">
        <f aca="false">ROUND(J365-T365-MIN(J365-T365,MAX(0,$AF365-SUMPRODUCT(--($B$4:$K$4&lt;J$4),$B365:$K365-$L365:$U365))),2)</f>
        <v>0</v>
      </c>
      <c r="AE365" s="39" t="n">
        <f aca="false">ROUND(K365-U365-MIN(K365-U365,MAX(0,$AF365-SUMPRODUCT(--($B$4:$K$4&lt;K$4),$B365:$K365-$L365:$U365))),2)</f>
        <v>0</v>
      </c>
      <c r="AF365" s="39" t="n">
        <f aca="false">MAX(0,'Start Here'!$C$5-SUM($L365:$U365))</f>
        <v>1200</v>
      </c>
      <c r="AG365" s="39" t="n">
        <f aca="false">SUM(V365:AE365)</f>
        <v>0</v>
      </c>
      <c r="AH365" s="39" t="n">
        <f aca="false">SUM(B365:K365)-AG364</f>
        <v>0</v>
      </c>
    </row>
    <row r="366" customFormat="false" ht="15" hidden="false" customHeight="false" outlineLevel="0" collapsed="false">
      <c r="A366" s="40" t="n">
        <f aca="false">DATE(YEAR('Start Here'!$C$6),MONTH('Start Here'!$C$6)+359,1)</f>
        <v>57224</v>
      </c>
      <c r="B366" s="39" t="n">
        <f aca="false">ROUND(V365*(1+N('My Debts'!$D$6)/12),2)</f>
        <v>0</v>
      </c>
      <c r="C366" s="39" t="n">
        <f aca="false">ROUND(W365*(1+N('My Debts'!$D$7)/12),2)</f>
        <v>0</v>
      </c>
      <c r="D366" s="39" t="n">
        <f aca="false">ROUND(X365*(1+N('My Debts'!$D$8)/12),2)</f>
        <v>0</v>
      </c>
      <c r="E366" s="39" t="n">
        <f aca="false">ROUND(Y365*(1+N('My Debts'!$D$9)/12),2)</f>
        <v>0</v>
      </c>
      <c r="F366" s="39" t="n">
        <f aca="false">ROUND(Z365*(1+N('My Debts'!$D$10)/12),2)</f>
        <v>0</v>
      </c>
      <c r="G366" s="39" t="n">
        <f aca="false">ROUND(AA365*(1+N('My Debts'!$D$11)/12),2)</f>
        <v>0</v>
      </c>
      <c r="H366" s="39" t="n">
        <f aca="false">ROUND(AB365*(1+N('My Debts'!$D$12)/12),2)</f>
        <v>0</v>
      </c>
      <c r="I366" s="39" t="n">
        <f aca="false">ROUND(AC365*(1+N('My Debts'!$D$13)/12),2)</f>
        <v>0</v>
      </c>
      <c r="J366" s="39" t="n">
        <f aca="false">ROUND(AD365*(1+N('My Debts'!$D$14)/12),2)</f>
        <v>0</v>
      </c>
      <c r="K366" s="39" t="n">
        <f aca="false">ROUND(AE365*(1+N('My Debts'!$D$15)/12),2)</f>
        <v>0</v>
      </c>
      <c r="L366" s="39" t="n">
        <f aca="false">MIN(N('My Debts'!$E$6),B366)</f>
        <v>0</v>
      </c>
      <c r="M366" s="39" t="n">
        <f aca="false">MIN(N('My Debts'!$E$7),C366)</f>
        <v>0</v>
      </c>
      <c r="N366" s="39" t="n">
        <f aca="false">MIN(N('My Debts'!$E$8),D366)</f>
        <v>0</v>
      </c>
      <c r="O366" s="39" t="n">
        <f aca="false">MIN(N('My Debts'!$E$9),E366)</f>
        <v>0</v>
      </c>
      <c r="P366" s="39" t="n">
        <f aca="false">MIN(N('My Debts'!$E$10),F366)</f>
        <v>0</v>
      </c>
      <c r="Q366" s="39" t="n">
        <f aca="false">MIN(N('My Debts'!$E$11),G366)</f>
        <v>0</v>
      </c>
      <c r="R366" s="39" t="n">
        <f aca="false">MIN(N('My Debts'!$E$12),H366)</f>
        <v>0</v>
      </c>
      <c r="S366" s="39" t="n">
        <f aca="false">MIN(N('My Debts'!$E$13),I366)</f>
        <v>0</v>
      </c>
      <c r="T366" s="39" t="n">
        <f aca="false">MIN(N('My Debts'!$E$14),J366)</f>
        <v>0</v>
      </c>
      <c r="U366" s="39" t="n">
        <f aca="false">MIN(N('My Debts'!$E$15),K366)</f>
        <v>0</v>
      </c>
      <c r="V366" s="39" t="n">
        <f aca="false">ROUND(B366-L366-MIN(B366-L366,MAX(0,$AF366-SUMPRODUCT(--($B$4:$K$4&lt;B$4),$B366:$K366-$L366:$U366))),2)</f>
        <v>0</v>
      </c>
      <c r="W366" s="39" t="n">
        <f aca="false">ROUND(C366-M366-MIN(C366-M366,MAX(0,$AF366-SUMPRODUCT(--($B$4:$K$4&lt;C$4),$B366:$K366-$L366:$U366))),2)</f>
        <v>0</v>
      </c>
      <c r="X366" s="39" t="n">
        <f aca="false">ROUND(D366-N366-MIN(D366-N366,MAX(0,$AF366-SUMPRODUCT(--($B$4:$K$4&lt;D$4),$B366:$K366-$L366:$U366))),2)</f>
        <v>0</v>
      </c>
      <c r="Y366" s="39" t="n">
        <f aca="false">ROUND(E366-O366-MIN(E366-O366,MAX(0,$AF366-SUMPRODUCT(--($B$4:$K$4&lt;E$4),$B366:$K366-$L366:$U366))),2)</f>
        <v>0</v>
      </c>
      <c r="Z366" s="39" t="n">
        <f aca="false">ROUND(F366-P366-MIN(F366-P366,MAX(0,$AF366-SUMPRODUCT(--($B$4:$K$4&lt;F$4),$B366:$K366-$L366:$U366))),2)</f>
        <v>0</v>
      </c>
      <c r="AA366" s="39" t="n">
        <f aca="false">ROUND(G366-Q366-MIN(G366-Q366,MAX(0,$AF366-SUMPRODUCT(--($B$4:$K$4&lt;G$4),$B366:$K366-$L366:$U366))),2)</f>
        <v>0</v>
      </c>
      <c r="AB366" s="39" t="n">
        <f aca="false">ROUND(H366-R366-MIN(H366-R366,MAX(0,$AF366-SUMPRODUCT(--($B$4:$K$4&lt;H$4),$B366:$K366-$L366:$U366))),2)</f>
        <v>0</v>
      </c>
      <c r="AC366" s="39" t="n">
        <f aca="false">ROUND(I366-S366-MIN(I366-S366,MAX(0,$AF366-SUMPRODUCT(--($B$4:$K$4&lt;I$4),$B366:$K366-$L366:$U366))),2)</f>
        <v>0</v>
      </c>
      <c r="AD366" s="39" t="n">
        <f aca="false">ROUND(J366-T366-MIN(J366-T366,MAX(0,$AF366-SUMPRODUCT(--($B$4:$K$4&lt;J$4),$B366:$K366-$L366:$U366))),2)</f>
        <v>0</v>
      </c>
      <c r="AE366" s="39" t="n">
        <f aca="false">ROUND(K366-U366-MIN(K366-U366,MAX(0,$AF366-SUMPRODUCT(--($B$4:$K$4&lt;K$4),$B366:$K366-$L366:$U366))),2)</f>
        <v>0</v>
      </c>
      <c r="AF366" s="39" t="n">
        <f aca="false">MAX(0,'Start Here'!$C$5-SUM($L366:$U366))</f>
        <v>1200</v>
      </c>
      <c r="AG366" s="39" t="n">
        <f aca="false">SUM(V366:AE366)</f>
        <v>0</v>
      </c>
      <c r="AH366" s="39" t="n">
        <f aca="false">SUM(B366:K366)-AG365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2026-09-26T22:57:39Z</dcterms:created>
  <dc:creator>openpyxl</dc:creator>
  <dc:description/>
  <dc:language>en-US</dc:language>
  <cp:lastModifiedBy/>
  <dcterms:modified xsi:type="dcterms:W3CDTF">2026-09-26T22:57:42Z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