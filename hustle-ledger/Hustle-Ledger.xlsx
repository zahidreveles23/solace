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vmlDrawing2.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Tax Estimate" sheetId="3" state="visible" r:id="rId5"/>
    <sheet name="Income" sheetId="4" state="visible" r:id="rId6"/>
    <sheet name="Expenses" sheetId="5" state="visible" r:id="rId7"/>
    <sheet name="Mileage" sheetId="6" state="visible" r:id="rId8"/>
    <sheet name="Lists" sheetId="7" state="visible" r:id="rId9"/>
  </sheets>
  <definedNames>
    <definedName function="false" hidden="true" localSheetId="4" name="_xlnm._FilterDatabase" vbProcedure="false">Expenses!$A$4:$G$504</definedName>
    <definedName function="false" hidden="true" localSheetId="3" name="_xlnm._FilterDatabase" vbProcedure="false">Income!$A$4:$F$504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11" authorId="0">
      <text>
        <r>
          <rPr>
            <sz val="10"/>
            <rFont val="Arial"/>
            <family val="2"/>
          </rPr>
          <t xml:space="preserve">Social Security part stops above the yearly wage base (about $176,100 in 2025). Not modeled here.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F4" authorId="0">
      <text>
        <r>
          <rPr>
            <sz val="10"/>
            <rFont val="Arial"/>
            <family val="2"/>
          </rPr>
          <t xml:space="preserve">Leave blank for 100%. For mixed-use items (e.g. a phone used 60% for business) enter 60%.</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D15" authorId="0">
      <text>
        <r>
          <rPr>
            <sz val="10"/>
            <rFont val="Arial"/>
            <family val="2"/>
          </rPr>
          <t xml:space="preserve">Business meals are generally 50% deductible (IRS Publication 463).</t>
        </r>
      </text>
    </comment>
  </commentList>
</comments>
</file>

<file path=xl/sharedStrings.xml><?xml version="1.0" encoding="utf-8"?>
<sst xmlns="http://schemas.openxmlformats.org/spreadsheetml/2006/main" count="167" uniqueCount="155">
  <si>
    <t xml:space="preserve">Hustle Ledger</t>
  </si>
  <si>
    <t xml:space="preserve">Side-hustle &amp; freelance income, expense and tax tracker</t>
  </si>
  <si>
    <t xml:space="preserve">YOUR SETTINGS</t>
  </si>
  <si>
    <t xml:space="preserve">Business name</t>
  </si>
  <si>
    <t xml:space="preserve">My Side Hustle</t>
  </si>
  <si>
    <t xml:space="preserve">Shown on the Dashboard.</t>
  </si>
  <si>
    <t xml:space="preserve">Tax year</t>
  </si>
  <si>
    <t xml:space="preserve">Only entries dated in this year are counted.</t>
  </si>
  <si>
    <t xml:space="preserve">Monthly income goal</t>
  </si>
  <si>
    <t xml:space="preserve">Used for goal progress on the Dashboard.</t>
  </si>
  <si>
    <t xml:space="preserve">Federal income tax rate (estimate)</t>
  </si>
  <si>
    <t xml:space="preserve">Your expected federal bracket, e.g. 10%, 12%, 22%.</t>
  </si>
  <si>
    <t xml:space="preserve">State income tax rate (estimate)</t>
  </si>
  <si>
    <t xml:space="preserve">Use 0% if your state has no income tax.</t>
  </si>
  <si>
    <t xml:space="preserve">Self-employment tax rate</t>
  </si>
  <si>
    <t xml:space="preserve">US SE tax: 12.4% Social Security + 2.9% Medicare.</t>
  </si>
  <si>
    <t xml:space="preserve">Share of profit subject to SE tax</t>
  </si>
  <si>
    <t xml:space="preserve">IRS Schedule SE uses 92.35% of net profit.</t>
  </si>
  <si>
    <t xml:space="preserve">Mileage rate ($ per mile)</t>
  </si>
  <si>
    <t xml:space="preserve">IRS standard rate for 2025 was $0.70. Update to the current year's rate at irs.gov.</t>
  </si>
  <si>
    <t xml:space="preserve">HOW TO USE</t>
  </si>
  <si>
    <t xml:space="preserve">1.  Fill in the yellow cells above. Yellow = type here. Everything else calculates itself.</t>
  </si>
  <si>
    <t xml:space="preserve">2.  Log every payment you receive on the Income tab (date, source, amount).</t>
  </si>
  <si>
    <t xml:space="preserve">3.  Log every business purchase on the Expenses tab. Pick a category from the dropdown.</t>
  </si>
  <si>
    <t xml:space="preserve">4.  Log business driving on the Mileage tab. Deductions are calculated for you.</t>
  </si>
  <si>
    <t xml:space="preserve">5.  Check the Dashboard for monthly profit, goal progress and where your money goes.</t>
  </si>
  <si>
    <t xml:space="preserve">6.  Check Tax Estimate for how much to set aside and your quarterly payment amounts.</t>
  </si>
  <si>
    <t xml:space="preserve">7.  Delete the example row on each log tab (row 5) when you add your own data.</t>
  </si>
  <si>
    <t xml:space="preserve">Tip: in Google Sheets, use File &gt; Import &gt; Upload, or open the file from Google Drive.</t>
  </si>
  <si>
    <t xml:space="preserve">Tip: edit category names on the Lists tab. The dropdowns and Dashboard update automatically.</t>
  </si>
  <si>
    <t xml:space="preserve">IMPORTANT</t>
  </si>
  <si>
    <t xml:space="preserve">Tax figures are simplified estimates for planning only, not tax advice. They do not include the standard deduction, QBI deduction, credits, other income or the Social Security wage cap. Confirm amounts with a tax professional or IRS Form 1040-ES.</t>
  </si>
  <si>
    <t xml:space="preserve">Dashboard</t>
  </si>
  <si>
    <t xml:space="preserve">INCOME</t>
  </si>
  <si>
    <t xml:space="preserve">EXPENSES</t>
  </si>
  <si>
    <t xml:space="preserve">TAX TO SET ASIDE</t>
  </si>
  <si>
    <t xml:space="preserve">TAKE-HOME</t>
  </si>
  <si>
    <t xml:space="preserve">Yearly goal progress</t>
  </si>
  <si>
    <t xml:space="preserve">Profit margin</t>
  </si>
  <si>
    <t xml:space="preserve">MONTH BY MONTH</t>
  </si>
  <si>
    <t xml:space="preserve">WHERE THE MONEY GOES</t>
  </si>
  <si>
    <t xml:space="preserve">Month</t>
  </si>
  <si>
    <t xml:space="preserve">Income</t>
  </si>
  <si>
    <t xml:space="preserve">Expenses</t>
  </si>
  <si>
    <t xml:space="preserve">Deductions</t>
  </si>
  <si>
    <t xml:space="preserve">Taxable profit</t>
  </si>
  <si>
    <t xml:space="preserve">Tax to set aside</t>
  </si>
  <si>
    <t xml:space="preserve">Take-home</t>
  </si>
  <si>
    <t xml:space="preserve">Goal progress</t>
  </si>
  <si>
    <t xml:space="preserve">Category</t>
  </si>
  <si>
    <t xml:space="preserve">Spent</t>
  </si>
  <si>
    <t xml:space="preserve">Share</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</si>
  <si>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</si>
  <si>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</si>
  <si>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</si>
  <si>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</si>
  <si>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</si>
  <si>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</si>
  <si>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</si>
  <si>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</si>
  <si>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</si>
  <si>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</si>
  <si>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</si>
  <si>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</si>
  <si>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Total</t>
  </si>
  <si>
    <t xml:space="preserve">Tax Estimate</t>
  </si>
  <si>
    <t xml:space="preserve">Simplified US self-employment estimate for planning. Not tax advice. See Start Here.</t>
  </si>
  <si>
    <t xml:space="preserve">YEAR TO DATE</t>
  </si>
  <si>
    <t xml:space="preserve">Gross income</t>
  </si>
  <si>
    <t xml:space="preserve">Deductible expenses</t>
  </si>
  <si>
    <t xml:space="preserve">Mileage deduction</t>
  </si>
  <si>
    <t xml:space="preserve">Net profit (Schedule C estimate)</t>
  </si>
  <si>
    <t xml:space="preserve">Profit subject to SE tax</t>
  </si>
  <si>
    <t xml:space="preserve">Self-employment tax</t>
  </si>
  <si>
    <t xml:space="preserve">Deduction for half of SE tax</t>
  </si>
  <si>
    <t xml:space="preserve">Profit subject to income tax</t>
  </si>
  <si>
    <t xml:space="preserve">Federal income tax</t>
  </si>
  <si>
    <t xml:space="preserve">State income tax</t>
  </si>
  <si>
    <t xml:space="preserve">TOTAL ESTIMATED TAX</t>
  </si>
  <si>
    <t xml:space="preserve">Effective rate on net profit</t>
  </si>
  <si>
    <t xml:space="preserve">Set aside this % of every payment</t>
  </si>
  <si>
    <t xml:space="preserve">QUARTERLY ESTIMATED PAYMENTS (IRS Form 1040-ES)</t>
  </si>
  <si>
    <t xml:space="preserve">Period</t>
  </si>
  <si>
    <t xml:space="preserve">Due date</t>
  </si>
  <si>
    <t xml:space="preserve">Profit in period</t>
  </si>
  <si>
    <t xml:space="preserve">Suggested payment</t>
  </si>
  <si>
    <t xml:space="preserve">You paid</t>
  </si>
  <si>
    <t xml:space="preserve">Still owed</t>
  </si>
  <si>
    <t xml:space="preserve">Q1: Jan 1 - Mar 31</t>
  </si>
  <si>
    <t xml:space="preserve">Q2: Apr 1 - May 31</t>
  </si>
  <si>
    <t xml:space="preserve">Q3: Jun 1 - Aug 31</t>
  </si>
  <si>
    <t xml:space="preserve">Q4: Sep 1 - Dec 31</t>
  </si>
  <si>
    <t xml:space="preserve">Due dates that fall on a weekend or holiday move to the next business day. Enter what you actually paid in the yellow cells.</t>
  </si>
  <si>
    <t xml:space="preserve">Log every payment you receive. Type in the white cells; totals update everywhere automatically.</t>
  </si>
  <si>
    <t xml:space="preserve">Total income logged (all years):</t>
  </si>
  <si>
    <t xml:space="preserve">Date</t>
  </si>
  <si>
    <t xml:space="preserve">Client / source</t>
  </si>
  <si>
    <t xml:space="preserve">Description</t>
  </si>
  <si>
    <t xml:space="preserve">Amount ($)</t>
  </si>
  <si>
    <t xml:space="preserve">Paid via</t>
  </si>
  <si>
    <t xml:space="preserve">Acme Co.</t>
  </si>
  <si>
    <t xml:space="preserve">Logo design (example - delete me)</t>
  </si>
  <si>
    <t xml:space="preserve">Client work</t>
  </si>
  <si>
    <t xml:space="preserve">PayPal</t>
  </si>
  <si>
    <t xml:space="preserve">Log business purchases. Grey cells calculate the deductible amount for you.</t>
  </si>
  <si>
    <t xml:space="preserve">Totals (all years):</t>
  </si>
  <si>
    <t xml:space="preserve">Vendor</t>
  </si>
  <si>
    <t xml:space="preserve">Business use %</t>
  </si>
  <si>
    <t xml:space="preserve">Deductible ($)</t>
  </si>
  <si>
    <t xml:space="preserve">Adobe</t>
  </si>
  <si>
    <t xml:space="preserve">Creative Cloud (example - delete me)</t>
  </si>
  <si>
    <t xml:space="preserve">Software &amp; subscriptions</t>
  </si>
  <si>
    <t xml:space="preserve">Mileage</t>
  </si>
  <si>
    <t xml:space="preserve">Log business trips (not your commute). Grey cells calculate the deduction for you.</t>
  </si>
  <si>
    <t xml:space="preserve">From</t>
  </si>
  <si>
    <t xml:space="preserve">To</t>
  </si>
  <si>
    <t xml:space="preserve">Purpose</t>
  </si>
  <si>
    <t xml:space="preserve">Miles</t>
  </si>
  <si>
    <t xml:space="preserve">Deduction ($)</t>
  </si>
  <si>
    <t xml:space="preserve">Home</t>
  </si>
  <si>
    <t xml:space="preserve">Client office</t>
  </si>
  <si>
    <t xml:space="preserve">Kickoff meeting (example - delete me)</t>
  </si>
  <si>
    <t xml:space="preserve">Lists</t>
  </si>
  <si>
    <t xml:space="preserve">Edit these to customize dropdowns. Keep deductible % between 0% and 100%.</t>
  </si>
  <si>
    <t xml:space="preserve">Income categories</t>
  </si>
  <si>
    <t xml:space="preserve">Expense categories</t>
  </si>
  <si>
    <t xml:space="preserve">Deductible %</t>
  </si>
  <si>
    <t xml:space="preserve">Payment methods</t>
  </si>
  <si>
    <t xml:space="preserve">Advertising</t>
  </si>
  <si>
    <t xml:space="preserve">Bank transfer</t>
  </si>
  <si>
    <t xml:space="preserve">Product sales</t>
  </si>
  <si>
    <t xml:space="preserve">Services</t>
  </si>
  <si>
    <t xml:space="preserve">Supplies &amp; materials</t>
  </si>
  <si>
    <t xml:space="preserve">Stripe</t>
  </si>
  <si>
    <t xml:space="preserve">Tips</t>
  </si>
  <si>
    <t xml:space="preserve">Equipment</t>
  </si>
  <si>
    <t xml:space="preserve">Cash</t>
  </si>
  <si>
    <t xml:space="preserve">Affiliate / ads</t>
  </si>
  <si>
    <t xml:space="preserve">Phone &amp; internet</t>
  </si>
  <si>
    <t xml:space="preserve">Card</t>
  </si>
  <si>
    <t xml:space="preserve">Rental</t>
  </si>
  <si>
    <t xml:space="preserve">Home office</t>
  </si>
  <si>
    <t xml:space="preserve">Venmo</t>
  </si>
  <si>
    <t xml:space="preserve">Other income</t>
  </si>
  <si>
    <t xml:space="preserve">Platform &amp; payment fees</t>
  </si>
  <si>
    <t xml:space="preserve">Zelle</t>
  </si>
  <si>
    <t xml:space="preserve">Shipping</t>
  </si>
  <si>
    <t xml:space="preserve">Check</t>
  </si>
  <si>
    <t xml:space="preserve">Education &amp; training</t>
  </si>
  <si>
    <t xml:space="preserve">Platform payout</t>
  </si>
  <si>
    <t xml:space="preserve">Travel</t>
  </si>
  <si>
    <t xml:space="preserve">Meals (business)</t>
  </si>
  <si>
    <t xml:space="preserve">Professional services</t>
  </si>
  <si>
    <t xml:space="preserve">Insurance</t>
  </si>
  <si>
    <t xml:space="preserve">Other</t>
  </si>
</sst>
</file>

<file path=xl/styles.xml><?xml version="1.0" encoding="utf-8"?>
<styleSheet xmlns="http://schemas.openxmlformats.org/spreadsheetml/2006/main">
  <numFmts count="10">
    <numFmt numFmtId="164" formatCode="General"/>
    <numFmt numFmtId="165" formatCode="0"/>
    <numFmt numFmtId="166" formatCode="\$#,##0;&quot;($&quot;#,##0\);\-"/>
    <numFmt numFmtId="167" formatCode="0.0%;\(0.0%\);\-"/>
    <numFmt numFmtId="168" formatCode="\$0.000"/>
    <numFmt numFmtId="169" formatCode="\$#,##0"/>
    <numFmt numFmtId="170" formatCode="\$#,##0.00;&quot;($&quot;#,##0.00\);\-"/>
    <numFmt numFmtId="171" formatCode="mmm\ d&quot;, &quot;yyyy"/>
    <numFmt numFmtId="172" formatCode="0%"/>
    <numFmt numFmtId="173" formatCode="#,##0.0"/>
  </numFmts>
  <fonts count="20">
    <font>
      <sz val="11"/>
      <color theme="1"/>
      <name val="Calibri"/>
      <family val="2"/>
      <charset val="1"/>
    </font>
    <font>
      <sz val="10"/>
      <name val="Arial"/>
      <family val="0"/>
    </font>
    <font>
      <sz val="10"/>
      <name val="Arial"/>
      <family val="0"/>
    </font>
    <font>
      <sz val="10"/>
      <name val="Arial"/>
      <family val="0"/>
    </font>
    <font>
      <b val="true"/>
      <sz val="20"/>
      <color rgb="FF1F3A5F"/>
      <name val="Arial"/>
      <family val="0"/>
      <charset val="1"/>
    </font>
    <font>
      <i val="true"/>
      <sz val="10"/>
      <color rgb="FF6B7785"/>
      <name val="Arial"/>
      <family val="0"/>
      <charset val="1"/>
    </font>
    <font>
      <b val="true"/>
      <sz val="12"/>
      <color rgb="FF2A9D8F"/>
      <name val="Arial"/>
      <family val="0"/>
      <charset val="1"/>
    </font>
    <font>
      <sz val="10"/>
      <name val="Arial"/>
      <family val="0"/>
      <charset val="1"/>
    </font>
    <font>
      <sz val="10"/>
      <color rgb="FF0000FF"/>
      <name val="Arial"/>
      <family val="0"/>
      <charset val="1"/>
    </font>
    <font>
      <b val="true"/>
      <sz val="12"/>
      <color rgb="FFC0392B"/>
      <name val="Arial"/>
      <family val="0"/>
      <charset val="1"/>
    </font>
    <font>
      <b val="true"/>
      <sz val="11"/>
      <color rgb="FF6B7785"/>
      <name val="Arial"/>
      <family val="0"/>
      <charset val="1"/>
    </font>
    <font>
      <b val="true"/>
      <sz val="9"/>
      <color rgb="FFFFFFFF"/>
      <name val="Arial"/>
      <family val="0"/>
      <charset val="1"/>
    </font>
    <font>
      <b val="true"/>
      <sz val="10"/>
      <name val="Arial"/>
      <family val="0"/>
      <charset val="1"/>
    </font>
    <font>
      <b val="true"/>
      <sz val="10"/>
      <color rgb="FFFFFFFF"/>
      <name val="Arial"/>
      <family val="0"/>
      <charset val="1"/>
    </font>
    <font>
      <b val="true"/>
      <sz val="18"/>
      <color rgb="FF000000"/>
      <name val="Calibri"/>
      <family val="2"/>
    </font>
    <font>
      <sz val="10"/>
      <color rgb="FF000000"/>
      <name val="Calibri"/>
      <family val="2"/>
    </font>
    <font>
      <sz val="10"/>
      <color rgb="FF000000"/>
      <name val="Arial"/>
      <family val="0"/>
      <charset val="1"/>
    </font>
    <font>
      <b val="true"/>
      <sz val="10"/>
      <color rgb="FF000000"/>
      <name val="Arial"/>
      <family val="0"/>
      <charset val="1"/>
    </font>
    <font>
      <b val="true"/>
      <sz val="12"/>
      <color rgb="FF1F3A5F"/>
      <name val="Arial"/>
      <family val="0"/>
      <charset val="1"/>
    </font>
    <font>
      <sz val="10"/>
      <name val="Arial"/>
      <family val="2"/>
    </font>
  </fonts>
  <fills count="6">
    <fill>
      <patternFill patternType="none"/>
    </fill>
    <fill>
      <patternFill patternType="gray125"/>
    </fill>
    <fill>
      <patternFill patternType="solid">
        <fgColor rgb="FFFFF4D6"/>
        <bgColor rgb="FFF3F6F9"/>
      </patternFill>
    </fill>
    <fill>
      <patternFill patternType="solid">
        <fgColor rgb="FF2A9D8F"/>
        <bgColor rgb="FF3E8EA4"/>
      </patternFill>
    </fill>
    <fill>
      <patternFill patternType="solid">
        <fgColor rgb="FFF3F6F9"/>
        <bgColor rgb="FFFFFFFF"/>
      </patternFill>
    </fill>
    <fill>
      <patternFill patternType="solid">
        <fgColor rgb="FF1F3A5F"/>
        <bgColor rgb="FF333333"/>
      </patternFill>
    </fill>
  </fills>
  <borders count="2">
    <border diagonalUp="false" diagonalDown="false">
      <left/>
      <right/>
      <top/>
      <bottom/>
      <diagonal/>
    </border>
    <border diagonalUp="false" diagonalDown="false">
      <left style="thin">
        <color rgb="FFD5DBE3"/>
      </left>
      <right style="thin">
        <color rgb="FFD5DBE3"/>
      </right>
      <top style="thin">
        <color rgb="FFD5DBE3"/>
      </top>
      <bottom style="thin">
        <color rgb="FFD5DB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6" fontId="8" fillId="2" borderId="1" xfId="0" applyFont="true" applyBorder="true" applyAlignment="false" applyProtection="false">
      <alignment horizontal="general" vertical="bottom" textRotation="0" wrapText="false" indent="0" shrinkToFit="false"/>
      <protection locked="true" hidden="false"/>
    </xf>
    <xf numFmtId="167" fontId="8" fillId="2" borderId="1" xfId="0" applyFont="true" applyBorder="true" applyAlignment="false" applyProtection="false">
      <alignment horizontal="general" vertical="bottom" textRotation="0" wrapText="false" indent="0" shrinkToFit="false"/>
      <protection locked="true" hidden="false"/>
    </xf>
    <xf numFmtId="168" fontId="8" fillId="2"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66" fontId="4" fillId="4"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2" fillId="4" borderId="1" xfId="0" applyFont="true" applyBorder="true" applyAlignment="false" applyProtection="false">
      <alignment horizontal="general" vertical="bottom" textRotation="0" wrapText="false" indent="0" shrinkToFit="false"/>
      <protection locked="true" hidden="false"/>
    </xf>
    <xf numFmtId="167" fontId="12" fillId="4" borderId="1" xfId="0" applyFont="true" applyBorder="true" applyAlignment="false" applyProtection="false">
      <alignment horizontal="general" vertical="bottom" textRotation="0" wrapText="false" indent="0" shrinkToFit="false"/>
      <protection locked="true" hidden="false"/>
    </xf>
    <xf numFmtId="170" fontId="16"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70" fontId="17" fillId="0"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70" fontId="18" fillId="4" borderId="1" xfId="0" applyFont="true" applyBorder="true" applyAlignment="false" applyProtection="false">
      <alignment horizontal="general" vertical="bottom" textRotation="0" wrapText="false" indent="0" shrinkToFit="false"/>
      <protection locked="true" hidden="false"/>
    </xf>
    <xf numFmtId="167" fontId="16" fillId="0" borderId="1" xfId="0" applyFont="true" applyBorder="true" applyAlignment="false" applyProtection="false">
      <alignment horizontal="general" vertical="bottom" textRotation="0" wrapText="false" indent="0" shrinkToFit="false"/>
      <protection locked="true" hidden="false"/>
    </xf>
    <xf numFmtId="167" fontId="18" fillId="4"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0" fontId="8" fillId="2" borderId="1" xfId="0" applyFont="true" applyBorder="tru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70" fontId="5" fillId="4"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0" fontId="7" fillId="4" borderId="1" xfId="0" applyFont="true" applyBorder="true" applyAlignment="false" applyProtection="false">
      <alignment horizontal="general" vertical="bottom" textRotation="0" wrapText="false" indent="0" shrinkToFit="false"/>
      <protection locked="true" hidden="false"/>
    </xf>
    <xf numFmtId="173" fontId="12" fillId="0" borderId="0" xfId="0" applyFont="true" applyBorder="false" applyAlignment="false" applyProtection="false">
      <alignment horizontal="general" vertical="bottom" textRotation="0" wrapText="false" indent="0" shrinkToFit="false"/>
      <protection locked="true" hidden="false"/>
    </xf>
    <xf numFmtId="173" fontId="5"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72" fontId="8"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Arial"/>
        <charset val="1"/>
        <family val="0"/>
        <color rgb="FFC0392B"/>
        <sz val="10"/>
      </font>
    </dxf>
    <dxf>
      <fill>
        <patternFill patternType="solid">
          <fgColor rgb="FF1F3A5F"/>
          <bgColor rgb="FF000000"/>
        </patternFill>
      </fill>
    </dxf>
    <dxf>
      <fill>
        <patternFill patternType="solid">
          <bgColor rgb="FF000000"/>
        </patternFill>
      </fill>
    </dxf>
    <dxf>
      <fill>
        <patternFill patternType="solid">
          <fgColor rgb="FF6B7785"/>
          <bgColor rgb="FF000000"/>
        </patternFill>
      </fill>
    </dxf>
    <dxf>
      <fill>
        <patternFill patternType="solid">
          <fgColor rgb="FFFFFFFF"/>
          <bgColor rgb="FF000000"/>
        </patternFill>
      </fill>
    </dxf>
    <dxf>
      <fill>
        <patternFill patternType="solid">
          <fgColor rgb="FFF3F6F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6B7785"/>
      <rgbColor rgb="FF800080"/>
      <rgbColor rgb="FF3E8EA4"/>
      <rgbColor rgb="FFAABAD7"/>
      <rgbColor rgb="FF878787"/>
      <rgbColor rgb="FF9999FF"/>
      <rgbColor rgb="FF9F423F"/>
      <rgbColor rgb="FFFFF4D6"/>
      <rgbColor rgb="FFF3F6F9"/>
      <rgbColor rgb="FF660066"/>
      <rgbColor rgb="FFE76F51"/>
      <rgbColor rgb="FF0066CC"/>
      <rgbColor rgb="FFD5DBE3"/>
      <rgbColor rgb="FF000080"/>
      <rgbColor rgb="FFFF00FF"/>
      <rgbColor rgb="FFFFFF00"/>
      <rgbColor rgb="FF00FFFF"/>
      <rgbColor rgb="FF800080"/>
      <rgbColor rgb="FF800000"/>
      <rgbColor rgb="FF4F81BD"/>
      <rgbColor rgb="FF0000FF"/>
      <rgbColor rgb="FF00CCFF"/>
      <rgbColor rgb="FFCCFFFF"/>
      <rgbColor rgb="FFD9D9D9"/>
      <rgbColor rgb="FFFFFF99"/>
      <rgbColor rgb="FF99CCFF"/>
      <rgbColor rgb="FFD8AAA9"/>
      <rgbColor rgb="FFCC99FF"/>
      <rgbColor rgb="FFFFCC99"/>
      <rgbColor rgb="FF416A9C"/>
      <rgbColor rgb="FF4BACC6"/>
      <rgbColor rgb="FF9BBB59"/>
      <rgbColor rgb="FFFFCC00"/>
      <rgbColor rgb="FFF79646"/>
      <rgbColor rgb="FFCC7C3A"/>
      <rgbColor rgb="FF8064A2"/>
      <rgbColor rgb="FF809B49"/>
      <rgbColor rgb="FF1F3A5F"/>
      <rgbColor rgb="FF2A9D8F"/>
      <rgbColor rgb="FF003300"/>
      <rgbColor rgb="FF333300"/>
      <rgbColor rgb="FFC0392B"/>
      <rgbColor rgb="FFC0504D"/>
      <rgbColor rgb="FF6A528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Income vs expenses by month</a:t>
            </a:r>
          </a:p>
        </c:rich>
      </c:tx>
      <c:overlay val="0"/>
      <c:spPr>
        <a:noFill/>
        <a:ln w="0">
          <a:noFill/>
        </a:ln>
      </c:spPr>
    </c:title>
    <c:autoTitleDeleted val="0"/>
    <c:plotArea>
      <c:barChart>
        <c:barDir val="col"/>
        <c:grouping val="clustered"/>
        <c:varyColors val="0"/>
        <c:ser>
          <c:idx val="0"/>
          <c:order val="0"/>
          <c:tx>
            <c:strRef>
              <c:f>Dashboard!C12</c:f>
              <c:strCache>
                <c:ptCount val="1"/>
                <c:pt idx="0">
                  <c:v>Income</c:v>
                </c:pt>
              </c:strCache>
            </c:strRef>
          </c:tx>
          <c:spPr>
            <a:solidFill>
              <a:srgbClr val="2a9d8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Dashboard!$B$13:$B$24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Dashboard!$C$13:$C$24</c:f>
              <c:numCache>
                <c:formatCode>\$#,##0;"($"#,##0\);\-</c:formatCode>
                <c:ptCount val="12"/>
                <c:pt idx="0">
                  <c:v>450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Dashboard!D12</c:f>
              <c:strCache>
                <c:ptCount val="1"/>
                <c:pt idx="0">
                  <c:v>Expenses</c:v>
                </c:pt>
              </c:strCache>
            </c:strRef>
          </c:tx>
          <c:spPr>
            <a:solidFill>
              <a:srgbClr val="e76f5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Dashboard!$B$13:$B$24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Dashboard!$D$13:$D$24</c:f>
              <c:numCache>
                <c:formatCode>\$#,##0;"($"#,##0\);\-</c:formatCode>
                <c:ptCount val="12"/>
                <c:pt idx="0">
                  <c:v>59.99</c:v>
                </c:pt>
                <c:pt idx="1">
                  <c:v>0</c:v>
                </c:pt>
                <c:pt idx="2">
                  <c:v>0</c:v>
                </c:pt>
                <c:pt idx="3">
                  <c:v>0</c:v>
                </c:pt>
                <c:pt idx="4">
                  <c:v>0</c:v>
                </c:pt>
                <c:pt idx="5">
                  <c:v>0</c:v>
                </c:pt>
                <c:pt idx="6">
                  <c:v>0</c:v>
                </c:pt>
                <c:pt idx="7">
                  <c:v>0</c:v>
                </c:pt>
                <c:pt idx="8">
                  <c:v>0</c:v>
                </c:pt>
                <c:pt idx="9">
                  <c:v>0</c:v>
                </c:pt>
                <c:pt idx="10">
                  <c:v>0</c:v>
                </c:pt>
                <c:pt idx="11">
                  <c:v>0</c:v>
                </c:pt>
              </c:numCache>
            </c:numRef>
          </c:val>
        </c:ser>
        <c:gapWidth val="150"/>
        <c:overlap val="0"/>
        <c:axId val="32762029"/>
        <c:axId val="2236930"/>
      </c:barChart>
      <c:catAx>
        <c:axId val="327620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36930"/>
        <c:crosses val="autoZero"/>
        <c:auto val="1"/>
        <c:lblAlgn val="ctr"/>
        <c:lblOffset val="100"/>
        <c:noMultiLvlLbl val="0"/>
      </c:catAx>
      <c:valAx>
        <c:axId val="2236930"/>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76202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Spending by category</a:t>
            </a:r>
          </a:p>
        </c:rich>
      </c:tx>
      <c:overlay val="0"/>
      <c:spPr>
        <a:noFill/>
        <a:ln w="0">
          <a:noFill/>
        </a:ln>
      </c:spPr>
    </c:title>
    <c:autoTitleDeleted val="0"/>
    <c:plotArea>
      <c:pieChart>
        <c:varyColors val="1"/>
        <c:ser>
          <c:idx val="0"/>
          <c:order val="0"/>
          <c:tx>
            <c:strRef>
              <c:f>Dashboard!L12</c:f>
              <c:strCache>
                <c:ptCount val="1"/>
                <c:pt idx="0">
                  <c:v>Spent</c:v>
                </c:pt>
              </c:strCache>
            </c:strRef>
          </c:tx>
          <c:spPr>
            <a:solidFill>
              <a:srgbClr val="4f81bd"/>
            </a:solidFill>
            <a:ln w="0">
              <a:noFill/>
            </a:ln>
          </c:spPr>
          <c:explosion val="0"/>
          <c:dPt>
            <c:idx val="0"/>
            <c:spPr>
              <a:solidFill>
                <a:srgbClr val="416a9c"/>
              </a:solidFill>
              <a:ln w="0">
                <a:noFill/>
              </a:ln>
            </c:spPr>
          </c:dPt>
          <c:dPt>
            <c:idx val="1"/>
            <c:spPr>
              <a:solidFill>
                <a:srgbClr val="9f423f"/>
              </a:solidFill>
              <a:ln w="0">
                <a:noFill/>
              </a:ln>
            </c:spPr>
          </c:dPt>
          <c:dPt>
            <c:idx val="2"/>
            <c:spPr>
              <a:solidFill>
                <a:srgbClr val="809b49"/>
              </a:solidFill>
              <a:ln w="0">
                <a:noFill/>
              </a:ln>
            </c:spPr>
          </c:dPt>
          <c:dPt>
            <c:idx val="3"/>
            <c:spPr>
              <a:solidFill>
                <a:srgbClr val="6a5286"/>
              </a:solidFill>
              <a:ln w="0">
                <a:noFill/>
              </a:ln>
            </c:spPr>
          </c:dPt>
          <c:dPt>
            <c:idx val="4"/>
            <c:spPr>
              <a:solidFill>
                <a:srgbClr val="3e8ea4"/>
              </a:solidFill>
              <a:ln w="0">
                <a:noFill/>
              </a:ln>
            </c:spPr>
          </c:dPt>
          <c:dPt>
            <c:idx val="5"/>
            <c:spPr>
              <a:solidFill>
                <a:srgbClr val="cc7c3a"/>
              </a:solidFill>
              <a:ln w="0">
                <a:noFill/>
              </a:ln>
            </c:spPr>
          </c:dPt>
          <c:dPt>
            <c:idx val="6"/>
            <c:spPr>
              <a:solidFill>
                <a:srgbClr val="4f81bd"/>
              </a:solidFill>
              <a:ln w="0">
                <a:noFill/>
              </a:ln>
            </c:spPr>
          </c:dPt>
          <c:dPt>
            <c:idx val="7"/>
            <c:spPr>
              <a:solidFill>
                <a:srgbClr val="c0504d"/>
              </a:solidFill>
              <a:ln w="0">
                <a:noFill/>
              </a:ln>
            </c:spPr>
          </c:dPt>
          <c:dPt>
            <c:idx val="8"/>
            <c:spPr>
              <a:solidFill>
                <a:srgbClr val="9bbb59"/>
              </a:solidFill>
              <a:ln w="0">
                <a:noFill/>
              </a:ln>
            </c:spPr>
          </c:dPt>
          <c:dPt>
            <c:idx val="9"/>
            <c:spPr>
              <a:solidFill>
                <a:srgbClr val="8064a2"/>
              </a:solidFill>
              <a:ln w="0">
                <a:noFill/>
              </a:ln>
            </c:spPr>
          </c:dPt>
          <c:dPt>
            <c:idx val="10"/>
            <c:spPr>
              <a:solidFill>
                <a:srgbClr val="4bacc6"/>
              </a:solidFill>
              <a:ln w="0">
                <a:noFill/>
              </a:ln>
            </c:spPr>
          </c:dPt>
          <c:dPt>
            <c:idx val="11"/>
            <c:spPr>
              <a:solidFill>
                <a:srgbClr val="f79646"/>
              </a:solidFill>
              <a:ln w="0">
                <a:noFill/>
              </a:ln>
            </c:spPr>
          </c:dPt>
          <c:dPt>
            <c:idx val="12"/>
            <c:spPr>
              <a:solidFill>
                <a:srgbClr val="aabad7"/>
              </a:solidFill>
              <a:ln w="0">
                <a:noFill/>
              </a:ln>
            </c:spPr>
          </c:dPt>
          <c:dPt>
            <c:idx val="13"/>
            <c:spPr>
              <a:solidFill>
                <a:srgbClr val="d8aaa9"/>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dLbl>
              <c:idx val="6"/>
              <c:txPr>
                <a:bodyPr wrap="none"/>
                <a:lstStyle/>
                <a:p>
                  <a:pPr>
                    <a:defRPr b="0" sz="1000" spc="-1" strike="noStrike">
                      <a:latin typeface="Arial"/>
                    </a:defRPr>
                  </a:pPr>
                </a:p>
              </c:txPr>
              <c:showLegendKey val="0"/>
              <c:showVal val="0"/>
              <c:showCatName val="0"/>
              <c:showSerName val="0"/>
              <c:showPercent val="0"/>
              <c:separator> </c:separator>
            </c:dLbl>
            <c:dLbl>
              <c:idx val="7"/>
              <c:txPr>
                <a:bodyPr wrap="none"/>
                <a:lstStyle/>
                <a:p>
                  <a:pPr>
                    <a:defRPr b="0" sz="1000" spc="-1" strike="noStrike">
                      <a:latin typeface="Arial"/>
                    </a:defRPr>
                  </a:pPr>
                </a:p>
              </c:txPr>
              <c:showLegendKey val="0"/>
              <c:showVal val="0"/>
              <c:showCatName val="0"/>
              <c:showSerName val="0"/>
              <c:showPercent val="0"/>
              <c:separator> </c:separator>
            </c:dLbl>
            <c:dLbl>
              <c:idx val="8"/>
              <c:txPr>
                <a:bodyPr wrap="none"/>
                <a:lstStyle/>
                <a:p>
                  <a:pPr>
                    <a:defRPr b="0" sz="1000" spc="-1" strike="noStrike">
                      <a:latin typeface="Arial"/>
                    </a:defRPr>
                  </a:pPr>
                </a:p>
              </c:txPr>
              <c:showLegendKey val="0"/>
              <c:showVal val="0"/>
              <c:showCatName val="0"/>
              <c:showSerName val="0"/>
              <c:showPercent val="0"/>
              <c:separator> </c:separator>
            </c:dLbl>
            <c:dLbl>
              <c:idx val="9"/>
              <c:txPr>
                <a:bodyPr wrap="none"/>
                <a:lstStyle/>
                <a:p>
                  <a:pPr>
                    <a:defRPr b="0" sz="1000" spc="-1" strike="noStrike">
                      <a:latin typeface="Arial"/>
                    </a:defRPr>
                  </a:pPr>
                </a:p>
              </c:txPr>
              <c:showLegendKey val="0"/>
              <c:showVal val="0"/>
              <c:showCatName val="0"/>
              <c:showSerName val="0"/>
              <c:showPercent val="0"/>
              <c:separator> </c:separator>
            </c:dLbl>
            <c:dLbl>
              <c:idx val="10"/>
              <c:txPr>
                <a:bodyPr wrap="none"/>
                <a:lstStyle/>
                <a:p>
                  <a:pPr>
                    <a:defRPr b="0" sz="1000" spc="-1" strike="noStrike">
                      <a:latin typeface="Arial"/>
                    </a:defRPr>
                  </a:pPr>
                </a:p>
              </c:txPr>
              <c:showLegendKey val="0"/>
              <c:showVal val="0"/>
              <c:showCatName val="0"/>
              <c:showSerName val="0"/>
              <c:showPercent val="0"/>
              <c:separator> </c:separator>
            </c:dLbl>
            <c:dLbl>
              <c:idx val="11"/>
              <c:txPr>
                <a:bodyPr wrap="none"/>
                <a:lstStyle/>
                <a:p>
                  <a:pPr>
                    <a:defRPr b="0" sz="1000" spc="-1" strike="noStrike">
                      <a:latin typeface="Arial"/>
                    </a:defRPr>
                  </a:pPr>
                </a:p>
              </c:txPr>
              <c:showLegendKey val="0"/>
              <c:showVal val="0"/>
              <c:showCatName val="0"/>
              <c:showSerName val="0"/>
              <c:showPercent val="0"/>
              <c:separator> </c:separator>
            </c:dLbl>
            <c:dLbl>
              <c:idx val="12"/>
              <c:txPr>
                <a:bodyPr wrap="none"/>
                <a:lstStyle/>
                <a:p>
                  <a:pPr>
                    <a:defRPr b="0" sz="1000" spc="-1" strike="noStrike">
                      <a:latin typeface="Arial"/>
                    </a:defRPr>
                  </a:pPr>
                </a:p>
              </c:txPr>
              <c:showLegendKey val="0"/>
              <c:showVal val="0"/>
              <c:showCatName val="0"/>
              <c:showSerName val="0"/>
              <c:showPercent val="0"/>
              <c:separator> </c:separator>
            </c:dLbl>
            <c:dLbl>
              <c:idx val="13"/>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Dashboard!$K$13:$K$26</c:f>
              <c:strCache>
                <c:ptCount val="14"/>
                <c:pt idx="0">
                  <c:v>Advertising</c:v>
                </c:pt>
                <c:pt idx="1">
                  <c:v>Software &amp; subscriptions</c:v>
                </c:pt>
                <c:pt idx="2">
                  <c:v>Supplies &amp; materials</c:v>
                </c:pt>
                <c:pt idx="3">
                  <c:v>Equipment</c:v>
                </c:pt>
                <c:pt idx="4">
                  <c:v>Phone &amp; internet</c:v>
                </c:pt>
                <c:pt idx="5">
                  <c:v>Home office</c:v>
                </c:pt>
                <c:pt idx="6">
                  <c:v>Platform &amp; payment fees</c:v>
                </c:pt>
                <c:pt idx="7">
                  <c:v>Shipping</c:v>
                </c:pt>
                <c:pt idx="8">
                  <c:v>Education &amp; training</c:v>
                </c:pt>
                <c:pt idx="9">
                  <c:v>Travel</c:v>
                </c:pt>
                <c:pt idx="10">
                  <c:v>Meals (business)</c:v>
                </c:pt>
                <c:pt idx="11">
                  <c:v>Professional services</c:v>
                </c:pt>
                <c:pt idx="12">
                  <c:v>Insurance</c:v>
                </c:pt>
                <c:pt idx="13">
                  <c:v>Other</c:v>
                </c:pt>
              </c:strCache>
            </c:strRef>
          </c:cat>
          <c:val>
            <c:numRef>
              <c:f>Dashboard!$L$13:$L$26</c:f>
              <c:numCache>
                <c:formatCode>\$#,##0;"($"#,##0\);\-</c:formatCode>
                <c:ptCount val="14"/>
                <c:pt idx="0">
                  <c:v>0</c:v>
                </c:pt>
                <c:pt idx="1">
                  <c:v>59.99</c:v>
                </c:pt>
                <c:pt idx="2">
                  <c:v>0</c:v>
                </c:pt>
                <c:pt idx="3">
                  <c:v>0</c:v>
                </c:pt>
                <c:pt idx="4">
                  <c:v>0</c:v>
                </c:pt>
                <c:pt idx="5">
                  <c:v>0</c:v>
                </c:pt>
                <c:pt idx="6">
                  <c:v>0</c:v>
                </c:pt>
                <c:pt idx="7">
                  <c:v>0</c:v>
                </c:pt>
                <c:pt idx="8">
                  <c:v>0</c:v>
                </c:pt>
                <c:pt idx="9">
                  <c:v>0</c:v>
                </c:pt>
                <c:pt idx="10">
                  <c:v>0</c:v>
                </c:pt>
                <c:pt idx="11">
                  <c:v>0</c:v>
                </c:pt>
                <c:pt idx="12">
                  <c:v>0</c:v>
                </c:pt>
                <c:pt idx="13">
                  <c:v>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26</xdr:row>
      <xdr:rowOff>70560</xdr:rowOff>
    </xdr:from>
    <xdr:to>
      <xdr:col>6</xdr:col>
      <xdr:colOff>1163160</xdr:colOff>
      <xdr:row>41</xdr:row>
      <xdr:rowOff>92880</xdr:rowOff>
    </xdr:to>
    <xdr:graphicFrame>
      <xdr:nvGraphicFramePr>
        <xdr:cNvPr id="0" name="Chart 1"/>
        <xdr:cNvGraphicFramePr/>
      </xdr:nvGraphicFramePr>
      <xdr:xfrm>
        <a:off x="266760" y="533412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26</xdr:row>
      <xdr:rowOff>70560</xdr:rowOff>
    </xdr:from>
    <xdr:to>
      <xdr:col>12</xdr:col>
      <xdr:colOff>763560</xdr:colOff>
      <xdr:row>41</xdr:row>
      <xdr:rowOff>92880</xdr:rowOff>
    </xdr:to>
    <xdr:graphicFrame>
      <xdr:nvGraphicFramePr>
        <xdr:cNvPr id="1" name="Chart 2"/>
        <xdr:cNvGraphicFramePr/>
      </xdr:nvGraphicFramePr>
      <xdr:xfrm>
        <a:off x="11201400" y="533412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8"/>
    <col collapsed="false" customWidth="true" hidden="false" outlineLevel="0" max="4" min="4" style="0" width="60"/>
  </cols>
  <sheetData>
    <row r="1" customFormat="false" ht="24.4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row>
    <row r="5" customFormat="false" ht="15" hidden="false" customHeight="false" outlineLevel="0" collapsed="false">
      <c r="B5" s="4" t="s">
        <v>3</v>
      </c>
      <c r="C5" s="5" t="s">
        <v>4</v>
      </c>
      <c r="D5" s="2" t="s">
        <v>5</v>
      </c>
    </row>
    <row r="6" customFormat="false" ht="15" hidden="false" customHeight="false" outlineLevel="0" collapsed="false">
      <c r="B6" s="4" t="s">
        <v>6</v>
      </c>
      <c r="C6" s="6" t="n">
        <v>2026</v>
      </c>
      <c r="D6" s="2" t="s">
        <v>7</v>
      </c>
    </row>
    <row r="7" customFormat="false" ht="15" hidden="false" customHeight="false" outlineLevel="0" collapsed="false">
      <c r="B7" s="4" t="s">
        <v>8</v>
      </c>
      <c r="C7" s="7" t="n">
        <v>3000</v>
      </c>
      <c r="D7" s="2" t="s">
        <v>9</v>
      </c>
    </row>
    <row r="8" customFormat="false" ht="15" hidden="false" customHeight="false" outlineLevel="0" collapsed="false">
      <c r="B8" s="4" t="s">
        <v>10</v>
      </c>
      <c r="C8" s="8" t="n">
        <v>0.12</v>
      </c>
      <c r="D8" s="2" t="s">
        <v>11</v>
      </c>
    </row>
    <row r="9" customFormat="false" ht="15" hidden="false" customHeight="false" outlineLevel="0" collapsed="false">
      <c r="B9" s="4" t="s">
        <v>12</v>
      </c>
      <c r="C9" s="8" t="n">
        <v>0.05</v>
      </c>
      <c r="D9" s="2" t="s">
        <v>13</v>
      </c>
    </row>
    <row r="10" customFormat="false" ht="15" hidden="false" customHeight="false" outlineLevel="0" collapsed="false">
      <c r="B10" s="4" t="s">
        <v>14</v>
      </c>
      <c r="C10" s="8" t="n">
        <v>0.153</v>
      </c>
      <c r="D10" s="2" t="s">
        <v>15</v>
      </c>
    </row>
    <row r="11" customFormat="false" ht="15" hidden="false" customHeight="false" outlineLevel="0" collapsed="false">
      <c r="B11" s="4" t="s">
        <v>16</v>
      </c>
      <c r="C11" s="8" t="n">
        <v>0.9235</v>
      </c>
      <c r="D11" s="2" t="s">
        <v>17</v>
      </c>
    </row>
    <row r="12" customFormat="false" ht="15" hidden="false" customHeight="false" outlineLevel="0" collapsed="false">
      <c r="B12" s="4" t="s">
        <v>18</v>
      </c>
      <c r="C12" s="9" t="n">
        <v>0.7</v>
      </c>
      <c r="D12" s="2" t="s">
        <v>19</v>
      </c>
    </row>
    <row r="15" customFormat="false" ht="15" hidden="false" customHeight="false" outlineLevel="0" collapsed="false">
      <c r="B15" s="3" t="s">
        <v>20</v>
      </c>
    </row>
    <row r="16" customFormat="false" ht="15" hidden="false" customHeight="false" outlineLevel="0" collapsed="false">
      <c r="B16" s="4" t="s">
        <v>21</v>
      </c>
    </row>
    <row r="17" customFormat="false" ht="15" hidden="false" customHeight="false" outlineLevel="0" collapsed="false">
      <c r="B17" s="4" t="s">
        <v>22</v>
      </c>
    </row>
    <row r="18" customFormat="false" ht="15" hidden="false" customHeight="false" outlineLevel="0" collapsed="false">
      <c r="B18" s="4" t="s">
        <v>23</v>
      </c>
    </row>
    <row r="19" customFormat="false" ht="15" hidden="false" customHeight="false" outlineLevel="0" collapsed="false">
      <c r="B19" s="4" t="s">
        <v>24</v>
      </c>
    </row>
    <row r="20" customFormat="false" ht="15" hidden="false" customHeight="false" outlineLevel="0" collapsed="false">
      <c r="B20" s="4" t="s">
        <v>25</v>
      </c>
    </row>
    <row r="21" customFormat="false" ht="15" hidden="false" customHeight="false" outlineLevel="0" collapsed="false">
      <c r="B21" s="4" t="s">
        <v>26</v>
      </c>
    </row>
    <row r="22" customFormat="false" ht="15" hidden="false" customHeight="false" outlineLevel="0" collapsed="false">
      <c r="B22" s="4" t="s">
        <v>27</v>
      </c>
    </row>
    <row r="23" customFormat="false" ht="15" hidden="false" customHeight="false" outlineLevel="0" collapsed="false">
      <c r="B23" s="4" t="s">
        <v>28</v>
      </c>
    </row>
    <row r="24" customFormat="false" ht="15" hidden="false" customHeight="false" outlineLevel="0" collapsed="false">
      <c r="B24" s="4" t="s">
        <v>29</v>
      </c>
    </row>
    <row r="27" customFormat="false" ht="15" hidden="false" customHeight="false" outlineLevel="0" collapsed="false">
      <c r="B27" s="10" t="s">
        <v>30</v>
      </c>
    </row>
    <row r="28" customFormat="false" ht="15" hidden="false" customHeight="true" outlineLevel="0" collapsed="false">
      <c r="B28" s="11" t="s">
        <v>31</v>
      </c>
      <c r="C28" s="11"/>
      <c r="D28" s="11"/>
    </row>
    <row r="29" customFormat="false" ht="15" hidden="false" customHeight="false" outlineLevel="0" collapsed="false">
      <c r="B29" s="11"/>
      <c r="C29" s="11"/>
      <c r="D29" s="11"/>
    </row>
    <row r="30" customFormat="false" ht="15" hidden="false" customHeight="false" outlineLevel="0" collapsed="false">
      <c r="B30" s="11"/>
      <c r="C30" s="11"/>
      <c r="D30" s="11"/>
    </row>
  </sheetData>
  <mergeCells count="1">
    <mergeCell ref="B28:D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8" min="3" style="0" width="15"/>
    <col collapsed="false" customWidth="true" hidden="false" outlineLevel="0" max="9" min="9" style="0" width="14"/>
    <col collapsed="false" customWidth="true" hidden="false" outlineLevel="0" max="10" min="10" style="0" width="3"/>
    <col collapsed="false" customWidth="true" hidden="false" outlineLevel="0" max="11" min="11" style="0" width="26"/>
    <col collapsed="false" customWidth="true" hidden="false" outlineLevel="0" max="12" min="12" style="0" width="14"/>
    <col collapsed="false" customWidth="true" hidden="false" outlineLevel="0" max="13" min="13" style="0" width="10"/>
  </cols>
  <sheetData>
    <row r="1" customFormat="false" ht="24.45" hidden="false" customHeight="false" outlineLevel="0" collapsed="false">
      <c r="A1" s="1" t="s">
        <v>32</v>
      </c>
    </row>
    <row r="2" customFormat="false" ht="15" hidden="false" customHeight="false" outlineLevel="0" collapsed="false">
      <c r="A2" s="2"/>
      <c r="B2" s="12" t="str">
        <f aca="false">'Start Here'!$C$5&amp;" · "&amp;'Start Here'!$C$6&amp;" overview"</f>
        <v>My Side Hustle · 2026 overview</v>
      </c>
    </row>
    <row r="4" customFormat="false" ht="15" hidden="false" customHeight="false" outlineLevel="0" collapsed="false">
      <c r="B4" s="13" t="s">
        <v>33</v>
      </c>
      <c r="C4" s="13"/>
      <c r="D4" s="13" t="s">
        <v>34</v>
      </c>
      <c r="E4" s="13"/>
      <c r="F4" s="13" t="s">
        <v>35</v>
      </c>
      <c r="G4" s="13"/>
      <c r="H4" s="13" t="s">
        <v>36</v>
      </c>
      <c r="I4" s="13"/>
    </row>
    <row r="5" customFormat="false" ht="15" hidden="false" customHeight="false" outlineLevel="0" collapsed="false">
      <c r="B5" s="14" t="n">
        <f aca="false">C25</f>
        <v>450</v>
      </c>
      <c r="C5" s="14"/>
      <c r="D5" s="14" t="n">
        <f aca="false">D25</f>
        <v>59.99</v>
      </c>
      <c r="E5" s="14"/>
      <c r="F5" s="14" t="n">
        <f aca="false">G25</f>
        <v>112.869496302225</v>
      </c>
      <c r="G5" s="14"/>
      <c r="H5" s="14" t="n">
        <f aca="false">H25</f>
        <v>277.140503697775</v>
      </c>
      <c r="I5" s="14"/>
    </row>
    <row r="6" customFormat="false" ht="15" hidden="false" customHeight="false" outlineLevel="0" collapsed="false">
      <c r="B6" s="14"/>
      <c r="C6" s="14"/>
      <c r="D6" s="14"/>
      <c r="E6" s="14"/>
      <c r="F6" s="14"/>
      <c r="G6" s="14"/>
      <c r="H6" s="14"/>
      <c r="I6" s="14"/>
    </row>
    <row r="8" customFormat="false" ht="15" hidden="false" customHeight="false" outlineLevel="0" collapsed="false">
      <c r="B8" s="15" t="s">
        <v>37</v>
      </c>
      <c r="D8" s="16" t="n">
        <f aca="false">I25</f>
        <v>0.0125</v>
      </c>
      <c r="E8" s="2" t="str">
        <f aca="false">"of "&amp;TEXT('Start Here'!$C$7*12,"$#,##0")&amp;" goal"</f>
        <v>of $36,000 goal</v>
      </c>
      <c r="G8" s="15" t="s">
        <v>38</v>
      </c>
      <c r="H8" s="16" t="n">
        <f aca="false">IF(C25&gt;0,(C25-D25)/C25,0)</f>
        <v>0.866688888888889</v>
      </c>
    </row>
    <row r="11" customFormat="false" ht="15" hidden="false" customHeight="false" outlineLevel="0" collapsed="false">
      <c r="B11" s="3" t="s">
        <v>39</v>
      </c>
      <c r="K11" s="3" t="s">
        <v>40</v>
      </c>
    </row>
    <row r="12" customFormat="false" ht="30" hidden="false" customHeight="true" outlineLevel="0" collapsed="false">
      <c r="B12" s="17" t="s">
        <v>41</v>
      </c>
      <c r="C12" s="17" t="s">
        <v>42</v>
      </c>
      <c r="D12" s="17" t="s">
        <v>43</v>
      </c>
      <c r="E12" s="17" t="s">
        <v>44</v>
      </c>
      <c r="F12" s="17" t="s">
        <v>45</v>
      </c>
      <c r="G12" s="17" t="s">
        <v>46</v>
      </c>
      <c r="H12" s="17" t="s">
        <v>47</v>
      </c>
      <c r="I12" s="17" t="s">
        <v>48</v>
      </c>
      <c r="K12" s="18" t="s">
        <v>49</v>
      </c>
      <c r="L12" s="18" t="s">
        <v>50</v>
      </c>
      <c r="M12" s="18" t="s">
        <v>51</v>
      </c>
    </row>
    <row r="13" customFormat="false" ht="15" hidden="false" customHeight="false" outlineLevel="0" collapsed="false">
      <c r="B13" s="19" t="s">
        <v>52</v>
      </c>
      <c r="C13" s="19" t="n">
        <f aca="false">SUMIFS(Income!$E$5:$E$504,Income!$A$5:$A$504,"&gt;="&amp;DATE('Start Here'!$C$6,1,1),Income!$A$5:$A$504,"&lt;"&amp;DATE('Start Here'!$C$6,1+1,1))</f>
        <v>450</v>
      </c>
      <c r="D13" s="19" t="n">
        <f aca="false">SUMIFS(Expenses!$E$5:$E$504,Expenses!$A$5:$A$504,"&gt;="&amp;DATE('Start Here'!$C$6,1,1),Expenses!$A$5:$A$504,"&lt;"&amp;DATE('Start Here'!$C$6,1+1,1))</f>
        <v>59.99</v>
      </c>
      <c r="E13" s="19" t="n">
        <f aca="false">SUMIFS(Expenses!$G$5:$G$504,Expenses!$A$5:$A$504,"&gt;="&amp;DATE('Start Here'!$C$6,1,1),Expenses!$A$5:$A$504,"&lt;"&amp;DATE('Start Here'!$C$6,1+1,1))+SUMIFS(Mileage!$F$5:$F$504,Mileage!$A$5:$A$504,"&gt;="&amp;DATE('Start Here'!$C$6,1,1),Mileage!$A$5:$A$504,"&lt;"&amp;DATE('Start Here'!$C$6,1+1,1))</f>
        <v>72.87</v>
      </c>
      <c r="F13" s="19" t="n">
        <f aca="false">C13-E13</f>
        <v>377.13</v>
      </c>
      <c r="G13" s="19" t="n">
        <f aca="false">MAX(0,F13)*'Tax Estimate'!$C$18</f>
        <v>112.869496302225</v>
      </c>
      <c r="H13" s="19" t="n">
        <f aca="false">C13-D13-G13</f>
        <v>277.140503697775</v>
      </c>
      <c r="I13" s="20" t="n">
        <f aca="false">IF('Start Here'!$C$7&gt;0,C13/'Start Here'!$C$7,0)</f>
        <v>0.15</v>
      </c>
      <c r="K13" s="21" t="str">
        <f aca="false">IF(Lists!$C$5="","",Lists!$C$5)</f>
        <v>Advertising</v>
      </c>
      <c r="L13" s="19" t="n">
        <f aca="false">IF(K13="","",SUMIFS(Expenses!$E$5:$E$504,Expenses!$D$5:$D$504,K13,Expenses!$A$5:$A$504,"&gt;="&amp;DATE('Start Here'!$C$6,1,1),Expenses!$A$5:$A$504,"&lt;"&amp;DATE('Start Here'!$C$6+1,1,1)))</f>
        <v>0</v>
      </c>
      <c r="M13" s="20" t="n">
        <f aca="false">IF(OR(K13="",$D$25=0),"",L13/$D$25)</f>
        <v>0</v>
      </c>
    </row>
    <row r="14" customFormat="false" ht="15" hidden="false" customHeight="false" outlineLevel="0" collapsed="false">
      <c r="B14" s="19" t="s">
        <v>53</v>
      </c>
      <c r="C14" s="19" t="n">
        <f aca="false">SUMIFS(Income!$E$5:$E$504,Income!$A$5:$A$504,"&gt;="&amp;DATE('Start Here'!$C$6,2,1),Income!$A$5:$A$504,"&lt;"&amp;DATE('Start Here'!$C$6,2+1,1))</f>
        <v>0</v>
      </c>
      <c r="D14" s="19" t="n">
        <f aca="false">SUMIFS(Expenses!$E$5:$E$504,Expenses!$A$5:$A$504,"&gt;="&amp;DATE('Start Here'!$C$6,2,1),Expenses!$A$5:$A$504,"&lt;"&amp;DATE('Start Here'!$C$6,2+1,1))</f>
        <v>0</v>
      </c>
      <c r="E14" s="19" t="n">
        <f aca="false">SUMIFS(Expenses!$G$5:$G$504,Expenses!$A$5:$A$504,"&gt;="&amp;DATE('Start Here'!$C$6,2,1),Expenses!$A$5:$A$504,"&lt;"&amp;DATE('Start Here'!$C$6,2+1,1))+SUMIFS(Mileage!$F$5:$F$504,Mileage!$A$5:$A$504,"&gt;="&amp;DATE('Start Here'!$C$6,2,1),Mileage!$A$5:$A$504,"&lt;"&amp;DATE('Start Here'!$C$6,2+1,1))</f>
        <v>0</v>
      </c>
      <c r="F14" s="19" t="n">
        <f aca="false">C14-E14</f>
        <v>0</v>
      </c>
      <c r="G14" s="19" t="n">
        <f aca="false">MAX(0,F14)*'Tax Estimate'!$C$18</f>
        <v>0</v>
      </c>
      <c r="H14" s="19" t="n">
        <f aca="false">C14-D14-G14</f>
        <v>0</v>
      </c>
      <c r="I14" s="20" t="n">
        <f aca="false">IF('Start Here'!$C$7&gt;0,C14/'Start Here'!$C$7,0)</f>
        <v>0</v>
      </c>
      <c r="K14" s="21" t="str">
        <f aca="false">IF(Lists!$C$6="","",Lists!$C$6)</f>
        <v>Software &amp; subscriptions</v>
      </c>
      <c r="L14" s="19" t="n">
        <f aca="false">IF(K14="","",SUMIFS(Expenses!$E$5:$E$504,Expenses!$D$5:$D$504,K14,Expenses!$A$5:$A$504,"&gt;="&amp;DATE('Start Here'!$C$6,1,1),Expenses!$A$5:$A$504,"&lt;"&amp;DATE('Start Here'!$C$6+1,1,1)))</f>
        <v>59.99</v>
      </c>
      <c r="M14" s="20" t="n">
        <f aca="false">IF(OR(K14="",$D$25=0),"",L14/$D$25)</f>
        <v>1</v>
      </c>
    </row>
    <row r="15" customFormat="false" ht="15" hidden="false" customHeight="false" outlineLevel="0" collapsed="false">
      <c r="B15" s="19" t="s">
        <v>54</v>
      </c>
      <c r="C15" s="19" t="n">
        <f aca="false">SUMIFS(Income!$E$5:$E$504,Income!$A$5:$A$504,"&gt;="&amp;DATE('Start Here'!$C$6,3,1),Income!$A$5:$A$504,"&lt;"&amp;DATE('Start Here'!$C$6,3+1,1))</f>
        <v>0</v>
      </c>
      <c r="D15" s="19" t="n">
        <f aca="false">SUMIFS(Expenses!$E$5:$E$504,Expenses!$A$5:$A$504,"&gt;="&amp;DATE('Start Here'!$C$6,3,1),Expenses!$A$5:$A$504,"&lt;"&amp;DATE('Start Here'!$C$6,3+1,1))</f>
        <v>0</v>
      </c>
      <c r="E15" s="19" t="n">
        <f aca="false">SUMIFS(Expenses!$G$5:$G$504,Expenses!$A$5:$A$504,"&gt;="&amp;DATE('Start Here'!$C$6,3,1),Expenses!$A$5:$A$504,"&lt;"&amp;DATE('Start Here'!$C$6,3+1,1))+SUMIFS(Mileage!$F$5:$F$504,Mileage!$A$5:$A$504,"&gt;="&amp;DATE('Start Here'!$C$6,3,1),Mileage!$A$5:$A$504,"&lt;"&amp;DATE('Start Here'!$C$6,3+1,1))</f>
        <v>0</v>
      </c>
      <c r="F15" s="19" t="n">
        <f aca="false">C15-E15</f>
        <v>0</v>
      </c>
      <c r="G15" s="19" t="n">
        <f aca="false">MAX(0,F15)*'Tax Estimate'!$C$18</f>
        <v>0</v>
      </c>
      <c r="H15" s="19" t="n">
        <f aca="false">C15-D15-G15</f>
        <v>0</v>
      </c>
      <c r="I15" s="20" t="n">
        <f aca="false">IF('Start Here'!$C$7&gt;0,C15/'Start Here'!$C$7,0)</f>
        <v>0</v>
      </c>
      <c r="K15" s="21" t="str">
        <f aca="false">IF(Lists!$C$7="","",Lists!$C$7)</f>
        <v>Supplies &amp; materials</v>
      </c>
      <c r="L15" s="19" t="n">
        <f aca="false">IF(K15="","",SUMIFS(Expenses!$E$5:$E$504,Expenses!$D$5:$D$504,K15,Expenses!$A$5:$A$504,"&gt;="&amp;DATE('Start Here'!$C$6,1,1),Expenses!$A$5:$A$504,"&lt;"&amp;DATE('Start Here'!$C$6+1,1,1)))</f>
        <v>0</v>
      </c>
      <c r="M15" s="20" t="n">
        <f aca="false">IF(OR(K15="",$D$25=0),"",L15/$D$25)</f>
        <v>0</v>
      </c>
    </row>
    <row r="16" customFormat="false" ht="15" hidden="false" customHeight="false" outlineLevel="0" collapsed="false">
      <c r="B16" s="19" t="s">
        <v>55</v>
      </c>
      <c r="C16" s="19" t="n">
        <f aca="false">SUMIFS(Income!$E$5:$E$504,Income!$A$5:$A$504,"&gt;="&amp;DATE('Start Here'!$C$6,4,1),Income!$A$5:$A$504,"&lt;"&amp;DATE('Start Here'!$C$6,4+1,1))</f>
        <v>0</v>
      </c>
      <c r="D16" s="19" t="n">
        <f aca="false">SUMIFS(Expenses!$E$5:$E$504,Expenses!$A$5:$A$504,"&gt;="&amp;DATE('Start Here'!$C$6,4,1),Expenses!$A$5:$A$504,"&lt;"&amp;DATE('Start Here'!$C$6,4+1,1))</f>
        <v>0</v>
      </c>
      <c r="E16" s="19" t="n">
        <f aca="false">SUMIFS(Expenses!$G$5:$G$504,Expenses!$A$5:$A$504,"&gt;="&amp;DATE('Start Here'!$C$6,4,1),Expenses!$A$5:$A$504,"&lt;"&amp;DATE('Start Here'!$C$6,4+1,1))+SUMIFS(Mileage!$F$5:$F$504,Mileage!$A$5:$A$504,"&gt;="&amp;DATE('Start Here'!$C$6,4,1),Mileage!$A$5:$A$504,"&lt;"&amp;DATE('Start Here'!$C$6,4+1,1))</f>
        <v>0</v>
      </c>
      <c r="F16" s="19" t="n">
        <f aca="false">C16-E16</f>
        <v>0</v>
      </c>
      <c r="G16" s="19" t="n">
        <f aca="false">MAX(0,F16)*'Tax Estimate'!$C$18</f>
        <v>0</v>
      </c>
      <c r="H16" s="19" t="n">
        <f aca="false">C16-D16-G16</f>
        <v>0</v>
      </c>
      <c r="I16" s="20" t="n">
        <f aca="false">IF('Start Here'!$C$7&gt;0,C16/'Start Here'!$C$7,0)</f>
        <v>0</v>
      </c>
      <c r="K16" s="21" t="str">
        <f aca="false">IF(Lists!$C$8="","",Lists!$C$8)</f>
        <v>Equipment</v>
      </c>
      <c r="L16" s="19" t="n">
        <f aca="false">IF(K16="","",SUMIFS(Expenses!$E$5:$E$504,Expenses!$D$5:$D$504,K16,Expenses!$A$5:$A$504,"&gt;="&amp;DATE('Start Here'!$C$6,1,1),Expenses!$A$5:$A$504,"&lt;"&amp;DATE('Start Here'!$C$6+1,1,1)))</f>
        <v>0</v>
      </c>
      <c r="M16" s="20" t="n">
        <f aca="false">IF(OR(K16="",$D$25=0),"",L16/$D$25)</f>
        <v>0</v>
      </c>
    </row>
    <row r="17" customFormat="false" ht="15" hidden="false" customHeight="false" outlineLevel="0" collapsed="false">
      <c r="B17" s="19" t="s">
        <v>56</v>
      </c>
      <c r="C17" s="19" t="n">
        <f aca="false">SUMIFS(Income!$E$5:$E$504,Income!$A$5:$A$504,"&gt;="&amp;DATE('Start Here'!$C$6,5,1),Income!$A$5:$A$504,"&lt;"&amp;DATE('Start Here'!$C$6,5+1,1))</f>
        <v>0</v>
      </c>
      <c r="D17" s="19" t="n">
        <f aca="false">SUMIFS(Expenses!$E$5:$E$504,Expenses!$A$5:$A$504,"&gt;="&amp;DATE('Start Here'!$C$6,5,1),Expenses!$A$5:$A$504,"&lt;"&amp;DATE('Start Here'!$C$6,5+1,1))</f>
        <v>0</v>
      </c>
      <c r="E17" s="19" t="n">
        <f aca="false">SUMIFS(Expenses!$G$5:$G$504,Expenses!$A$5:$A$504,"&gt;="&amp;DATE('Start Here'!$C$6,5,1),Expenses!$A$5:$A$504,"&lt;"&amp;DATE('Start Here'!$C$6,5+1,1))+SUMIFS(Mileage!$F$5:$F$504,Mileage!$A$5:$A$504,"&gt;="&amp;DATE('Start Here'!$C$6,5,1),Mileage!$A$5:$A$504,"&lt;"&amp;DATE('Start Here'!$C$6,5+1,1))</f>
        <v>0</v>
      </c>
      <c r="F17" s="19" t="n">
        <f aca="false">C17-E17</f>
        <v>0</v>
      </c>
      <c r="G17" s="19" t="n">
        <f aca="false">MAX(0,F17)*'Tax Estimate'!$C$18</f>
        <v>0</v>
      </c>
      <c r="H17" s="19" t="n">
        <f aca="false">C17-D17-G17</f>
        <v>0</v>
      </c>
      <c r="I17" s="20" t="n">
        <f aca="false">IF('Start Here'!$C$7&gt;0,C17/'Start Here'!$C$7,0)</f>
        <v>0</v>
      </c>
      <c r="K17" s="21" t="str">
        <f aca="false">IF(Lists!$C$9="","",Lists!$C$9)</f>
        <v>Phone &amp; internet</v>
      </c>
      <c r="L17" s="19" t="n">
        <f aca="false">IF(K17="","",SUMIFS(Expenses!$E$5:$E$504,Expenses!$D$5:$D$504,K17,Expenses!$A$5:$A$504,"&gt;="&amp;DATE('Start Here'!$C$6,1,1),Expenses!$A$5:$A$504,"&lt;"&amp;DATE('Start Here'!$C$6+1,1,1)))</f>
        <v>0</v>
      </c>
      <c r="M17" s="20" t="n">
        <f aca="false">IF(OR(K17="",$D$25=0),"",L17/$D$25)</f>
        <v>0</v>
      </c>
    </row>
    <row r="18" customFormat="false" ht="15" hidden="false" customHeight="false" outlineLevel="0" collapsed="false">
      <c r="B18" s="19" t="s">
        <v>57</v>
      </c>
      <c r="C18" s="19" t="n">
        <f aca="false">SUMIFS(Income!$E$5:$E$504,Income!$A$5:$A$504,"&gt;="&amp;DATE('Start Here'!$C$6,6,1),Income!$A$5:$A$504,"&lt;"&amp;DATE('Start Here'!$C$6,6+1,1))</f>
        <v>0</v>
      </c>
      <c r="D18" s="19" t="n">
        <f aca="false">SUMIFS(Expenses!$E$5:$E$504,Expenses!$A$5:$A$504,"&gt;="&amp;DATE('Start Here'!$C$6,6,1),Expenses!$A$5:$A$504,"&lt;"&amp;DATE('Start Here'!$C$6,6+1,1))</f>
        <v>0</v>
      </c>
      <c r="E18" s="19" t="n">
        <f aca="false">SUMIFS(Expenses!$G$5:$G$504,Expenses!$A$5:$A$504,"&gt;="&amp;DATE('Start Here'!$C$6,6,1),Expenses!$A$5:$A$504,"&lt;"&amp;DATE('Start Here'!$C$6,6+1,1))+SUMIFS(Mileage!$F$5:$F$504,Mileage!$A$5:$A$504,"&gt;="&amp;DATE('Start Here'!$C$6,6,1),Mileage!$A$5:$A$504,"&lt;"&amp;DATE('Start Here'!$C$6,6+1,1))</f>
        <v>0</v>
      </c>
      <c r="F18" s="19" t="n">
        <f aca="false">C18-E18</f>
        <v>0</v>
      </c>
      <c r="G18" s="19" t="n">
        <f aca="false">MAX(0,F18)*'Tax Estimate'!$C$18</f>
        <v>0</v>
      </c>
      <c r="H18" s="19" t="n">
        <f aca="false">C18-D18-G18</f>
        <v>0</v>
      </c>
      <c r="I18" s="20" t="n">
        <f aca="false">IF('Start Here'!$C$7&gt;0,C18/'Start Here'!$C$7,0)</f>
        <v>0</v>
      </c>
      <c r="K18" s="21" t="str">
        <f aca="false">IF(Lists!$C$10="","",Lists!$C$10)</f>
        <v>Home office</v>
      </c>
      <c r="L18" s="19" t="n">
        <f aca="false">IF(K18="","",SUMIFS(Expenses!$E$5:$E$504,Expenses!$D$5:$D$504,K18,Expenses!$A$5:$A$504,"&gt;="&amp;DATE('Start Here'!$C$6,1,1),Expenses!$A$5:$A$504,"&lt;"&amp;DATE('Start Here'!$C$6+1,1,1)))</f>
        <v>0</v>
      </c>
      <c r="M18" s="20" t="n">
        <f aca="false">IF(OR(K18="",$D$25=0),"",L18/$D$25)</f>
        <v>0</v>
      </c>
    </row>
    <row r="19" customFormat="false" ht="15" hidden="false" customHeight="false" outlineLevel="0" collapsed="false">
      <c r="B19" s="19" t="s">
        <v>58</v>
      </c>
      <c r="C19" s="19" t="n">
        <f aca="false">SUMIFS(Income!$E$5:$E$504,Income!$A$5:$A$504,"&gt;="&amp;DATE('Start Here'!$C$6,7,1),Income!$A$5:$A$504,"&lt;"&amp;DATE('Start Here'!$C$6,7+1,1))</f>
        <v>0</v>
      </c>
      <c r="D19" s="19" t="n">
        <f aca="false">SUMIFS(Expenses!$E$5:$E$504,Expenses!$A$5:$A$504,"&gt;="&amp;DATE('Start Here'!$C$6,7,1),Expenses!$A$5:$A$504,"&lt;"&amp;DATE('Start Here'!$C$6,7+1,1))</f>
        <v>0</v>
      </c>
      <c r="E19" s="19" t="n">
        <f aca="false">SUMIFS(Expenses!$G$5:$G$504,Expenses!$A$5:$A$504,"&gt;="&amp;DATE('Start Here'!$C$6,7,1),Expenses!$A$5:$A$504,"&lt;"&amp;DATE('Start Here'!$C$6,7+1,1))+SUMIFS(Mileage!$F$5:$F$504,Mileage!$A$5:$A$504,"&gt;="&amp;DATE('Start Here'!$C$6,7,1),Mileage!$A$5:$A$504,"&lt;"&amp;DATE('Start Here'!$C$6,7+1,1))</f>
        <v>0</v>
      </c>
      <c r="F19" s="19" t="n">
        <f aca="false">C19-E19</f>
        <v>0</v>
      </c>
      <c r="G19" s="19" t="n">
        <f aca="false">MAX(0,F19)*'Tax Estimate'!$C$18</f>
        <v>0</v>
      </c>
      <c r="H19" s="19" t="n">
        <f aca="false">C19-D19-G19</f>
        <v>0</v>
      </c>
      <c r="I19" s="20" t="n">
        <f aca="false">IF('Start Here'!$C$7&gt;0,C19/'Start Here'!$C$7,0)</f>
        <v>0</v>
      </c>
      <c r="K19" s="21" t="str">
        <f aca="false">IF(Lists!$C$11="","",Lists!$C$11)</f>
        <v>Platform &amp; payment fees</v>
      </c>
      <c r="L19" s="19" t="n">
        <f aca="false">IF(K19="","",SUMIFS(Expenses!$E$5:$E$504,Expenses!$D$5:$D$504,K19,Expenses!$A$5:$A$504,"&gt;="&amp;DATE('Start Here'!$C$6,1,1),Expenses!$A$5:$A$504,"&lt;"&amp;DATE('Start Here'!$C$6+1,1,1)))</f>
        <v>0</v>
      </c>
      <c r="M19" s="20" t="n">
        <f aca="false">IF(OR(K19="",$D$25=0),"",L19/$D$25)</f>
        <v>0</v>
      </c>
    </row>
    <row r="20" customFormat="false" ht="15" hidden="false" customHeight="false" outlineLevel="0" collapsed="false">
      <c r="B20" s="19" t="s">
        <v>59</v>
      </c>
      <c r="C20" s="19" t="n">
        <f aca="false">SUMIFS(Income!$E$5:$E$504,Income!$A$5:$A$504,"&gt;="&amp;DATE('Start Here'!$C$6,8,1),Income!$A$5:$A$504,"&lt;"&amp;DATE('Start Here'!$C$6,8+1,1))</f>
        <v>0</v>
      </c>
      <c r="D20" s="19" t="n">
        <f aca="false">SUMIFS(Expenses!$E$5:$E$504,Expenses!$A$5:$A$504,"&gt;="&amp;DATE('Start Here'!$C$6,8,1),Expenses!$A$5:$A$504,"&lt;"&amp;DATE('Start Here'!$C$6,8+1,1))</f>
        <v>0</v>
      </c>
      <c r="E20" s="19" t="n">
        <f aca="false">SUMIFS(Expenses!$G$5:$G$504,Expenses!$A$5:$A$504,"&gt;="&amp;DATE('Start Here'!$C$6,8,1),Expenses!$A$5:$A$504,"&lt;"&amp;DATE('Start Here'!$C$6,8+1,1))+SUMIFS(Mileage!$F$5:$F$504,Mileage!$A$5:$A$504,"&gt;="&amp;DATE('Start Here'!$C$6,8,1),Mileage!$A$5:$A$504,"&lt;"&amp;DATE('Start Here'!$C$6,8+1,1))</f>
        <v>0</v>
      </c>
      <c r="F20" s="19" t="n">
        <f aca="false">C20-E20</f>
        <v>0</v>
      </c>
      <c r="G20" s="19" t="n">
        <f aca="false">MAX(0,F20)*'Tax Estimate'!$C$18</f>
        <v>0</v>
      </c>
      <c r="H20" s="19" t="n">
        <f aca="false">C20-D20-G20</f>
        <v>0</v>
      </c>
      <c r="I20" s="20" t="n">
        <f aca="false">IF('Start Here'!$C$7&gt;0,C20/'Start Here'!$C$7,0)</f>
        <v>0</v>
      </c>
      <c r="K20" s="21" t="str">
        <f aca="false">IF(Lists!$C$12="","",Lists!$C$12)</f>
        <v>Shipping</v>
      </c>
      <c r="L20" s="19" t="n">
        <f aca="false">IF(K20="","",SUMIFS(Expenses!$E$5:$E$504,Expenses!$D$5:$D$504,K20,Expenses!$A$5:$A$504,"&gt;="&amp;DATE('Start Here'!$C$6,1,1),Expenses!$A$5:$A$504,"&lt;"&amp;DATE('Start Here'!$C$6+1,1,1)))</f>
        <v>0</v>
      </c>
      <c r="M20" s="20" t="n">
        <f aca="false">IF(OR(K20="",$D$25=0),"",L20/$D$25)</f>
        <v>0</v>
      </c>
    </row>
    <row r="21" customFormat="false" ht="15" hidden="false" customHeight="false" outlineLevel="0" collapsed="false">
      <c r="B21" s="19" t="s">
        <v>60</v>
      </c>
      <c r="C21" s="19" t="n">
        <f aca="false">SUMIFS(Income!$E$5:$E$504,Income!$A$5:$A$504,"&gt;="&amp;DATE('Start Here'!$C$6,9,1),Income!$A$5:$A$504,"&lt;"&amp;DATE('Start Here'!$C$6,9+1,1))</f>
        <v>0</v>
      </c>
      <c r="D21" s="19" t="n">
        <f aca="false">SUMIFS(Expenses!$E$5:$E$504,Expenses!$A$5:$A$504,"&gt;="&amp;DATE('Start Here'!$C$6,9,1),Expenses!$A$5:$A$504,"&lt;"&amp;DATE('Start Here'!$C$6,9+1,1))</f>
        <v>0</v>
      </c>
      <c r="E21" s="19" t="n">
        <f aca="false">SUMIFS(Expenses!$G$5:$G$504,Expenses!$A$5:$A$504,"&gt;="&amp;DATE('Start Here'!$C$6,9,1),Expenses!$A$5:$A$504,"&lt;"&amp;DATE('Start Here'!$C$6,9+1,1))+SUMIFS(Mileage!$F$5:$F$504,Mileage!$A$5:$A$504,"&gt;="&amp;DATE('Start Here'!$C$6,9,1),Mileage!$A$5:$A$504,"&lt;"&amp;DATE('Start Here'!$C$6,9+1,1))</f>
        <v>0</v>
      </c>
      <c r="F21" s="19" t="n">
        <f aca="false">C21-E21</f>
        <v>0</v>
      </c>
      <c r="G21" s="19" t="n">
        <f aca="false">MAX(0,F21)*'Tax Estimate'!$C$18</f>
        <v>0</v>
      </c>
      <c r="H21" s="19" t="n">
        <f aca="false">C21-D21-G21</f>
        <v>0</v>
      </c>
      <c r="I21" s="20" t="n">
        <f aca="false">IF('Start Here'!$C$7&gt;0,C21/'Start Here'!$C$7,0)</f>
        <v>0</v>
      </c>
      <c r="K21" s="21" t="str">
        <f aca="false">IF(Lists!$C$13="","",Lists!$C$13)</f>
        <v>Education &amp; training</v>
      </c>
      <c r="L21" s="19" t="n">
        <f aca="false">IF(K21="","",SUMIFS(Expenses!$E$5:$E$504,Expenses!$D$5:$D$504,K21,Expenses!$A$5:$A$504,"&gt;="&amp;DATE('Start Here'!$C$6,1,1),Expenses!$A$5:$A$504,"&lt;"&amp;DATE('Start Here'!$C$6+1,1,1)))</f>
        <v>0</v>
      </c>
      <c r="M21" s="20" t="n">
        <f aca="false">IF(OR(K21="",$D$25=0),"",L21/$D$25)</f>
        <v>0</v>
      </c>
    </row>
    <row r="22" customFormat="false" ht="15" hidden="false" customHeight="false" outlineLevel="0" collapsed="false">
      <c r="B22" s="19" t="s">
        <v>61</v>
      </c>
      <c r="C22" s="19" t="n">
        <f aca="false">SUMIFS(Income!$E$5:$E$504,Income!$A$5:$A$504,"&gt;="&amp;DATE('Start Here'!$C$6,10,1),Income!$A$5:$A$504,"&lt;"&amp;DATE('Start Here'!$C$6,10+1,1))</f>
        <v>0</v>
      </c>
      <c r="D22" s="19" t="n">
        <f aca="false">SUMIFS(Expenses!$E$5:$E$504,Expenses!$A$5:$A$504,"&gt;="&amp;DATE('Start Here'!$C$6,10,1),Expenses!$A$5:$A$504,"&lt;"&amp;DATE('Start Here'!$C$6,10+1,1))</f>
        <v>0</v>
      </c>
      <c r="E22" s="19" t="n">
        <f aca="false">SUMIFS(Expenses!$G$5:$G$504,Expenses!$A$5:$A$504,"&gt;="&amp;DATE('Start Here'!$C$6,10,1),Expenses!$A$5:$A$504,"&lt;"&amp;DATE('Start Here'!$C$6,10+1,1))+SUMIFS(Mileage!$F$5:$F$504,Mileage!$A$5:$A$504,"&gt;="&amp;DATE('Start Here'!$C$6,10,1),Mileage!$A$5:$A$504,"&lt;"&amp;DATE('Start Here'!$C$6,10+1,1))</f>
        <v>0</v>
      </c>
      <c r="F22" s="19" t="n">
        <f aca="false">C22-E22</f>
        <v>0</v>
      </c>
      <c r="G22" s="19" t="n">
        <f aca="false">MAX(0,F22)*'Tax Estimate'!$C$18</f>
        <v>0</v>
      </c>
      <c r="H22" s="19" t="n">
        <f aca="false">C22-D22-G22</f>
        <v>0</v>
      </c>
      <c r="I22" s="20" t="n">
        <f aca="false">IF('Start Here'!$C$7&gt;0,C22/'Start Here'!$C$7,0)</f>
        <v>0</v>
      </c>
      <c r="K22" s="21" t="str">
        <f aca="false">IF(Lists!$C$14="","",Lists!$C$14)</f>
        <v>Travel</v>
      </c>
      <c r="L22" s="19" t="n">
        <f aca="false">IF(K22="","",SUMIFS(Expenses!$E$5:$E$504,Expenses!$D$5:$D$504,K22,Expenses!$A$5:$A$504,"&gt;="&amp;DATE('Start Here'!$C$6,1,1),Expenses!$A$5:$A$504,"&lt;"&amp;DATE('Start Here'!$C$6+1,1,1)))</f>
        <v>0</v>
      </c>
      <c r="M22" s="20" t="n">
        <f aca="false">IF(OR(K22="",$D$25=0),"",L22/$D$25)</f>
        <v>0</v>
      </c>
    </row>
    <row r="23" customFormat="false" ht="15" hidden="false" customHeight="false" outlineLevel="0" collapsed="false">
      <c r="B23" s="19" t="s">
        <v>62</v>
      </c>
      <c r="C23" s="19" t="n">
        <f aca="false">SUMIFS(Income!$E$5:$E$504,Income!$A$5:$A$504,"&gt;="&amp;DATE('Start Here'!$C$6,11,1),Income!$A$5:$A$504,"&lt;"&amp;DATE('Start Here'!$C$6,11+1,1))</f>
        <v>0</v>
      </c>
      <c r="D23" s="19" t="n">
        <f aca="false">SUMIFS(Expenses!$E$5:$E$504,Expenses!$A$5:$A$504,"&gt;="&amp;DATE('Start Here'!$C$6,11,1),Expenses!$A$5:$A$504,"&lt;"&amp;DATE('Start Here'!$C$6,11+1,1))</f>
        <v>0</v>
      </c>
      <c r="E23" s="19" t="n">
        <f aca="false">SUMIFS(Expenses!$G$5:$G$504,Expenses!$A$5:$A$504,"&gt;="&amp;DATE('Start Here'!$C$6,11,1),Expenses!$A$5:$A$504,"&lt;"&amp;DATE('Start Here'!$C$6,11+1,1))+SUMIFS(Mileage!$F$5:$F$504,Mileage!$A$5:$A$504,"&gt;="&amp;DATE('Start Here'!$C$6,11,1),Mileage!$A$5:$A$504,"&lt;"&amp;DATE('Start Here'!$C$6,11+1,1))</f>
        <v>0</v>
      </c>
      <c r="F23" s="19" t="n">
        <f aca="false">C23-E23</f>
        <v>0</v>
      </c>
      <c r="G23" s="19" t="n">
        <f aca="false">MAX(0,F23)*'Tax Estimate'!$C$18</f>
        <v>0</v>
      </c>
      <c r="H23" s="19" t="n">
        <f aca="false">C23-D23-G23</f>
        <v>0</v>
      </c>
      <c r="I23" s="20" t="n">
        <f aca="false">IF('Start Here'!$C$7&gt;0,C23/'Start Here'!$C$7,0)</f>
        <v>0</v>
      </c>
      <c r="K23" s="21" t="str">
        <f aca="false">IF(Lists!$C$15="","",Lists!$C$15)</f>
        <v>Meals (business)</v>
      </c>
      <c r="L23" s="19" t="n">
        <f aca="false">IF(K23="","",SUMIFS(Expenses!$E$5:$E$504,Expenses!$D$5:$D$504,K23,Expenses!$A$5:$A$504,"&gt;="&amp;DATE('Start Here'!$C$6,1,1),Expenses!$A$5:$A$504,"&lt;"&amp;DATE('Start Here'!$C$6+1,1,1)))</f>
        <v>0</v>
      </c>
      <c r="M23" s="20" t="n">
        <f aca="false">IF(OR(K23="",$D$25=0),"",L23/$D$25)</f>
        <v>0</v>
      </c>
    </row>
    <row r="24" customFormat="false" ht="15" hidden="false" customHeight="false" outlineLevel="0" collapsed="false">
      <c r="B24" s="19" t="s">
        <v>63</v>
      </c>
      <c r="C24" s="19" t="n">
        <f aca="false">SUMIFS(Income!$E$5:$E$504,Income!$A$5:$A$504,"&gt;="&amp;DATE('Start Here'!$C$6,12,1),Income!$A$5:$A$504,"&lt;"&amp;DATE('Start Here'!$C$6,12+1,1))</f>
        <v>0</v>
      </c>
      <c r="D24" s="19" t="n">
        <f aca="false">SUMIFS(Expenses!$E$5:$E$504,Expenses!$A$5:$A$504,"&gt;="&amp;DATE('Start Here'!$C$6,12,1),Expenses!$A$5:$A$504,"&lt;"&amp;DATE('Start Here'!$C$6,12+1,1))</f>
        <v>0</v>
      </c>
      <c r="E24" s="19" t="n">
        <f aca="false">SUMIFS(Expenses!$G$5:$G$504,Expenses!$A$5:$A$504,"&gt;="&amp;DATE('Start Here'!$C$6,12,1),Expenses!$A$5:$A$504,"&lt;"&amp;DATE('Start Here'!$C$6,12+1,1))+SUMIFS(Mileage!$F$5:$F$504,Mileage!$A$5:$A$504,"&gt;="&amp;DATE('Start Here'!$C$6,12,1),Mileage!$A$5:$A$504,"&lt;"&amp;DATE('Start Here'!$C$6,12+1,1))</f>
        <v>0</v>
      </c>
      <c r="F24" s="19" t="n">
        <f aca="false">C24-E24</f>
        <v>0</v>
      </c>
      <c r="G24" s="19" t="n">
        <f aca="false">MAX(0,F24)*'Tax Estimate'!$C$18</f>
        <v>0</v>
      </c>
      <c r="H24" s="19" t="n">
        <f aca="false">C24-D24-G24</f>
        <v>0</v>
      </c>
      <c r="I24" s="20" t="n">
        <f aca="false">IF('Start Here'!$C$7&gt;0,C24/'Start Here'!$C$7,0)</f>
        <v>0</v>
      </c>
      <c r="K24" s="21" t="str">
        <f aca="false">IF(Lists!$C$16="","",Lists!$C$16)</f>
        <v>Professional services</v>
      </c>
      <c r="L24" s="19" t="n">
        <f aca="false">IF(K24="","",SUMIFS(Expenses!$E$5:$E$504,Expenses!$D$5:$D$504,K24,Expenses!$A$5:$A$504,"&gt;="&amp;DATE('Start Here'!$C$6,1,1),Expenses!$A$5:$A$504,"&lt;"&amp;DATE('Start Here'!$C$6+1,1,1)))</f>
        <v>0</v>
      </c>
      <c r="M24" s="20" t="n">
        <f aca="false">IF(OR(K24="",$D$25=0),"",L24/$D$25)</f>
        <v>0</v>
      </c>
    </row>
    <row r="25" customFormat="false" ht="15" hidden="false" customHeight="false" outlineLevel="0" collapsed="false">
      <c r="B25" s="22" t="s">
        <v>64</v>
      </c>
      <c r="C25" s="22" t="n">
        <f aca="false">SUM(C13:C24)</f>
        <v>450</v>
      </c>
      <c r="D25" s="22" t="n">
        <f aca="false">SUM(D13:D24)</f>
        <v>59.99</v>
      </c>
      <c r="E25" s="22" t="n">
        <f aca="false">SUM(E13:E24)</f>
        <v>72.87</v>
      </c>
      <c r="F25" s="22" t="n">
        <f aca="false">SUM(F13:F24)</f>
        <v>377.13</v>
      </c>
      <c r="G25" s="22" t="n">
        <f aca="false">SUM(G13:G24)</f>
        <v>112.869496302225</v>
      </c>
      <c r="H25" s="22" t="n">
        <f aca="false">SUM(H13:H24)</f>
        <v>277.140503697775</v>
      </c>
      <c r="I25" s="23" t="n">
        <f aca="false">IF('Start Here'!$C$7&gt;0,C25/('Start Here'!$C$7*12),0)</f>
        <v>0.0125</v>
      </c>
      <c r="K25" s="21" t="str">
        <f aca="false">IF(Lists!$C$17="","",Lists!$C$17)</f>
        <v>Insurance</v>
      </c>
      <c r="L25" s="19" t="n">
        <f aca="false">IF(K25="","",SUMIFS(Expenses!$E$5:$E$504,Expenses!$D$5:$D$504,K25,Expenses!$A$5:$A$504,"&gt;="&amp;DATE('Start Here'!$C$6,1,1),Expenses!$A$5:$A$504,"&lt;"&amp;DATE('Start Here'!$C$6+1,1,1)))</f>
        <v>0</v>
      </c>
      <c r="M25" s="20" t="n">
        <f aca="false">IF(OR(K25="",$D$25=0),"",L25/$D$25)</f>
        <v>0</v>
      </c>
    </row>
    <row r="26" customFormat="false" ht="15" hidden="false" customHeight="false" outlineLevel="0" collapsed="false">
      <c r="K26" s="21" t="str">
        <f aca="false">IF(Lists!$C$18="","",Lists!$C$18)</f>
        <v>Other</v>
      </c>
      <c r="L26" s="19" t="n">
        <f aca="false">IF(K26="","",SUMIFS(Expenses!$E$5:$E$504,Expenses!$D$5:$D$504,K26,Expenses!$A$5:$A$504,"&gt;="&amp;DATE('Start Here'!$C$6,1,1),Expenses!$A$5:$A$504,"&lt;"&amp;DATE('Start Here'!$C$6+1,1,1)))</f>
        <v>0</v>
      </c>
      <c r="M26" s="20" t="n">
        <f aca="false">IF(OR(K26="",$D$25=0),"",L26/$D$25)</f>
        <v>0</v>
      </c>
    </row>
    <row r="27" customFormat="false" ht="15" hidden="false" customHeight="false" outlineLevel="0" collapsed="false">
      <c r="K27" s="21" t="str">
        <f aca="false">IF(Lists!$C$19="","",Lists!$C$19)</f>
        <v/>
      </c>
      <c r="L27" s="19" t="str">
        <f aca="false">IF(K27="","",SUMIFS(Expenses!$E$5:$E$504,Expenses!$D$5:$D$504,K27,Expenses!$A$5:$A$504,"&gt;="&amp;DATE('Start Here'!$C$6,1,1),Expenses!$A$5:$A$504,"&lt;"&amp;DATE('Start Here'!$C$6+1,1,1)))</f>
        <v/>
      </c>
      <c r="M27" s="20" t="str">
        <f aca="false">IF(OR(K27="",$D$25=0),"",L27/$D$25)</f>
        <v/>
      </c>
    </row>
    <row r="28" customFormat="false" ht="15" hidden="false" customHeight="false" outlineLevel="0" collapsed="false">
      <c r="K28" s="21" t="str">
        <f aca="false">IF(Lists!$C$20="","",Lists!$C$20)</f>
        <v/>
      </c>
      <c r="L28" s="19" t="str">
        <f aca="false">IF(K28="","",SUMIFS(Expenses!$E$5:$E$504,Expenses!$D$5:$D$504,K28,Expenses!$A$5:$A$504,"&gt;="&amp;DATE('Start Here'!$C$6,1,1),Expenses!$A$5:$A$504,"&lt;"&amp;DATE('Start Here'!$C$6+1,1,1)))</f>
        <v/>
      </c>
      <c r="M28" s="20" t="str">
        <f aca="false">IF(OR(K28="",$D$25=0),"",L28/$D$25)</f>
        <v/>
      </c>
    </row>
    <row r="29" customFormat="false" ht="15" hidden="false" customHeight="false" outlineLevel="0" collapsed="false">
      <c r="K29" s="21" t="str">
        <f aca="false">IF(Lists!$C$21="","",Lists!$C$21)</f>
        <v/>
      </c>
      <c r="L29" s="19" t="str">
        <f aca="false">IF(K29="","",SUMIFS(Expenses!$E$5:$E$504,Expenses!$D$5:$D$504,K29,Expenses!$A$5:$A$504,"&gt;="&amp;DATE('Start Here'!$C$6,1,1),Expenses!$A$5:$A$504,"&lt;"&amp;DATE('Start Here'!$C$6+1,1,1)))</f>
        <v/>
      </c>
      <c r="M29" s="20" t="str">
        <f aca="false">IF(OR(K29="",$D$25=0),"",L29/$D$25)</f>
        <v/>
      </c>
    </row>
    <row r="30" customFormat="false" ht="15" hidden="false" customHeight="false" outlineLevel="0" collapsed="false">
      <c r="K30" s="21" t="str">
        <f aca="false">IF(Lists!$C$22="","",Lists!$C$22)</f>
        <v/>
      </c>
      <c r="L30" s="19" t="str">
        <f aca="false">IF(K30="","",SUMIFS(Expenses!$E$5:$E$504,Expenses!$D$5:$D$504,K30,Expenses!$A$5:$A$504,"&gt;="&amp;DATE('Start Here'!$C$6,1,1),Expenses!$A$5:$A$504,"&lt;"&amp;DATE('Start Here'!$C$6+1,1,1)))</f>
        <v/>
      </c>
      <c r="M30" s="20" t="str">
        <f aca="false">IF(OR(K30="",$D$25=0),"",L30/$D$25)</f>
        <v/>
      </c>
    </row>
    <row r="31" customFormat="false" ht="15" hidden="false" customHeight="false" outlineLevel="0" collapsed="false">
      <c r="K31" s="21" t="str">
        <f aca="false">IF(Lists!$C$23="","",Lists!$C$23)</f>
        <v/>
      </c>
      <c r="L31" s="19" t="str">
        <f aca="false">IF(K31="","",SUMIFS(Expenses!$E$5:$E$504,Expenses!$D$5:$D$504,K31,Expenses!$A$5:$A$504,"&gt;="&amp;DATE('Start Here'!$C$6,1,1),Expenses!$A$5:$A$504,"&lt;"&amp;DATE('Start Here'!$C$6+1,1,1)))</f>
        <v/>
      </c>
      <c r="M31" s="20" t="str">
        <f aca="false">IF(OR(K31="",$D$25=0),"",L31/$D$25)</f>
        <v/>
      </c>
    </row>
    <row r="32" customFormat="false" ht="15" hidden="false" customHeight="false" outlineLevel="0" collapsed="false">
      <c r="K32" s="21" t="str">
        <f aca="false">IF(Lists!$C$24="","",Lists!$C$24)</f>
        <v/>
      </c>
      <c r="L32" s="19" t="str">
        <f aca="false">IF(K32="","",SUMIFS(Expenses!$E$5:$E$504,Expenses!$D$5:$D$504,K32,Expenses!$A$5:$A$504,"&gt;="&amp;DATE('Start Here'!$C$6,1,1),Expenses!$A$5:$A$504,"&lt;"&amp;DATE('Start Here'!$C$6+1,1,1)))</f>
        <v/>
      </c>
      <c r="M32" s="20" t="str">
        <f aca="false">IF(OR(K32="",$D$25=0),"",L32/$D$25)</f>
        <v/>
      </c>
    </row>
    <row r="33" customFormat="false" ht="15" hidden="false" customHeight="false" outlineLevel="0" collapsed="false">
      <c r="K33" s="21" t="str">
        <f aca="false">IF(Lists!$C$25="","",Lists!$C$25)</f>
        <v/>
      </c>
      <c r="L33" s="19" t="str">
        <f aca="false">IF(K33="","",SUMIFS(Expenses!$E$5:$E$504,Expenses!$D$5:$D$504,K33,Expenses!$A$5:$A$504,"&gt;="&amp;DATE('Start Here'!$C$6,1,1),Expenses!$A$5:$A$504,"&lt;"&amp;DATE('Start Here'!$C$6+1,1,1)))</f>
        <v/>
      </c>
      <c r="M33" s="20" t="str">
        <f aca="false">IF(OR(K33="",$D$25=0),"",L33/$D$25)</f>
        <v/>
      </c>
    </row>
    <row r="34" customFormat="false" ht="15" hidden="false" customHeight="false" outlineLevel="0" collapsed="false">
      <c r="K34" s="21" t="str">
        <f aca="false">IF(Lists!$C$26="","",Lists!$C$26)</f>
        <v/>
      </c>
      <c r="L34" s="19" t="str">
        <f aca="false">IF(K34="","",SUMIFS(Expenses!$E$5:$E$504,Expenses!$D$5:$D$504,K34,Expenses!$A$5:$A$504,"&gt;="&amp;DATE('Start Here'!$C$6,1,1),Expenses!$A$5:$A$504,"&lt;"&amp;DATE('Start Here'!$C$6+1,1,1)))</f>
        <v/>
      </c>
      <c r="M34" s="20" t="str">
        <f aca="false">IF(OR(K34="",$D$25=0),"",L34/$D$25)</f>
        <v/>
      </c>
    </row>
    <row r="35" customFormat="false" ht="15" hidden="false" customHeight="false" outlineLevel="0" collapsed="false">
      <c r="K35" s="21" t="str">
        <f aca="false">IF(Lists!$C$27="","",Lists!$C$27)</f>
        <v/>
      </c>
      <c r="L35" s="19" t="str">
        <f aca="false">IF(K35="","",SUMIFS(Expenses!$E$5:$E$504,Expenses!$D$5:$D$504,K35,Expenses!$A$5:$A$504,"&gt;="&amp;DATE('Start Here'!$C$6,1,1),Expenses!$A$5:$A$504,"&lt;"&amp;DATE('Start Here'!$C$6+1,1,1)))</f>
        <v/>
      </c>
      <c r="M35" s="20" t="str">
        <f aca="false">IF(OR(K35="",$D$25=0),"",L35/$D$25)</f>
        <v/>
      </c>
    </row>
    <row r="36" customFormat="false" ht="15" hidden="false" customHeight="false" outlineLevel="0" collapsed="false">
      <c r="K36" s="21" t="str">
        <f aca="false">IF(Lists!$C$28="","",Lists!$C$28)</f>
        <v/>
      </c>
      <c r="L36" s="19" t="str">
        <f aca="false">IF(K36="","",SUMIFS(Expenses!$E$5:$E$504,Expenses!$D$5:$D$504,K36,Expenses!$A$5:$A$504,"&gt;="&amp;DATE('Start Here'!$C$6,1,1),Expenses!$A$5:$A$504,"&lt;"&amp;DATE('Start Here'!$C$6+1,1,1)))</f>
        <v/>
      </c>
      <c r="M36" s="20" t="str">
        <f aca="false">IF(OR(K36="",$D$25=0),"",L36/$D$25)</f>
        <v/>
      </c>
    </row>
    <row r="37" customFormat="false" ht="15" hidden="false" customHeight="false" outlineLevel="0" collapsed="false">
      <c r="K37" s="21" t="str">
        <f aca="false">IF(Lists!$C$29="","",Lists!$C$29)</f>
        <v/>
      </c>
      <c r="L37" s="19" t="str">
        <f aca="false">IF(K37="","",SUMIFS(Expenses!$E$5:$E$504,Expenses!$D$5:$D$504,K37,Expenses!$A$5:$A$504,"&gt;="&amp;DATE('Start Here'!$C$6,1,1),Expenses!$A$5:$A$504,"&lt;"&amp;DATE('Start Here'!$C$6+1,1,1)))</f>
        <v/>
      </c>
      <c r="M37" s="20" t="str">
        <f aca="false">IF(OR(K37="",$D$25=0),"",L37/$D$25)</f>
        <v/>
      </c>
    </row>
  </sheetData>
  <mergeCells count="8">
    <mergeCell ref="B4:C4"/>
    <mergeCell ref="D4:E4"/>
    <mergeCell ref="F4:G4"/>
    <mergeCell ref="H4:I4"/>
    <mergeCell ref="B5:C6"/>
    <mergeCell ref="D5:E6"/>
    <mergeCell ref="F5:G6"/>
    <mergeCell ref="H5:I6"/>
  </mergeCells>
  <conditionalFormatting sqref="I13:I24">
    <cfRule type="dataBar" priority="2">
      <dataBar showValue="1" minLength="10" maxLength="90">
        <cfvo type="num" val="0"/>
        <cfvo type="num" val="1"/>
        <color rgb="FF2A9D8F"/>
      </dataBar>
      <extLst>
        <ext xmlns:x14="http://schemas.microsoft.com/office/spreadsheetml/2009/9/main" uri="{B025F937-C7B1-47D3-B67F-A62EFF666E3E}">
          <x14:id>{A9E9C15A-BCFE-43D4-8C2B-B765984BAB11}</x14:id>
        </ext>
      </extLst>
    </cfRule>
  </conditionalFormatting>
  <conditionalFormatting sqref="F13:F24">
    <cfRule type="cellIs" priority="3" operator="lessThan" aboveAverage="0" equalAverage="0" bottom="0" percent="0" rank="0" text="" dxfId="0">
      <formula>0</formula>
    </cfRule>
  </conditionalFormatting>
  <conditionalFormatting sqref="M13:M37">
    <cfRule type="dataBar" priority="4">
      <dataBar showValue="1" minLength="10" maxLength="90">
        <cfvo type="num" val="0"/>
        <cfvo type="num" val="1"/>
        <color rgb="FFE9C46A"/>
      </dataBar>
      <extLst>
        <ext xmlns:x14="http://schemas.microsoft.com/office/spreadsheetml/2009/9/main" uri="{B025F937-C7B1-47D3-B67F-A62EFF666E3E}">
          <x14:id>{AB88E537-EED0-4897-B84F-93A0E6FD7B7C}</x14:id>
        </ext>
      </extLst>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A9E9C15A-BCFE-43D4-8C2B-B765984BAB11}">
            <x14:dataBar minLength="10" maxLength="90" axisPosition="none" gradient="true">
              <x14:cfvo type="num">
                <xm:f>0</xm:f>
              </x14:cfvo>
              <x14:cfvo type="num">
                <xm:f>1</xm:f>
              </x14:cfvo>
              <x14:negativeFillColor rgb="FF2A9D8F"/>
              <x14:axisColor rgb="FF000000"/>
            </x14:dataBar>
          </x14:cfRule>
          <xm:sqref>I13:I24</xm:sqref>
        </x14:conditionalFormatting>
        <x14:conditionalFormatting xmlns:xm="http://schemas.microsoft.com/office/excel/2006/main">
          <x14:cfRule type="dataBar" id="{AB88E537-EED0-4897-B84F-93A0E6FD7B7C}">
            <x14:dataBar minLength="10" maxLength="90" axisPosition="none" gradient="true">
              <x14:cfvo type="num">
                <xm:f>0</xm:f>
              </x14:cfvo>
              <x14:cfvo type="num">
                <xm:f>1</xm:f>
              </x14:cfvo>
              <x14:negativeFillColor rgb="FFE9C46A"/>
              <x14:axisColor rgb="FF000000"/>
            </x14:dataBar>
          </x14:cfRule>
          <xm:sqref>M13:M37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7" min="3" style="0" width="16"/>
  </cols>
  <sheetData>
    <row r="1" customFormat="false" ht="24.45" hidden="false" customHeight="false" outlineLevel="0" collapsed="false">
      <c r="A1" s="1" t="s">
        <v>65</v>
      </c>
    </row>
    <row r="2" customFormat="false" ht="15" hidden="false" customHeight="false" outlineLevel="0" collapsed="false">
      <c r="A2" s="2" t="s">
        <v>66</v>
      </c>
    </row>
    <row r="4" customFormat="false" ht="15" hidden="false" customHeight="false" outlineLevel="0" collapsed="false">
      <c r="B4" s="3" t="s">
        <v>67</v>
      </c>
    </row>
    <row r="5" customFormat="false" ht="15" hidden="false" customHeight="false" outlineLevel="0" collapsed="false">
      <c r="B5" s="21" t="s">
        <v>68</v>
      </c>
      <c r="C5" s="24" t="n">
        <f aca="false">Dashboard!C25</f>
        <v>450</v>
      </c>
    </row>
    <row r="6" customFormat="false" ht="15" hidden="false" customHeight="false" outlineLevel="0" collapsed="false">
      <c r="B6" s="21" t="s">
        <v>69</v>
      </c>
      <c r="C6" s="24" t="n">
        <f aca="false">SUMIFS(Expenses!$G$5:$G$504,Expenses!$A$5:$A$504,"&gt;="&amp;DATE('Start Here'!$C$6,1,1),Expenses!$A$5:$A$504,"&lt;"&amp;DATE('Start Here'!$C$6+1,1,1))</f>
        <v>59.99</v>
      </c>
    </row>
    <row r="7" customFormat="false" ht="15" hidden="false" customHeight="false" outlineLevel="0" collapsed="false">
      <c r="B7" s="21" t="s">
        <v>70</v>
      </c>
      <c r="C7" s="24" t="n">
        <f aca="false">SUMIFS(Mileage!$F$5:$F$504,Mileage!$A$5:$A$504,"&gt;="&amp;DATE('Start Here'!$C$6,1,1),Mileage!$A$5:$A$504,"&lt;"&amp;DATE('Start Here'!$C$6+1,1,1))</f>
        <v>12.88</v>
      </c>
    </row>
    <row r="8" customFormat="false" ht="15" hidden="false" customHeight="false" outlineLevel="0" collapsed="false">
      <c r="B8" s="25" t="s">
        <v>71</v>
      </c>
      <c r="C8" s="26" t="n">
        <f aca="false">MAX(0,C5-C6-C7)</f>
        <v>377.13</v>
      </c>
    </row>
    <row r="10" customFormat="false" ht="15" hidden="false" customHeight="false" outlineLevel="0" collapsed="false">
      <c r="B10" s="21" t="s">
        <v>72</v>
      </c>
      <c r="C10" s="24" t="n">
        <f aca="false">C8*'Start Here'!$C$11</f>
        <v>348.279555</v>
      </c>
    </row>
    <row r="11" customFormat="false" ht="15" hidden="false" customHeight="false" outlineLevel="0" collapsed="false">
      <c r="B11" s="21" t="s">
        <v>73</v>
      </c>
      <c r="C11" s="24" t="n">
        <f aca="false">C10*'Start Here'!$C$10</f>
        <v>53.286771915</v>
      </c>
    </row>
    <row r="12" customFormat="false" ht="15" hidden="false" customHeight="false" outlineLevel="0" collapsed="false">
      <c r="B12" s="21" t="s">
        <v>74</v>
      </c>
      <c r="C12" s="24" t="n">
        <f aca="false">C11/2</f>
        <v>26.6433859575</v>
      </c>
    </row>
    <row r="13" customFormat="false" ht="15" hidden="false" customHeight="false" outlineLevel="0" collapsed="false">
      <c r="B13" s="21" t="s">
        <v>75</v>
      </c>
      <c r="C13" s="24" t="n">
        <f aca="false">MAX(0,C8-C12)</f>
        <v>350.4866140425</v>
      </c>
    </row>
    <row r="14" customFormat="false" ht="15" hidden="false" customHeight="false" outlineLevel="0" collapsed="false">
      <c r="B14" s="21" t="s">
        <v>76</v>
      </c>
      <c r="C14" s="24" t="n">
        <f aca="false">C13*'Start Here'!$C$8</f>
        <v>42.0583936851</v>
      </c>
    </row>
    <row r="15" customFormat="false" ht="15" hidden="false" customHeight="false" outlineLevel="0" collapsed="false">
      <c r="B15" s="21" t="s">
        <v>77</v>
      </c>
      <c r="C15" s="24" t="n">
        <f aca="false">C13*'Start Here'!$C$9</f>
        <v>17.524330702125</v>
      </c>
    </row>
    <row r="17" customFormat="false" ht="15" hidden="false" customHeight="false" outlineLevel="0" collapsed="false">
      <c r="B17" s="27" t="s">
        <v>78</v>
      </c>
      <c r="C17" s="28" t="n">
        <f aca="false">C11+C14+C15</f>
        <v>112.869496302225</v>
      </c>
    </row>
    <row r="18" customFormat="false" ht="15" hidden="false" customHeight="false" outlineLevel="0" collapsed="false">
      <c r="B18" s="21" t="s">
        <v>79</v>
      </c>
      <c r="C18" s="29" t="n">
        <f aca="false">IF(C8&gt;0,C17/C8,0)</f>
        <v>0.2992853825</v>
      </c>
    </row>
    <row r="19" customFormat="false" ht="15" hidden="false" customHeight="false" outlineLevel="0" collapsed="false">
      <c r="B19" s="27" t="s">
        <v>80</v>
      </c>
      <c r="C19" s="30" t="n">
        <f aca="false">IF(C5&gt;0,C17/C5,0)</f>
        <v>0.250821102893833</v>
      </c>
    </row>
    <row r="22" customFormat="false" ht="15" hidden="false" customHeight="false" outlineLevel="0" collapsed="false">
      <c r="B22" s="3" t="s">
        <v>81</v>
      </c>
    </row>
    <row r="23" customFormat="false" ht="30" hidden="false" customHeight="true" outlineLevel="0" collapsed="false">
      <c r="B23" s="17" t="s">
        <v>82</v>
      </c>
      <c r="C23" s="17" t="s">
        <v>83</v>
      </c>
      <c r="D23" s="17" t="s">
        <v>84</v>
      </c>
      <c r="E23" s="17" t="s">
        <v>85</v>
      </c>
      <c r="F23" s="17" t="s">
        <v>86</v>
      </c>
      <c r="G23" s="17" t="s">
        <v>87</v>
      </c>
    </row>
    <row r="24" customFormat="false" ht="15" hidden="false" customHeight="false" outlineLevel="0" collapsed="false">
      <c r="B24" s="21" t="s">
        <v>88</v>
      </c>
      <c r="C24" s="31" t="n">
        <f aca="false">DATE('Start Here'!$C$6,4,15)</f>
        <v>46127</v>
      </c>
      <c r="D24" s="32" t="n">
        <f aca="false">SUM(Dashboard!F13:F15)</f>
        <v>377.13</v>
      </c>
      <c r="E24" s="32" t="n">
        <f aca="false">MAX(0,D24)*$C$18</f>
        <v>112.869496302225</v>
      </c>
      <c r="F24" s="33"/>
      <c r="G24" s="32" t="n">
        <f aca="false">MAX(0,E24-N(F24))</f>
        <v>112.869496302225</v>
      </c>
    </row>
    <row r="25" customFormat="false" ht="15" hidden="false" customHeight="false" outlineLevel="0" collapsed="false">
      <c r="B25" s="21" t="s">
        <v>89</v>
      </c>
      <c r="C25" s="31" t="n">
        <f aca="false">DATE('Start Here'!$C$6,6,15)</f>
        <v>46188</v>
      </c>
      <c r="D25" s="32" t="n">
        <f aca="false">SUM(Dashboard!F16:F17)</f>
        <v>0</v>
      </c>
      <c r="E25" s="32" t="n">
        <f aca="false">MAX(0,D25)*$C$18</f>
        <v>0</v>
      </c>
      <c r="F25" s="33"/>
      <c r="G25" s="32" t="n">
        <f aca="false">MAX(0,E25-N(F25))</f>
        <v>0</v>
      </c>
    </row>
    <row r="26" customFormat="false" ht="15" hidden="false" customHeight="false" outlineLevel="0" collapsed="false">
      <c r="B26" s="21" t="s">
        <v>90</v>
      </c>
      <c r="C26" s="31" t="n">
        <f aca="false">DATE('Start Here'!$C$6,9,15)</f>
        <v>46280</v>
      </c>
      <c r="D26" s="32" t="n">
        <f aca="false">SUM(Dashboard!F18:F20)</f>
        <v>0</v>
      </c>
      <c r="E26" s="32" t="n">
        <f aca="false">MAX(0,D26)*$C$18</f>
        <v>0</v>
      </c>
      <c r="F26" s="33"/>
      <c r="G26" s="32" t="n">
        <f aca="false">MAX(0,E26-N(F26))</f>
        <v>0</v>
      </c>
    </row>
    <row r="27" customFormat="false" ht="15" hidden="false" customHeight="false" outlineLevel="0" collapsed="false">
      <c r="B27" s="21" t="s">
        <v>91</v>
      </c>
      <c r="C27" s="31" t="n">
        <f aca="false">DATE('Start Here'!$C$6+1,1,15)</f>
        <v>46402</v>
      </c>
      <c r="D27" s="32" t="n">
        <f aca="false">SUM(Dashboard!F21:F24)</f>
        <v>0</v>
      </c>
      <c r="E27" s="32" t="n">
        <f aca="false">MAX(0,D27)*$C$18</f>
        <v>0</v>
      </c>
      <c r="F27" s="33"/>
      <c r="G27" s="32" t="n">
        <f aca="false">MAX(0,E27-N(F27))</f>
        <v>0</v>
      </c>
    </row>
    <row r="29" customFormat="false" ht="15" hidden="false" customHeight="false" outlineLevel="0" collapsed="false">
      <c r="B29" s="2" t="s">
        <v>92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20"/>
    <col collapsed="false" customWidth="true" hidden="false" outlineLevel="0" max="5" min="5" style="0" width="14"/>
    <col collapsed="false" customWidth="true" hidden="false" outlineLevel="0" max="6" min="6" style="0" width="18"/>
  </cols>
  <sheetData>
    <row r="1" customFormat="false" ht="24.45" hidden="false" customHeight="false" outlineLevel="0" collapsed="false">
      <c r="A1" s="1" t="s">
        <v>42</v>
      </c>
    </row>
    <row r="2" customFormat="false" ht="15" hidden="false" customHeight="false" outlineLevel="0" collapsed="false">
      <c r="A2" s="2" t="s">
        <v>93</v>
      </c>
    </row>
    <row r="3" customFormat="false" ht="15" hidden="false" customHeight="false" outlineLevel="0" collapsed="false">
      <c r="A3" s="15" t="s">
        <v>94</v>
      </c>
      <c r="E3" s="34" t="n">
        <f aca="false">SUM(E5:E504)</f>
        <v>450</v>
      </c>
    </row>
    <row r="4" customFormat="false" ht="30" hidden="false" customHeight="true" outlineLevel="0" collapsed="false">
      <c r="A4" s="17" t="s">
        <v>95</v>
      </c>
      <c r="B4" s="17" t="s">
        <v>96</v>
      </c>
      <c r="C4" s="17" t="s">
        <v>97</v>
      </c>
      <c r="D4" s="17" t="s">
        <v>49</v>
      </c>
      <c r="E4" s="17" t="s">
        <v>98</v>
      </c>
      <c r="F4" s="17" t="s">
        <v>99</v>
      </c>
    </row>
    <row r="5" customFormat="false" ht="15" hidden="false" customHeight="false" outlineLevel="0" collapsed="false">
      <c r="A5" s="35" t="n">
        <v>46037</v>
      </c>
      <c r="B5" s="36" t="s">
        <v>100</v>
      </c>
      <c r="C5" s="36" t="s">
        <v>101</v>
      </c>
      <c r="D5" s="36" t="s">
        <v>102</v>
      </c>
      <c r="E5" s="37" t="n">
        <v>450</v>
      </c>
      <c r="F5" s="36" t="s">
        <v>103</v>
      </c>
    </row>
    <row r="6" customFormat="false" ht="15" hidden="false" customHeight="false" outlineLevel="0" collapsed="false">
      <c r="A6" s="31"/>
      <c r="B6" s="21"/>
      <c r="C6" s="21"/>
      <c r="D6" s="21"/>
      <c r="E6" s="32"/>
      <c r="F6" s="21"/>
    </row>
    <row r="7" customFormat="false" ht="15" hidden="false" customHeight="false" outlineLevel="0" collapsed="false">
      <c r="A7" s="31"/>
      <c r="B7" s="21"/>
      <c r="C7" s="21"/>
      <c r="D7" s="21"/>
      <c r="E7" s="32"/>
      <c r="F7" s="21"/>
    </row>
    <row r="8" customFormat="false" ht="15" hidden="false" customHeight="false" outlineLevel="0" collapsed="false">
      <c r="A8" s="31"/>
      <c r="B8" s="21"/>
      <c r="C8" s="21"/>
      <c r="D8" s="21"/>
      <c r="E8" s="32"/>
      <c r="F8" s="21"/>
    </row>
    <row r="9" customFormat="false" ht="15" hidden="false" customHeight="false" outlineLevel="0" collapsed="false">
      <c r="A9" s="31"/>
      <c r="B9" s="21"/>
      <c r="C9" s="21"/>
      <c r="D9" s="21"/>
      <c r="E9" s="32"/>
      <c r="F9" s="21"/>
    </row>
    <row r="10" customFormat="false" ht="15" hidden="false" customHeight="false" outlineLevel="0" collapsed="false">
      <c r="A10" s="31"/>
      <c r="B10" s="21"/>
      <c r="C10" s="21"/>
      <c r="D10" s="21"/>
      <c r="E10" s="32"/>
      <c r="F10" s="21"/>
    </row>
    <row r="11" customFormat="false" ht="15" hidden="false" customHeight="false" outlineLevel="0" collapsed="false">
      <c r="A11" s="31"/>
      <c r="B11" s="21"/>
      <c r="C11" s="21"/>
      <c r="D11" s="21"/>
      <c r="E11" s="32"/>
      <c r="F11" s="21"/>
    </row>
    <row r="12" customFormat="false" ht="15" hidden="false" customHeight="false" outlineLevel="0" collapsed="false">
      <c r="A12" s="31"/>
      <c r="B12" s="21"/>
      <c r="C12" s="21"/>
      <c r="D12" s="21"/>
      <c r="E12" s="32"/>
      <c r="F12" s="21"/>
    </row>
    <row r="13" customFormat="false" ht="15" hidden="false" customHeight="false" outlineLevel="0" collapsed="false">
      <c r="A13" s="31"/>
      <c r="B13" s="21"/>
      <c r="C13" s="21"/>
      <c r="D13" s="21"/>
      <c r="E13" s="32"/>
      <c r="F13" s="21"/>
    </row>
    <row r="14" customFormat="false" ht="15" hidden="false" customHeight="false" outlineLevel="0" collapsed="false">
      <c r="A14" s="31"/>
      <c r="B14" s="21"/>
      <c r="C14" s="21"/>
      <c r="D14" s="21"/>
      <c r="E14" s="32"/>
      <c r="F14" s="21"/>
    </row>
    <row r="15" customFormat="false" ht="15" hidden="false" customHeight="false" outlineLevel="0" collapsed="false">
      <c r="A15" s="31"/>
      <c r="B15" s="21"/>
      <c r="C15" s="21"/>
      <c r="D15" s="21"/>
      <c r="E15" s="32"/>
      <c r="F15" s="21"/>
    </row>
    <row r="16" customFormat="false" ht="15" hidden="false" customHeight="false" outlineLevel="0" collapsed="false">
      <c r="A16" s="31"/>
      <c r="B16" s="21"/>
      <c r="C16" s="21"/>
      <c r="D16" s="21"/>
      <c r="E16" s="32"/>
      <c r="F16" s="21"/>
    </row>
    <row r="17" customFormat="false" ht="15" hidden="false" customHeight="false" outlineLevel="0" collapsed="false">
      <c r="A17" s="31"/>
      <c r="B17" s="21"/>
      <c r="C17" s="21"/>
      <c r="D17" s="21"/>
      <c r="E17" s="32"/>
      <c r="F17" s="21"/>
    </row>
    <row r="18" customFormat="false" ht="15" hidden="false" customHeight="false" outlineLevel="0" collapsed="false">
      <c r="A18" s="31"/>
      <c r="B18" s="21"/>
      <c r="C18" s="21"/>
      <c r="D18" s="21"/>
      <c r="E18" s="32"/>
      <c r="F18" s="21"/>
    </row>
    <row r="19" customFormat="false" ht="15" hidden="false" customHeight="false" outlineLevel="0" collapsed="false">
      <c r="A19" s="31"/>
      <c r="B19" s="21"/>
      <c r="C19" s="21"/>
      <c r="D19" s="21"/>
      <c r="E19" s="32"/>
      <c r="F19" s="21"/>
    </row>
    <row r="20" customFormat="false" ht="15" hidden="false" customHeight="false" outlineLevel="0" collapsed="false">
      <c r="A20" s="31"/>
      <c r="B20" s="21"/>
      <c r="C20" s="21"/>
      <c r="D20" s="21"/>
      <c r="E20" s="32"/>
      <c r="F20" s="21"/>
    </row>
    <row r="21" customFormat="false" ht="15" hidden="false" customHeight="false" outlineLevel="0" collapsed="false">
      <c r="A21" s="31"/>
      <c r="B21" s="21"/>
      <c r="C21" s="21"/>
      <c r="D21" s="21"/>
      <c r="E21" s="32"/>
      <c r="F21" s="21"/>
    </row>
    <row r="22" customFormat="false" ht="15" hidden="false" customHeight="false" outlineLevel="0" collapsed="false">
      <c r="A22" s="31"/>
      <c r="B22" s="21"/>
      <c r="C22" s="21"/>
      <c r="D22" s="21"/>
      <c r="E22" s="32"/>
      <c r="F22" s="21"/>
    </row>
    <row r="23" customFormat="false" ht="15" hidden="false" customHeight="false" outlineLevel="0" collapsed="false">
      <c r="A23" s="31"/>
      <c r="B23" s="21"/>
      <c r="C23" s="21"/>
      <c r="D23" s="21"/>
      <c r="E23" s="32"/>
      <c r="F23" s="21"/>
    </row>
    <row r="24" customFormat="false" ht="15" hidden="false" customHeight="false" outlineLevel="0" collapsed="false">
      <c r="A24" s="31"/>
      <c r="B24" s="21"/>
      <c r="C24" s="21"/>
      <c r="D24" s="21"/>
      <c r="E24" s="32"/>
      <c r="F24" s="21"/>
    </row>
    <row r="25" customFormat="false" ht="15" hidden="false" customHeight="false" outlineLevel="0" collapsed="false">
      <c r="A25" s="31"/>
      <c r="B25" s="21"/>
      <c r="C25" s="21"/>
      <c r="D25" s="21"/>
      <c r="E25" s="32"/>
      <c r="F25" s="21"/>
    </row>
    <row r="26" customFormat="false" ht="15" hidden="false" customHeight="false" outlineLevel="0" collapsed="false">
      <c r="A26" s="31"/>
      <c r="B26" s="21"/>
      <c r="C26" s="21"/>
      <c r="D26" s="21"/>
      <c r="E26" s="32"/>
      <c r="F26" s="21"/>
    </row>
    <row r="27" customFormat="false" ht="15" hidden="false" customHeight="false" outlineLevel="0" collapsed="false">
      <c r="A27" s="31"/>
      <c r="B27" s="21"/>
      <c r="C27" s="21"/>
      <c r="D27" s="21"/>
      <c r="E27" s="32"/>
      <c r="F27" s="21"/>
    </row>
    <row r="28" customFormat="false" ht="15" hidden="false" customHeight="false" outlineLevel="0" collapsed="false">
      <c r="A28" s="31"/>
      <c r="B28" s="21"/>
      <c r="C28" s="21"/>
      <c r="D28" s="21"/>
      <c r="E28" s="32"/>
      <c r="F28" s="21"/>
    </row>
    <row r="29" customFormat="false" ht="15" hidden="false" customHeight="false" outlineLevel="0" collapsed="false">
      <c r="A29" s="31"/>
      <c r="B29" s="21"/>
      <c r="C29" s="21"/>
      <c r="D29" s="21"/>
      <c r="E29" s="32"/>
      <c r="F29" s="21"/>
    </row>
    <row r="30" customFormat="false" ht="15" hidden="false" customHeight="false" outlineLevel="0" collapsed="false">
      <c r="A30" s="31"/>
      <c r="B30" s="21"/>
      <c r="C30" s="21"/>
      <c r="D30" s="21"/>
      <c r="E30" s="32"/>
      <c r="F30" s="21"/>
    </row>
    <row r="31" customFormat="false" ht="15" hidden="false" customHeight="false" outlineLevel="0" collapsed="false">
      <c r="A31" s="31"/>
      <c r="B31" s="21"/>
      <c r="C31" s="21"/>
      <c r="D31" s="21"/>
      <c r="E31" s="32"/>
      <c r="F31" s="21"/>
    </row>
    <row r="32" customFormat="false" ht="15" hidden="false" customHeight="false" outlineLevel="0" collapsed="false">
      <c r="A32" s="31"/>
      <c r="B32" s="21"/>
      <c r="C32" s="21"/>
      <c r="D32" s="21"/>
      <c r="E32" s="32"/>
      <c r="F32" s="21"/>
    </row>
    <row r="33" customFormat="false" ht="15" hidden="false" customHeight="false" outlineLevel="0" collapsed="false">
      <c r="A33" s="31"/>
      <c r="B33" s="21"/>
      <c r="C33" s="21"/>
      <c r="D33" s="21"/>
      <c r="E33" s="32"/>
      <c r="F33" s="21"/>
    </row>
    <row r="34" customFormat="false" ht="15" hidden="false" customHeight="false" outlineLevel="0" collapsed="false">
      <c r="A34" s="31"/>
      <c r="B34" s="21"/>
      <c r="C34" s="21"/>
      <c r="D34" s="21"/>
      <c r="E34" s="32"/>
      <c r="F34" s="21"/>
    </row>
    <row r="35" customFormat="false" ht="15" hidden="false" customHeight="false" outlineLevel="0" collapsed="false">
      <c r="A35" s="31"/>
      <c r="B35" s="21"/>
      <c r="C35" s="21"/>
      <c r="D35" s="21"/>
      <c r="E35" s="32"/>
      <c r="F35" s="21"/>
    </row>
    <row r="36" customFormat="false" ht="15" hidden="false" customHeight="false" outlineLevel="0" collapsed="false">
      <c r="A36" s="31"/>
      <c r="B36" s="21"/>
      <c r="C36" s="21"/>
      <c r="D36" s="21"/>
      <c r="E36" s="32"/>
      <c r="F36" s="21"/>
    </row>
    <row r="37" customFormat="false" ht="15" hidden="false" customHeight="false" outlineLevel="0" collapsed="false">
      <c r="A37" s="31"/>
      <c r="B37" s="21"/>
      <c r="C37" s="21"/>
      <c r="D37" s="21"/>
      <c r="E37" s="32"/>
      <c r="F37" s="21"/>
    </row>
    <row r="38" customFormat="false" ht="15" hidden="false" customHeight="false" outlineLevel="0" collapsed="false">
      <c r="A38" s="31"/>
      <c r="B38" s="21"/>
      <c r="C38" s="21"/>
      <c r="D38" s="21"/>
      <c r="E38" s="32"/>
      <c r="F38" s="21"/>
    </row>
    <row r="39" customFormat="false" ht="15" hidden="false" customHeight="false" outlineLevel="0" collapsed="false">
      <c r="A39" s="31"/>
      <c r="B39" s="21"/>
      <c r="C39" s="21"/>
      <c r="D39" s="21"/>
      <c r="E39" s="32"/>
      <c r="F39" s="21"/>
    </row>
    <row r="40" customFormat="false" ht="15" hidden="false" customHeight="false" outlineLevel="0" collapsed="false">
      <c r="A40" s="31"/>
      <c r="B40" s="21"/>
      <c r="C40" s="21"/>
      <c r="D40" s="21"/>
      <c r="E40" s="32"/>
      <c r="F40" s="21"/>
    </row>
    <row r="41" customFormat="false" ht="15" hidden="false" customHeight="false" outlineLevel="0" collapsed="false">
      <c r="A41" s="31"/>
      <c r="B41" s="21"/>
      <c r="C41" s="21"/>
      <c r="D41" s="21"/>
      <c r="E41" s="32"/>
      <c r="F41" s="21"/>
    </row>
    <row r="42" customFormat="false" ht="15" hidden="false" customHeight="false" outlineLevel="0" collapsed="false">
      <c r="A42" s="31"/>
      <c r="B42" s="21"/>
      <c r="C42" s="21"/>
      <c r="D42" s="21"/>
      <c r="E42" s="32"/>
      <c r="F42" s="21"/>
    </row>
    <row r="43" customFormat="false" ht="15" hidden="false" customHeight="false" outlineLevel="0" collapsed="false">
      <c r="A43" s="31"/>
      <c r="B43" s="21"/>
      <c r="C43" s="21"/>
      <c r="D43" s="21"/>
      <c r="E43" s="32"/>
      <c r="F43" s="21"/>
    </row>
    <row r="44" customFormat="false" ht="15" hidden="false" customHeight="false" outlineLevel="0" collapsed="false">
      <c r="A44" s="31"/>
      <c r="B44" s="21"/>
      <c r="C44" s="21"/>
      <c r="D44" s="21"/>
      <c r="E44" s="32"/>
      <c r="F44" s="21"/>
    </row>
    <row r="45" customFormat="false" ht="15" hidden="false" customHeight="false" outlineLevel="0" collapsed="false">
      <c r="A45" s="31"/>
      <c r="B45" s="21"/>
      <c r="C45" s="21"/>
      <c r="D45" s="21"/>
      <c r="E45" s="32"/>
      <c r="F45" s="21"/>
    </row>
    <row r="46" customFormat="false" ht="15" hidden="false" customHeight="false" outlineLevel="0" collapsed="false">
      <c r="A46" s="31"/>
      <c r="B46" s="21"/>
      <c r="C46" s="21"/>
      <c r="D46" s="21"/>
      <c r="E46" s="32"/>
      <c r="F46" s="21"/>
    </row>
    <row r="47" customFormat="false" ht="15" hidden="false" customHeight="false" outlineLevel="0" collapsed="false">
      <c r="A47" s="31"/>
      <c r="B47" s="21"/>
      <c r="C47" s="21"/>
      <c r="D47" s="21"/>
      <c r="E47" s="32"/>
      <c r="F47" s="21"/>
    </row>
    <row r="48" customFormat="false" ht="15" hidden="false" customHeight="false" outlineLevel="0" collapsed="false">
      <c r="A48" s="31"/>
      <c r="B48" s="21"/>
      <c r="C48" s="21"/>
      <c r="D48" s="21"/>
      <c r="E48" s="32"/>
      <c r="F48" s="21"/>
    </row>
    <row r="49" customFormat="false" ht="15" hidden="false" customHeight="false" outlineLevel="0" collapsed="false">
      <c r="A49" s="31"/>
      <c r="B49" s="21"/>
      <c r="C49" s="21"/>
      <c r="D49" s="21"/>
      <c r="E49" s="32"/>
      <c r="F49" s="21"/>
    </row>
    <row r="50" customFormat="false" ht="15" hidden="false" customHeight="false" outlineLevel="0" collapsed="false">
      <c r="A50" s="31"/>
      <c r="B50" s="21"/>
      <c r="C50" s="21"/>
      <c r="D50" s="21"/>
      <c r="E50" s="32"/>
      <c r="F50" s="21"/>
    </row>
    <row r="51" customFormat="false" ht="15" hidden="false" customHeight="false" outlineLevel="0" collapsed="false">
      <c r="A51" s="31"/>
      <c r="B51" s="21"/>
      <c r="C51" s="21"/>
      <c r="D51" s="21"/>
      <c r="E51" s="32"/>
      <c r="F51" s="21"/>
    </row>
    <row r="52" customFormat="false" ht="15" hidden="false" customHeight="false" outlineLevel="0" collapsed="false">
      <c r="A52" s="31"/>
      <c r="B52" s="21"/>
      <c r="C52" s="21"/>
      <c r="D52" s="21"/>
      <c r="E52" s="32"/>
      <c r="F52" s="21"/>
    </row>
    <row r="53" customFormat="false" ht="15" hidden="false" customHeight="false" outlineLevel="0" collapsed="false">
      <c r="A53" s="31"/>
      <c r="B53" s="21"/>
      <c r="C53" s="21"/>
      <c r="D53" s="21"/>
      <c r="E53" s="32"/>
      <c r="F53" s="21"/>
    </row>
    <row r="54" customFormat="false" ht="15" hidden="false" customHeight="false" outlineLevel="0" collapsed="false">
      <c r="A54" s="31"/>
      <c r="B54" s="21"/>
      <c r="C54" s="21"/>
      <c r="D54" s="21"/>
      <c r="E54" s="32"/>
      <c r="F54" s="21"/>
    </row>
    <row r="55" customFormat="false" ht="15" hidden="false" customHeight="false" outlineLevel="0" collapsed="false">
      <c r="A55" s="31"/>
      <c r="B55" s="21"/>
      <c r="C55" s="21"/>
      <c r="D55" s="21"/>
      <c r="E55" s="32"/>
      <c r="F55" s="21"/>
    </row>
    <row r="56" customFormat="false" ht="15" hidden="false" customHeight="false" outlineLevel="0" collapsed="false">
      <c r="A56" s="31"/>
      <c r="B56" s="21"/>
      <c r="C56" s="21"/>
      <c r="D56" s="21"/>
      <c r="E56" s="32"/>
      <c r="F56" s="21"/>
    </row>
    <row r="57" customFormat="false" ht="15" hidden="false" customHeight="false" outlineLevel="0" collapsed="false">
      <c r="A57" s="31"/>
      <c r="B57" s="21"/>
      <c r="C57" s="21"/>
      <c r="D57" s="21"/>
      <c r="E57" s="32"/>
      <c r="F57" s="21"/>
    </row>
    <row r="58" customFormat="false" ht="15" hidden="false" customHeight="false" outlineLevel="0" collapsed="false">
      <c r="A58" s="31"/>
      <c r="B58" s="21"/>
      <c r="C58" s="21"/>
      <c r="D58" s="21"/>
      <c r="E58" s="32"/>
      <c r="F58" s="21"/>
    </row>
    <row r="59" customFormat="false" ht="15" hidden="false" customHeight="false" outlineLevel="0" collapsed="false">
      <c r="A59" s="31"/>
      <c r="B59" s="21"/>
      <c r="C59" s="21"/>
      <c r="D59" s="21"/>
      <c r="E59" s="32"/>
      <c r="F59" s="21"/>
    </row>
    <row r="60" customFormat="false" ht="15" hidden="false" customHeight="false" outlineLevel="0" collapsed="false">
      <c r="A60" s="31"/>
      <c r="B60" s="21"/>
      <c r="C60" s="21"/>
      <c r="D60" s="21"/>
      <c r="E60" s="32"/>
      <c r="F60" s="21"/>
    </row>
    <row r="61" customFormat="false" ht="15" hidden="false" customHeight="false" outlineLevel="0" collapsed="false">
      <c r="A61" s="31"/>
      <c r="B61" s="21"/>
      <c r="C61" s="21"/>
      <c r="D61" s="21"/>
      <c r="E61" s="32"/>
      <c r="F61" s="21"/>
    </row>
    <row r="62" customFormat="false" ht="15" hidden="false" customHeight="false" outlineLevel="0" collapsed="false">
      <c r="A62" s="31"/>
      <c r="B62" s="21"/>
      <c r="C62" s="21"/>
      <c r="D62" s="21"/>
      <c r="E62" s="32"/>
      <c r="F62" s="21"/>
    </row>
    <row r="63" customFormat="false" ht="15" hidden="false" customHeight="false" outlineLevel="0" collapsed="false">
      <c r="A63" s="31"/>
      <c r="B63" s="21"/>
      <c r="C63" s="21"/>
      <c r="D63" s="21"/>
      <c r="E63" s="32"/>
      <c r="F63" s="21"/>
    </row>
    <row r="64" customFormat="false" ht="15" hidden="false" customHeight="false" outlineLevel="0" collapsed="false">
      <c r="A64" s="31"/>
      <c r="B64" s="21"/>
      <c r="C64" s="21"/>
      <c r="D64" s="21"/>
      <c r="E64" s="32"/>
      <c r="F64" s="21"/>
    </row>
    <row r="65" customFormat="false" ht="15" hidden="false" customHeight="false" outlineLevel="0" collapsed="false">
      <c r="A65" s="31"/>
      <c r="B65" s="21"/>
      <c r="C65" s="21"/>
      <c r="D65" s="21"/>
      <c r="E65" s="32"/>
      <c r="F65" s="21"/>
    </row>
    <row r="66" customFormat="false" ht="15" hidden="false" customHeight="false" outlineLevel="0" collapsed="false">
      <c r="A66" s="31"/>
      <c r="B66" s="21"/>
      <c r="C66" s="21"/>
      <c r="D66" s="21"/>
      <c r="E66" s="32"/>
      <c r="F66" s="21"/>
    </row>
    <row r="67" customFormat="false" ht="15" hidden="false" customHeight="false" outlineLevel="0" collapsed="false">
      <c r="A67" s="31"/>
      <c r="B67" s="21"/>
      <c r="C67" s="21"/>
      <c r="D67" s="21"/>
      <c r="E67" s="32"/>
      <c r="F67" s="21"/>
    </row>
    <row r="68" customFormat="false" ht="15" hidden="false" customHeight="false" outlineLevel="0" collapsed="false">
      <c r="A68" s="31"/>
      <c r="B68" s="21"/>
      <c r="C68" s="21"/>
      <c r="D68" s="21"/>
      <c r="E68" s="32"/>
      <c r="F68" s="21"/>
    </row>
    <row r="69" customFormat="false" ht="15" hidden="false" customHeight="false" outlineLevel="0" collapsed="false">
      <c r="A69" s="31"/>
      <c r="B69" s="21"/>
      <c r="C69" s="21"/>
      <c r="D69" s="21"/>
      <c r="E69" s="32"/>
      <c r="F69" s="21"/>
    </row>
    <row r="70" customFormat="false" ht="15" hidden="false" customHeight="false" outlineLevel="0" collapsed="false">
      <c r="A70" s="31"/>
      <c r="B70" s="21"/>
      <c r="C70" s="21"/>
      <c r="D70" s="21"/>
      <c r="E70" s="32"/>
      <c r="F70" s="21"/>
    </row>
    <row r="71" customFormat="false" ht="15" hidden="false" customHeight="false" outlineLevel="0" collapsed="false">
      <c r="A71" s="31"/>
      <c r="B71" s="21"/>
      <c r="C71" s="21"/>
      <c r="D71" s="21"/>
      <c r="E71" s="32"/>
      <c r="F71" s="21"/>
    </row>
    <row r="72" customFormat="false" ht="15" hidden="false" customHeight="false" outlineLevel="0" collapsed="false">
      <c r="A72" s="31"/>
      <c r="B72" s="21"/>
      <c r="C72" s="21"/>
      <c r="D72" s="21"/>
      <c r="E72" s="32"/>
      <c r="F72" s="21"/>
    </row>
    <row r="73" customFormat="false" ht="15" hidden="false" customHeight="false" outlineLevel="0" collapsed="false">
      <c r="A73" s="31"/>
      <c r="B73" s="21"/>
      <c r="C73" s="21"/>
      <c r="D73" s="21"/>
      <c r="E73" s="32"/>
      <c r="F73" s="21"/>
    </row>
    <row r="74" customFormat="false" ht="15" hidden="false" customHeight="false" outlineLevel="0" collapsed="false">
      <c r="A74" s="31"/>
      <c r="B74" s="21"/>
      <c r="C74" s="21"/>
      <c r="D74" s="21"/>
      <c r="E74" s="32"/>
      <c r="F74" s="21"/>
    </row>
    <row r="75" customFormat="false" ht="15" hidden="false" customHeight="false" outlineLevel="0" collapsed="false">
      <c r="A75" s="31"/>
      <c r="B75" s="21"/>
      <c r="C75" s="21"/>
      <c r="D75" s="21"/>
      <c r="E75" s="32"/>
      <c r="F75" s="21"/>
    </row>
    <row r="76" customFormat="false" ht="15" hidden="false" customHeight="false" outlineLevel="0" collapsed="false">
      <c r="A76" s="31"/>
      <c r="B76" s="21"/>
      <c r="C76" s="21"/>
      <c r="D76" s="21"/>
      <c r="E76" s="32"/>
      <c r="F76" s="21"/>
    </row>
    <row r="77" customFormat="false" ht="15" hidden="false" customHeight="false" outlineLevel="0" collapsed="false">
      <c r="A77" s="31"/>
      <c r="B77" s="21"/>
      <c r="C77" s="21"/>
      <c r="D77" s="21"/>
      <c r="E77" s="32"/>
      <c r="F77" s="21"/>
    </row>
    <row r="78" customFormat="false" ht="15" hidden="false" customHeight="false" outlineLevel="0" collapsed="false">
      <c r="A78" s="31"/>
      <c r="B78" s="21"/>
      <c r="C78" s="21"/>
      <c r="D78" s="21"/>
      <c r="E78" s="32"/>
      <c r="F78" s="21"/>
    </row>
    <row r="79" customFormat="false" ht="15" hidden="false" customHeight="false" outlineLevel="0" collapsed="false">
      <c r="A79" s="31"/>
      <c r="B79" s="21"/>
      <c r="C79" s="21"/>
      <c r="D79" s="21"/>
      <c r="E79" s="32"/>
      <c r="F79" s="21"/>
    </row>
    <row r="80" customFormat="false" ht="15" hidden="false" customHeight="false" outlineLevel="0" collapsed="false">
      <c r="A80" s="31"/>
      <c r="B80" s="21"/>
      <c r="C80" s="21"/>
      <c r="D80" s="21"/>
      <c r="E80" s="32"/>
      <c r="F80" s="21"/>
    </row>
    <row r="81" customFormat="false" ht="15" hidden="false" customHeight="false" outlineLevel="0" collapsed="false">
      <c r="A81" s="31"/>
      <c r="B81" s="21"/>
      <c r="C81" s="21"/>
      <c r="D81" s="21"/>
      <c r="E81" s="32"/>
      <c r="F81" s="21"/>
    </row>
    <row r="82" customFormat="false" ht="15" hidden="false" customHeight="false" outlineLevel="0" collapsed="false">
      <c r="A82" s="31"/>
      <c r="B82" s="21"/>
      <c r="C82" s="21"/>
      <c r="D82" s="21"/>
      <c r="E82" s="32"/>
      <c r="F82" s="21"/>
    </row>
    <row r="83" customFormat="false" ht="15" hidden="false" customHeight="false" outlineLevel="0" collapsed="false">
      <c r="A83" s="31"/>
      <c r="B83" s="21"/>
      <c r="C83" s="21"/>
      <c r="D83" s="21"/>
      <c r="E83" s="32"/>
      <c r="F83" s="21"/>
    </row>
    <row r="84" customFormat="false" ht="15" hidden="false" customHeight="false" outlineLevel="0" collapsed="false">
      <c r="A84" s="31"/>
      <c r="B84" s="21"/>
      <c r="C84" s="21"/>
      <c r="D84" s="21"/>
      <c r="E84" s="32"/>
      <c r="F84" s="21"/>
    </row>
    <row r="85" customFormat="false" ht="15" hidden="false" customHeight="false" outlineLevel="0" collapsed="false">
      <c r="A85" s="31"/>
      <c r="B85" s="21"/>
      <c r="C85" s="21"/>
      <c r="D85" s="21"/>
      <c r="E85" s="32"/>
      <c r="F85" s="21"/>
    </row>
    <row r="86" customFormat="false" ht="15" hidden="false" customHeight="false" outlineLevel="0" collapsed="false">
      <c r="A86" s="31"/>
      <c r="B86" s="21"/>
      <c r="C86" s="21"/>
      <c r="D86" s="21"/>
      <c r="E86" s="32"/>
      <c r="F86" s="21"/>
    </row>
    <row r="87" customFormat="false" ht="15" hidden="false" customHeight="false" outlineLevel="0" collapsed="false">
      <c r="A87" s="31"/>
      <c r="B87" s="21"/>
      <c r="C87" s="21"/>
      <c r="D87" s="21"/>
      <c r="E87" s="32"/>
      <c r="F87" s="21"/>
    </row>
    <row r="88" customFormat="false" ht="15" hidden="false" customHeight="false" outlineLevel="0" collapsed="false">
      <c r="A88" s="31"/>
      <c r="B88" s="21"/>
      <c r="C88" s="21"/>
      <c r="D88" s="21"/>
      <c r="E88" s="32"/>
      <c r="F88" s="21"/>
    </row>
    <row r="89" customFormat="false" ht="15" hidden="false" customHeight="false" outlineLevel="0" collapsed="false">
      <c r="A89" s="31"/>
      <c r="B89" s="21"/>
      <c r="C89" s="21"/>
      <c r="D89" s="21"/>
      <c r="E89" s="32"/>
      <c r="F89" s="21"/>
    </row>
    <row r="90" customFormat="false" ht="15" hidden="false" customHeight="false" outlineLevel="0" collapsed="false">
      <c r="A90" s="31"/>
      <c r="B90" s="21"/>
      <c r="C90" s="21"/>
      <c r="D90" s="21"/>
      <c r="E90" s="32"/>
      <c r="F90" s="21"/>
    </row>
    <row r="91" customFormat="false" ht="15" hidden="false" customHeight="false" outlineLevel="0" collapsed="false">
      <c r="A91" s="31"/>
      <c r="B91" s="21"/>
      <c r="C91" s="21"/>
      <c r="D91" s="21"/>
      <c r="E91" s="32"/>
      <c r="F91" s="21"/>
    </row>
    <row r="92" customFormat="false" ht="15" hidden="false" customHeight="false" outlineLevel="0" collapsed="false">
      <c r="A92" s="31"/>
      <c r="B92" s="21"/>
      <c r="C92" s="21"/>
      <c r="D92" s="21"/>
      <c r="E92" s="32"/>
      <c r="F92" s="21"/>
    </row>
    <row r="93" customFormat="false" ht="15" hidden="false" customHeight="false" outlineLevel="0" collapsed="false">
      <c r="A93" s="31"/>
      <c r="B93" s="21"/>
      <c r="C93" s="21"/>
      <c r="D93" s="21"/>
      <c r="E93" s="32"/>
      <c r="F93" s="21"/>
    </row>
    <row r="94" customFormat="false" ht="15" hidden="false" customHeight="false" outlineLevel="0" collapsed="false">
      <c r="A94" s="31"/>
      <c r="B94" s="21"/>
      <c r="C94" s="21"/>
      <c r="D94" s="21"/>
      <c r="E94" s="32"/>
      <c r="F94" s="21"/>
    </row>
    <row r="95" customFormat="false" ht="15" hidden="false" customHeight="false" outlineLevel="0" collapsed="false">
      <c r="A95" s="31"/>
      <c r="B95" s="21"/>
      <c r="C95" s="21"/>
      <c r="D95" s="21"/>
      <c r="E95" s="32"/>
      <c r="F95" s="21"/>
    </row>
    <row r="96" customFormat="false" ht="15" hidden="false" customHeight="false" outlineLevel="0" collapsed="false">
      <c r="A96" s="31"/>
      <c r="B96" s="21"/>
      <c r="C96" s="21"/>
      <c r="D96" s="21"/>
      <c r="E96" s="32"/>
      <c r="F96" s="21"/>
    </row>
    <row r="97" customFormat="false" ht="15" hidden="false" customHeight="false" outlineLevel="0" collapsed="false">
      <c r="A97" s="31"/>
      <c r="B97" s="21"/>
      <c r="C97" s="21"/>
      <c r="D97" s="21"/>
      <c r="E97" s="32"/>
      <c r="F97" s="21"/>
    </row>
    <row r="98" customFormat="false" ht="15" hidden="false" customHeight="false" outlineLevel="0" collapsed="false">
      <c r="A98" s="31"/>
      <c r="B98" s="21"/>
      <c r="C98" s="21"/>
      <c r="D98" s="21"/>
      <c r="E98" s="32"/>
      <c r="F98" s="21"/>
    </row>
    <row r="99" customFormat="false" ht="15" hidden="false" customHeight="false" outlineLevel="0" collapsed="false">
      <c r="A99" s="31"/>
      <c r="B99" s="21"/>
      <c r="C99" s="21"/>
      <c r="D99" s="21"/>
      <c r="E99" s="32"/>
      <c r="F99" s="21"/>
    </row>
    <row r="100" customFormat="false" ht="15" hidden="false" customHeight="false" outlineLevel="0" collapsed="false">
      <c r="A100" s="31"/>
      <c r="B100" s="21"/>
      <c r="C100" s="21"/>
      <c r="D100" s="21"/>
      <c r="E100" s="32"/>
      <c r="F100" s="21"/>
    </row>
    <row r="101" customFormat="false" ht="15" hidden="false" customHeight="false" outlineLevel="0" collapsed="false">
      <c r="A101" s="31"/>
      <c r="B101" s="21"/>
      <c r="C101" s="21"/>
      <c r="D101" s="21"/>
      <c r="E101" s="32"/>
      <c r="F101" s="21"/>
    </row>
    <row r="102" customFormat="false" ht="15" hidden="false" customHeight="false" outlineLevel="0" collapsed="false">
      <c r="A102" s="31"/>
      <c r="B102" s="21"/>
      <c r="C102" s="21"/>
      <c r="D102" s="21"/>
      <c r="E102" s="32"/>
      <c r="F102" s="21"/>
    </row>
    <row r="103" customFormat="false" ht="15" hidden="false" customHeight="false" outlineLevel="0" collapsed="false">
      <c r="A103" s="31"/>
      <c r="B103" s="21"/>
      <c r="C103" s="21"/>
      <c r="D103" s="21"/>
      <c r="E103" s="32"/>
      <c r="F103" s="21"/>
    </row>
    <row r="104" customFormat="false" ht="15" hidden="false" customHeight="false" outlineLevel="0" collapsed="false">
      <c r="A104" s="31"/>
      <c r="B104" s="21"/>
      <c r="C104" s="21"/>
      <c r="D104" s="21"/>
      <c r="E104" s="32"/>
      <c r="F104" s="21"/>
    </row>
    <row r="105" customFormat="false" ht="15" hidden="false" customHeight="false" outlineLevel="0" collapsed="false">
      <c r="A105" s="31"/>
      <c r="B105" s="21"/>
      <c r="C105" s="21"/>
      <c r="D105" s="21"/>
      <c r="E105" s="32"/>
      <c r="F105" s="21"/>
    </row>
    <row r="106" customFormat="false" ht="15" hidden="false" customHeight="false" outlineLevel="0" collapsed="false">
      <c r="A106" s="31"/>
      <c r="B106" s="21"/>
      <c r="C106" s="21"/>
      <c r="D106" s="21"/>
      <c r="E106" s="32"/>
      <c r="F106" s="21"/>
    </row>
    <row r="107" customFormat="false" ht="15" hidden="false" customHeight="false" outlineLevel="0" collapsed="false">
      <c r="A107" s="31"/>
      <c r="B107" s="21"/>
      <c r="C107" s="21"/>
      <c r="D107" s="21"/>
      <c r="E107" s="32"/>
      <c r="F107" s="21"/>
    </row>
    <row r="108" customFormat="false" ht="15" hidden="false" customHeight="false" outlineLevel="0" collapsed="false">
      <c r="A108" s="31"/>
      <c r="B108" s="21"/>
      <c r="C108" s="21"/>
      <c r="D108" s="21"/>
      <c r="E108" s="32"/>
      <c r="F108" s="21"/>
    </row>
    <row r="109" customFormat="false" ht="15" hidden="false" customHeight="false" outlineLevel="0" collapsed="false">
      <c r="A109" s="31"/>
      <c r="B109" s="21"/>
      <c r="C109" s="21"/>
      <c r="D109" s="21"/>
      <c r="E109" s="32"/>
      <c r="F109" s="21"/>
    </row>
    <row r="110" customFormat="false" ht="15" hidden="false" customHeight="false" outlineLevel="0" collapsed="false">
      <c r="A110" s="31"/>
      <c r="B110" s="21"/>
      <c r="C110" s="21"/>
      <c r="D110" s="21"/>
      <c r="E110" s="32"/>
      <c r="F110" s="21"/>
    </row>
    <row r="111" customFormat="false" ht="15" hidden="false" customHeight="false" outlineLevel="0" collapsed="false">
      <c r="A111" s="31"/>
      <c r="B111" s="21"/>
      <c r="C111" s="21"/>
      <c r="D111" s="21"/>
      <c r="E111" s="32"/>
      <c r="F111" s="21"/>
    </row>
    <row r="112" customFormat="false" ht="15" hidden="false" customHeight="false" outlineLevel="0" collapsed="false">
      <c r="A112" s="31"/>
      <c r="B112" s="21"/>
      <c r="C112" s="21"/>
      <c r="D112" s="21"/>
      <c r="E112" s="32"/>
      <c r="F112" s="21"/>
    </row>
    <row r="113" customFormat="false" ht="15" hidden="false" customHeight="false" outlineLevel="0" collapsed="false">
      <c r="A113" s="31"/>
      <c r="B113" s="21"/>
      <c r="C113" s="21"/>
      <c r="D113" s="21"/>
      <c r="E113" s="32"/>
      <c r="F113" s="21"/>
    </row>
    <row r="114" customFormat="false" ht="15" hidden="false" customHeight="false" outlineLevel="0" collapsed="false">
      <c r="A114" s="31"/>
      <c r="B114" s="21"/>
      <c r="C114" s="21"/>
      <c r="D114" s="21"/>
      <c r="E114" s="32"/>
      <c r="F114" s="21"/>
    </row>
    <row r="115" customFormat="false" ht="15" hidden="false" customHeight="false" outlineLevel="0" collapsed="false">
      <c r="A115" s="31"/>
      <c r="B115" s="21"/>
      <c r="C115" s="21"/>
      <c r="D115" s="21"/>
      <c r="E115" s="32"/>
      <c r="F115" s="21"/>
    </row>
    <row r="116" customFormat="false" ht="15" hidden="false" customHeight="false" outlineLevel="0" collapsed="false">
      <c r="A116" s="31"/>
      <c r="B116" s="21"/>
      <c r="C116" s="21"/>
      <c r="D116" s="21"/>
      <c r="E116" s="32"/>
      <c r="F116" s="21"/>
    </row>
    <row r="117" customFormat="false" ht="15" hidden="false" customHeight="false" outlineLevel="0" collapsed="false">
      <c r="A117" s="31"/>
      <c r="B117" s="21"/>
      <c r="C117" s="21"/>
      <c r="D117" s="21"/>
      <c r="E117" s="32"/>
      <c r="F117" s="21"/>
    </row>
    <row r="118" customFormat="false" ht="15" hidden="false" customHeight="false" outlineLevel="0" collapsed="false">
      <c r="A118" s="31"/>
      <c r="B118" s="21"/>
      <c r="C118" s="21"/>
      <c r="D118" s="21"/>
      <c r="E118" s="32"/>
      <c r="F118" s="21"/>
    </row>
    <row r="119" customFormat="false" ht="15" hidden="false" customHeight="false" outlineLevel="0" collapsed="false">
      <c r="A119" s="31"/>
      <c r="B119" s="21"/>
      <c r="C119" s="21"/>
      <c r="D119" s="21"/>
      <c r="E119" s="32"/>
      <c r="F119" s="21"/>
    </row>
    <row r="120" customFormat="false" ht="15" hidden="false" customHeight="false" outlineLevel="0" collapsed="false">
      <c r="A120" s="31"/>
      <c r="B120" s="21"/>
      <c r="C120" s="21"/>
      <c r="D120" s="21"/>
      <c r="E120" s="32"/>
      <c r="F120" s="21"/>
    </row>
    <row r="121" customFormat="false" ht="15" hidden="false" customHeight="false" outlineLevel="0" collapsed="false">
      <c r="A121" s="31"/>
      <c r="B121" s="21"/>
      <c r="C121" s="21"/>
      <c r="D121" s="21"/>
      <c r="E121" s="32"/>
      <c r="F121" s="21"/>
    </row>
    <row r="122" customFormat="false" ht="15" hidden="false" customHeight="false" outlineLevel="0" collapsed="false">
      <c r="A122" s="31"/>
      <c r="B122" s="21"/>
      <c r="C122" s="21"/>
      <c r="D122" s="21"/>
      <c r="E122" s="32"/>
      <c r="F122" s="21"/>
    </row>
    <row r="123" customFormat="false" ht="15" hidden="false" customHeight="false" outlineLevel="0" collapsed="false">
      <c r="A123" s="31"/>
      <c r="B123" s="21"/>
      <c r="C123" s="21"/>
      <c r="D123" s="21"/>
      <c r="E123" s="32"/>
      <c r="F123" s="21"/>
    </row>
    <row r="124" customFormat="false" ht="15" hidden="false" customHeight="false" outlineLevel="0" collapsed="false">
      <c r="A124" s="31"/>
      <c r="B124" s="21"/>
      <c r="C124" s="21"/>
      <c r="D124" s="21"/>
      <c r="E124" s="32"/>
      <c r="F124" s="21"/>
    </row>
    <row r="125" customFormat="false" ht="15" hidden="false" customHeight="false" outlineLevel="0" collapsed="false">
      <c r="A125" s="31"/>
      <c r="B125" s="21"/>
      <c r="C125" s="21"/>
      <c r="D125" s="21"/>
      <c r="E125" s="32"/>
      <c r="F125" s="21"/>
    </row>
    <row r="126" customFormat="false" ht="15" hidden="false" customHeight="false" outlineLevel="0" collapsed="false">
      <c r="A126" s="31"/>
      <c r="B126" s="21"/>
      <c r="C126" s="21"/>
      <c r="D126" s="21"/>
      <c r="E126" s="32"/>
      <c r="F126" s="21"/>
    </row>
    <row r="127" customFormat="false" ht="15" hidden="false" customHeight="false" outlineLevel="0" collapsed="false">
      <c r="A127" s="31"/>
      <c r="B127" s="21"/>
      <c r="C127" s="21"/>
      <c r="D127" s="21"/>
      <c r="E127" s="32"/>
      <c r="F127" s="21"/>
    </row>
    <row r="128" customFormat="false" ht="15" hidden="false" customHeight="false" outlineLevel="0" collapsed="false">
      <c r="A128" s="31"/>
      <c r="B128" s="21"/>
      <c r="C128" s="21"/>
      <c r="D128" s="21"/>
      <c r="E128" s="32"/>
      <c r="F128" s="21"/>
    </row>
    <row r="129" customFormat="false" ht="15" hidden="false" customHeight="false" outlineLevel="0" collapsed="false">
      <c r="A129" s="31"/>
      <c r="B129" s="21"/>
      <c r="C129" s="21"/>
      <c r="D129" s="21"/>
      <c r="E129" s="32"/>
      <c r="F129" s="21"/>
    </row>
    <row r="130" customFormat="false" ht="15" hidden="false" customHeight="false" outlineLevel="0" collapsed="false">
      <c r="A130" s="31"/>
      <c r="B130" s="21"/>
      <c r="C130" s="21"/>
      <c r="D130" s="21"/>
      <c r="E130" s="32"/>
      <c r="F130" s="21"/>
    </row>
    <row r="131" customFormat="false" ht="15" hidden="false" customHeight="false" outlineLevel="0" collapsed="false">
      <c r="A131" s="31"/>
      <c r="B131" s="21"/>
      <c r="C131" s="21"/>
      <c r="D131" s="21"/>
      <c r="E131" s="32"/>
      <c r="F131" s="21"/>
    </row>
    <row r="132" customFormat="false" ht="15" hidden="false" customHeight="false" outlineLevel="0" collapsed="false">
      <c r="A132" s="31"/>
      <c r="B132" s="21"/>
      <c r="C132" s="21"/>
      <c r="D132" s="21"/>
      <c r="E132" s="32"/>
      <c r="F132" s="21"/>
    </row>
    <row r="133" customFormat="false" ht="15" hidden="false" customHeight="false" outlineLevel="0" collapsed="false">
      <c r="A133" s="31"/>
      <c r="B133" s="21"/>
      <c r="C133" s="21"/>
      <c r="D133" s="21"/>
      <c r="E133" s="32"/>
      <c r="F133" s="21"/>
    </row>
    <row r="134" customFormat="false" ht="15" hidden="false" customHeight="false" outlineLevel="0" collapsed="false">
      <c r="A134" s="31"/>
      <c r="B134" s="21"/>
      <c r="C134" s="21"/>
      <c r="D134" s="21"/>
      <c r="E134" s="32"/>
      <c r="F134" s="21"/>
    </row>
    <row r="135" customFormat="false" ht="15" hidden="false" customHeight="false" outlineLevel="0" collapsed="false">
      <c r="A135" s="31"/>
      <c r="B135" s="21"/>
      <c r="C135" s="21"/>
      <c r="D135" s="21"/>
      <c r="E135" s="32"/>
      <c r="F135" s="21"/>
    </row>
    <row r="136" customFormat="false" ht="15" hidden="false" customHeight="false" outlineLevel="0" collapsed="false">
      <c r="A136" s="31"/>
      <c r="B136" s="21"/>
      <c r="C136" s="21"/>
      <c r="D136" s="21"/>
      <c r="E136" s="32"/>
      <c r="F136" s="21"/>
    </row>
    <row r="137" customFormat="false" ht="15" hidden="false" customHeight="false" outlineLevel="0" collapsed="false">
      <c r="A137" s="31"/>
      <c r="B137" s="21"/>
      <c r="C137" s="21"/>
      <c r="D137" s="21"/>
      <c r="E137" s="32"/>
      <c r="F137" s="21"/>
    </row>
    <row r="138" customFormat="false" ht="15" hidden="false" customHeight="false" outlineLevel="0" collapsed="false">
      <c r="A138" s="31"/>
      <c r="B138" s="21"/>
      <c r="C138" s="21"/>
      <c r="D138" s="21"/>
      <c r="E138" s="32"/>
      <c r="F138" s="21"/>
    </row>
    <row r="139" customFormat="false" ht="15" hidden="false" customHeight="false" outlineLevel="0" collapsed="false">
      <c r="A139" s="31"/>
      <c r="B139" s="21"/>
      <c r="C139" s="21"/>
      <c r="D139" s="21"/>
      <c r="E139" s="32"/>
      <c r="F139" s="21"/>
    </row>
    <row r="140" customFormat="false" ht="15" hidden="false" customHeight="false" outlineLevel="0" collapsed="false">
      <c r="A140" s="31"/>
      <c r="B140" s="21"/>
      <c r="C140" s="21"/>
      <c r="D140" s="21"/>
      <c r="E140" s="32"/>
      <c r="F140" s="21"/>
    </row>
    <row r="141" customFormat="false" ht="15" hidden="false" customHeight="false" outlineLevel="0" collapsed="false">
      <c r="A141" s="31"/>
      <c r="B141" s="21"/>
      <c r="C141" s="21"/>
      <c r="D141" s="21"/>
      <c r="E141" s="32"/>
      <c r="F141" s="21"/>
    </row>
    <row r="142" customFormat="false" ht="15" hidden="false" customHeight="false" outlineLevel="0" collapsed="false">
      <c r="A142" s="31"/>
      <c r="B142" s="21"/>
      <c r="C142" s="21"/>
      <c r="D142" s="21"/>
      <c r="E142" s="32"/>
      <c r="F142" s="21"/>
    </row>
    <row r="143" customFormat="false" ht="15" hidden="false" customHeight="false" outlineLevel="0" collapsed="false">
      <c r="A143" s="31"/>
      <c r="B143" s="21"/>
      <c r="C143" s="21"/>
      <c r="D143" s="21"/>
      <c r="E143" s="32"/>
      <c r="F143" s="21"/>
    </row>
    <row r="144" customFormat="false" ht="15" hidden="false" customHeight="false" outlineLevel="0" collapsed="false">
      <c r="A144" s="31"/>
      <c r="B144" s="21"/>
      <c r="C144" s="21"/>
      <c r="D144" s="21"/>
      <c r="E144" s="32"/>
      <c r="F144" s="21"/>
    </row>
    <row r="145" customFormat="false" ht="15" hidden="false" customHeight="false" outlineLevel="0" collapsed="false">
      <c r="A145" s="31"/>
      <c r="B145" s="21"/>
      <c r="C145" s="21"/>
      <c r="D145" s="21"/>
      <c r="E145" s="32"/>
      <c r="F145" s="21"/>
    </row>
    <row r="146" customFormat="false" ht="15" hidden="false" customHeight="false" outlineLevel="0" collapsed="false">
      <c r="A146" s="31"/>
      <c r="B146" s="21"/>
      <c r="C146" s="21"/>
      <c r="D146" s="21"/>
      <c r="E146" s="32"/>
      <c r="F146" s="21"/>
    </row>
    <row r="147" customFormat="false" ht="15" hidden="false" customHeight="false" outlineLevel="0" collapsed="false">
      <c r="A147" s="31"/>
      <c r="B147" s="21"/>
      <c r="C147" s="21"/>
      <c r="D147" s="21"/>
      <c r="E147" s="32"/>
      <c r="F147" s="21"/>
    </row>
    <row r="148" customFormat="false" ht="15" hidden="false" customHeight="false" outlineLevel="0" collapsed="false">
      <c r="A148" s="31"/>
      <c r="B148" s="21"/>
      <c r="C148" s="21"/>
      <c r="D148" s="21"/>
      <c r="E148" s="32"/>
      <c r="F148" s="21"/>
    </row>
    <row r="149" customFormat="false" ht="15" hidden="false" customHeight="false" outlineLevel="0" collapsed="false">
      <c r="A149" s="31"/>
      <c r="B149" s="21"/>
      <c r="C149" s="21"/>
      <c r="D149" s="21"/>
      <c r="E149" s="32"/>
      <c r="F149" s="21"/>
    </row>
    <row r="150" customFormat="false" ht="15" hidden="false" customHeight="false" outlineLevel="0" collapsed="false">
      <c r="A150" s="31"/>
      <c r="B150" s="21"/>
      <c r="C150" s="21"/>
      <c r="D150" s="21"/>
      <c r="E150" s="32"/>
      <c r="F150" s="21"/>
    </row>
    <row r="151" customFormat="false" ht="15" hidden="false" customHeight="false" outlineLevel="0" collapsed="false">
      <c r="A151" s="31"/>
      <c r="B151" s="21"/>
      <c r="C151" s="21"/>
      <c r="D151" s="21"/>
      <c r="E151" s="32"/>
      <c r="F151" s="21"/>
    </row>
    <row r="152" customFormat="false" ht="15" hidden="false" customHeight="false" outlineLevel="0" collapsed="false">
      <c r="A152" s="31"/>
      <c r="B152" s="21"/>
      <c r="C152" s="21"/>
      <c r="D152" s="21"/>
      <c r="E152" s="32"/>
      <c r="F152" s="21"/>
    </row>
    <row r="153" customFormat="false" ht="15" hidden="false" customHeight="false" outlineLevel="0" collapsed="false">
      <c r="A153" s="31"/>
      <c r="B153" s="21"/>
      <c r="C153" s="21"/>
      <c r="D153" s="21"/>
      <c r="E153" s="32"/>
      <c r="F153" s="21"/>
    </row>
    <row r="154" customFormat="false" ht="15" hidden="false" customHeight="false" outlineLevel="0" collapsed="false">
      <c r="A154" s="31"/>
      <c r="B154" s="21"/>
      <c r="C154" s="21"/>
      <c r="D154" s="21"/>
      <c r="E154" s="32"/>
      <c r="F154" s="21"/>
    </row>
    <row r="155" customFormat="false" ht="15" hidden="false" customHeight="false" outlineLevel="0" collapsed="false">
      <c r="A155" s="31"/>
      <c r="B155" s="21"/>
      <c r="C155" s="21"/>
      <c r="D155" s="21"/>
      <c r="E155" s="32"/>
      <c r="F155" s="21"/>
    </row>
    <row r="156" customFormat="false" ht="15" hidden="false" customHeight="false" outlineLevel="0" collapsed="false">
      <c r="A156" s="31"/>
      <c r="B156" s="21"/>
      <c r="C156" s="21"/>
      <c r="D156" s="21"/>
      <c r="E156" s="32"/>
      <c r="F156" s="21"/>
    </row>
    <row r="157" customFormat="false" ht="15" hidden="false" customHeight="false" outlineLevel="0" collapsed="false">
      <c r="A157" s="31"/>
      <c r="B157" s="21"/>
      <c r="C157" s="21"/>
      <c r="D157" s="21"/>
      <c r="E157" s="32"/>
      <c r="F157" s="21"/>
    </row>
    <row r="158" customFormat="false" ht="15" hidden="false" customHeight="false" outlineLevel="0" collapsed="false">
      <c r="A158" s="31"/>
      <c r="B158" s="21"/>
      <c r="C158" s="21"/>
      <c r="D158" s="21"/>
      <c r="E158" s="32"/>
      <c r="F158" s="21"/>
    </row>
    <row r="159" customFormat="false" ht="15" hidden="false" customHeight="false" outlineLevel="0" collapsed="false">
      <c r="A159" s="31"/>
      <c r="B159" s="21"/>
      <c r="C159" s="21"/>
      <c r="D159" s="21"/>
      <c r="E159" s="32"/>
      <c r="F159" s="21"/>
    </row>
    <row r="160" customFormat="false" ht="15" hidden="false" customHeight="false" outlineLevel="0" collapsed="false">
      <c r="A160" s="31"/>
      <c r="B160" s="21"/>
      <c r="C160" s="21"/>
      <c r="D160" s="21"/>
      <c r="E160" s="32"/>
      <c r="F160" s="21"/>
    </row>
    <row r="161" customFormat="false" ht="15" hidden="false" customHeight="false" outlineLevel="0" collapsed="false">
      <c r="A161" s="31"/>
      <c r="B161" s="21"/>
      <c r="C161" s="21"/>
      <c r="D161" s="21"/>
      <c r="E161" s="32"/>
      <c r="F161" s="21"/>
    </row>
    <row r="162" customFormat="false" ht="15" hidden="false" customHeight="false" outlineLevel="0" collapsed="false">
      <c r="A162" s="31"/>
      <c r="B162" s="21"/>
      <c r="C162" s="21"/>
      <c r="D162" s="21"/>
      <c r="E162" s="32"/>
      <c r="F162" s="21"/>
    </row>
    <row r="163" customFormat="false" ht="15" hidden="false" customHeight="false" outlineLevel="0" collapsed="false">
      <c r="A163" s="31"/>
      <c r="B163" s="21"/>
      <c r="C163" s="21"/>
      <c r="D163" s="21"/>
      <c r="E163" s="32"/>
      <c r="F163" s="21"/>
    </row>
    <row r="164" customFormat="false" ht="15" hidden="false" customHeight="false" outlineLevel="0" collapsed="false">
      <c r="A164" s="31"/>
      <c r="B164" s="21"/>
      <c r="C164" s="21"/>
      <c r="D164" s="21"/>
      <c r="E164" s="32"/>
      <c r="F164" s="21"/>
    </row>
    <row r="165" customFormat="false" ht="15" hidden="false" customHeight="false" outlineLevel="0" collapsed="false">
      <c r="A165" s="31"/>
      <c r="B165" s="21"/>
      <c r="C165" s="21"/>
      <c r="D165" s="21"/>
      <c r="E165" s="32"/>
      <c r="F165" s="21"/>
    </row>
    <row r="166" customFormat="false" ht="15" hidden="false" customHeight="false" outlineLevel="0" collapsed="false">
      <c r="A166" s="31"/>
      <c r="B166" s="21"/>
      <c r="C166" s="21"/>
      <c r="D166" s="21"/>
      <c r="E166" s="32"/>
      <c r="F166" s="21"/>
    </row>
    <row r="167" customFormat="false" ht="15" hidden="false" customHeight="false" outlineLevel="0" collapsed="false">
      <c r="A167" s="31"/>
      <c r="B167" s="21"/>
      <c r="C167" s="21"/>
      <c r="D167" s="21"/>
      <c r="E167" s="32"/>
      <c r="F167" s="21"/>
    </row>
    <row r="168" customFormat="false" ht="15" hidden="false" customHeight="false" outlineLevel="0" collapsed="false">
      <c r="A168" s="31"/>
      <c r="B168" s="21"/>
      <c r="C168" s="21"/>
      <c r="D168" s="21"/>
      <c r="E168" s="32"/>
      <c r="F168" s="21"/>
    </row>
    <row r="169" customFormat="false" ht="15" hidden="false" customHeight="false" outlineLevel="0" collapsed="false">
      <c r="A169" s="31"/>
      <c r="B169" s="21"/>
      <c r="C169" s="21"/>
      <c r="D169" s="21"/>
      <c r="E169" s="32"/>
      <c r="F169" s="21"/>
    </row>
    <row r="170" customFormat="false" ht="15" hidden="false" customHeight="false" outlineLevel="0" collapsed="false">
      <c r="A170" s="31"/>
      <c r="B170" s="21"/>
      <c r="C170" s="21"/>
      <c r="D170" s="21"/>
      <c r="E170" s="32"/>
      <c r="F170" s="21"/>
    </row>
    <row r="171" customFormat="false" ht="15" hidden="false" customHeight="false" outlineLevel="0" collapsed="false">
      <c r="A171" s="31"/>
      <c r="B171" s="21"/>
      <c r="C171" s="21"/>
      <c r="D171" s="21"/>
      <c r="E171" s="32"/>
      <c r="F171" s="21"/>
    </row>
    <row r="172" customFormat="false" ht="15" hidden="false" customHeight="false" outlineLevel="0" collapsed="false">
      <c r="A172" s="31"/>
      <c r="B172" s="21"/>
      <c r="C172" s="21"/>
      <c r="D172" s="21"/>
      <c r="E172" s="32"/>
      <c r="F172" s="21"/>
    </row>
    <row r="173" customFormat="false" ht="15" hidden="false" customHeight="false" outlineLevel="0" collapsed="false">
      <c r="A173" s="31"/>
      <c r="B173" s="21"/>
      <c r="C173" s="21"/>
      <c r="D173" s="21"/>
      <c r="E173" s="32"/>
      <c r="F173" s="21"/>
    </row>
    <row r="174" customFormat="false" ht="15" hidden="false" customHeight="false" outlineLevel="0" collapsed="false">
      <c r="A174" s="31"/>
      <c r="B174" s="21"/>
      <c r="C174" s="21"/>
      <c r="D174" s="21"/>
      <c r="E174" s="32"/>
      <c r="F174" s="21"/>
    </row>
    <row r="175" customFormat="false" ht="15" hidden="false" customHeight="false" outlineLevel="0" collapsed="false">
      <c r="A175" s="31"/>
      <c r="B175" s="21"/>
      <c r="C175" s="21"/>
      <c r="D175" s="21"/>
      <c r="E175" s="32"/>
      <c r="F175" s="21"/>
    </row>
    <row r="176" customFormat="false" ht="15" hidden="false" customHeight="false" outlineLevel="0" collapsed="false">
      <c r="A176" s="31"/>
      <c r="B176" s="21"/>
      <c r="C176" s="21"/>
      <c r="D176" s="21"/>
      <c r="E176" s="32"/>
      <c r="F176" s="21"/>
    </row>
    <row r="177" customFormat="false" ht="15" hidden="false" customHeight="false" outlineLevel="0" collapsed="false">
      <c r="A177" s="31"/>
      <c r="B177" s="21"/>
      <c r="C177" s="21"/>
      <c r="D177" s="21"/>
      <c r="E177" s="32"/>
      <c r="F177" s="21"/>
    </row>
    <row r="178" customFormat="false" ht="15" hidden="false" customHeight="false" outlineLevel="0" collapsed="false">
      <c r="A178" s="31"/>
      <c r="B178" s="21"/>
      <c r="C178" s="21"/>
      <c r="D178" s="21"/>
      <c r="E178" s="32"/>
      <c r="F178" s="21"/>
    </row>
    <row r="179" customFormat="false" ht="15" hidden="false" customHeight="false" outlineLevel="0" collapsed="false">
      <c r="A179" s="31"/>
      <c r="B179" s="21"/>
      <c r="C179" s="21"/>
      <c r="D179" s="21"/>
      <c r="E179" s="32"/>
      <c r="F179" s="21"/>
    </row>
    <row r="180" customFormat="false" ht="15" hidden="false" customHeight="false" outlineLevel="0" collapsed="false">
      <c r="A180" s="31"/>
      <c r="B180" s="21"/>
      <c r="C180" s="21"/>
      <c r="D180" s="21"/>
      <c r="E180" s="32"/>
      <c r="F180" s="21"/>
    </row>
    <row r="181" customFormat="false" ht="15" hidden="false" customHeight="false" outlineLevel="0" collapsed="false">
      <c r="A181" s="31"/>
      <c r="B181" s="21"/>
      <c r="C181" s="21"/>
      <c r="D181" s="21"/>
      <c r="E181" s="32"/>
      <c r="F181" s="21"/>
    </row>
    <row r="182" customFormat="false" ht="15" hidden="false" customHeight="false" outlineLevel="0" collapsed="false">
      <c r="A182" s="31"/>
      <c r="B182" s="21"/>
      <c r="C182" s="21"/>
      <c r="D182" s="21"/>
      <c r="E182" s="32"/>
      <c r="F182" s="21"/>
    </row>
    <row r="183" customFormat="false" ht="15" hidden="false" customHeight="false" outlineLevel="0" collapsed="false">
      <c r="A183" s="31"/>
      <c r="B183" s="21"/>
      <c r="C183" s="21"/>
      <c r="D183" s="21"/>
      <c r="E183" s="32"/>
      <c r="F183" s="21"/>
    </row>
    <row r="184" customFormat="false" ht="15" hidden="false" customHeight="false" outlineLevel="0" collapsed="false">
      <c r="A184" s="31"/>
      <c r="B184" s="21"/>
      <c r="C184" s="21"/>
      <c r="D184" s="21"/>
      <c r="E184" s="32"/>
      <c r="F184" s="21"/>
    </row>
    <row r="185" customFormat="false" ht="15" hidden="false" customHeight="false" outlineLevel="0" collapsed="false">
      <c r="A185" s="31"/>
      <c r="B185" s="21"/>
      <c r="C185" s="21"/>
      <c r="D185" s="21"/>
      <c r="E185" s="32"/>
      <c r="F185" s="21"/>
    </row>
    <row r="186" customFormat="false" ht="15" hidden="false" customHeight="false" outlineLevel="0" collapsed="false">
      <c r="A186" s="31"/>
      <c r="B186" s="21"/>
      <c r="C186" s="21"/>
      <c r="D186" s="21"/>
      <c r="E186" s="32"/>
      <c r="F186" s="21"/>
    </row>
    <row r="187" customFormat="false" ht="15" hidden="false" customHeight="false" outlineLevel="0" collapsed="false">
      <c r="A187" s="31"/>
      <c r="B187" s="21"/>
      <c r="C187" s="21"/>
      <c r="D187" s="21"/>
      <c r="E187" s="32"/>
      <c r="F187" s="21"/>
    </row>
    <row r="188" customFormat="false" ht="15" hidden="false" customHeight="false" outlineLevel="0" collapsed="false">
      <c r="A188" s="31"/>
      <c r="B188" s="21"/>
      <c r="C188" s="21"/>
      <c r="D188" s="21"/>
      <c r="E188" s="32"/>
      <c r="F188" s="21"/>
    </row>
    <row r="189" customFormat="false" ht="15" hidden="false" customHeight="false" outlineLevel="0" collapsed="false">
      <c r="A189" s="31"/>
      <c r="B189" s="21"/>
      <c r="C189" s="21"/>
      <c r="D189" s="21"/>
      <c r="E189" s="32"/>
      <c r="F189" s="21"/>
    </row>
    <row r="190" customFormat="false" ht="15" hidden="false" customHeight="false" outlineLevel="0" collapsed="false">
      <c r="A190" s="31"/>
      <c r="B190" s="21"/>
      <c r="C190" s="21"/>
      <c r="D190" s="21"/>
      <c r="E190" s="32"/>
      <c r="F190" s="21"/>
    </row>
    <row r="191" customFormat="false" ht="15" hidden="false" customHeight="false" outlineLevel="0" collapsed="false">
      <c r="A191" s="31"/>
      <c r="B191" s="21"/>
      <c r="C191" s="21"/>
      <c r="D191" s="21"/>
      <c r="E191" s="32"/>
      <c r="F191" s="21"/>
    </row>
    <row r="192" customFormat="false" ht="15" hidden="false" customHeight="false" outlineLevel="0" collapsed="false">
      <c r="A192" s="31"/>
      <c r="B192" s="21"/>
      <c r="C192" s="21"/>
      <c r="D192" s="21"/>
      <c r="E192" s="32"/>
      <c r="F192" s="21"/>
    </row>
    <row r="193" customFormat="false" ht="15" hidden="false" customHeight="false" outlineLevel="0" collapsed="false">
      <c r="A193" s="31"/>
      <c r="B193" s="21"/>
      <c r="C193" s="21"/>
      <c r="D193" s="21"/>
      <c r="E193" s="32"/>
      <c r="F193" s="21"/>
    </row>
    <row r="194" customFormat="false" ht="15" hidden="false" customHeight="false" outlineLevel="0" collapsed="false">
      <c r="A194" s="31"/>
      <c r="B194" s="21"/>
      <c r="C194" s="21"/>
      <c r="D194" s="21"/>
      <c r="E194" s="32"/>
      <c r="F194" s="21"/>
    </row>
    <row r="195" customFormat="false" ht="15" hidden="false" customHeight="false" outlineLevel="0" collapsed="false">
      <c r="A195" s="31"/>
      <c r="B195" s="21"/>
      <c r="C195" s="21"/>
      <c r="D195" s="21"/>
      <c r="E195" s="32"/>
      <c r="F195" s="21"/>
    </row>
    <row r="196" customFormat="false" ht="15" hidden="false" customHeight="false" outlineLevel="0" collapsed="false">
      <c r="A196" s="31"/>
      <c r="B196" s="21"/>
      <c r="C196" s="21"/>
      <c r="D196" s="21"/>
      <c r="E196" s="32"/>
      <c r="F196" s="21"/>
    </row>
    <row r="197" customFormat="false" ht="15" hidden="false" customHeight="false" outlineLevel="0" collapsed="false">
      <c r="A197" s="31"/>
      <c r="B197" s="21"/>
      <c r="C197" s="21"/>
      <c r="D197" s="21"/>
      <c r="E197" s="32"/>
      <c r="F197" s="21"/>
    </row>
    <row r="198" customFormat="false" ht="15" hidden="false" customHeight="false" outlineLevel="0" collapsed="false">
      <c r="A198" s="31"/>
      <c r="B198" s="21"/>
      <c r="C198" s="21"/>
      <c r="D198" s="21"/>
      <c r="E198" s="32"/>
      <c r="F198" s="21"/>
    </row>
    <row r="199" customFormat="false" ht="15" hidden="false" customHeight="false" outlineLevel="0" collapsed="false">
      <c r="A199" s="31"/>
      <c r="B199" s="21"/>
      <c r="C199" s="21"/>
      <c r="D199" s="21"/>
      <c r="E199" s="32"/>
      <c r="F199" s="21"/>
    </row>
    <row r="200" customFormat="false" ht="15" hidden="false" customHeight="false" outlineLevel="0" collapsed="false">
      <c r="A200" s="31"/>
      <c r="B200" s="21"/>
      <c r="C200" s="21"/>
      <c r="D200" s="21"/>
      <c r="E200" s="32"/>
      <c r="F200" s="21"/>
    </row>
    <row r="201" customFormat="false" ht="15" hidden="false" customHeight="false" outlineLevel="0" collapsed="false">
      <c r="A201" s="31"/>
      <c r="B201" s="21"/>
      <c r="C201" s="21"/>
      <c r="D201" s="21"/>
      <c r="E201" s="32"/>
      <c r="F201" s="21"/>
    </row>
    <row r="202" customFormat="false" ht="15" hidden="false" customHeight="false" outlineLevel="0" collapsed="false">
      <c r="A202" s="31"/>
      <c r="B202" s="21"/>
      <c r="C202" s="21"/>
      <c r="D202" s="21"/>
      <c r="E202" s="32"/>
      <c r="F202" s="21"/>
    </row>
    <row r="203" customFormat="false" ht="15" hidden="false" customHeight="false" outlineLevel="0" collapsed="false">
      <c r="A203" s="31"/>
      <c r="B203" s="21"/>
      <c r="C203" s="21"/>
      <c r="D203" s="21"/>
      <c r="E203" s="32"/>
      <c r="F203" s="21"/>
    </row>
    <row r="204" customFormat="false" ht="15" hidden="false" customHeight="false" outlineLevel="0" collapsed="false">
      <c r="A204" s="31"/>
      <c r="B204" s="21"/>
      <c r="C204" s="21"/>
      <c r="D204" s="21"/>
      <c r="E204" s="32"/>
      <c r="F204" s="21"/>
    </row>
    <row r="205" customFormat="false" ht="15" hidden="false" customHeight="false" outlineLevel="0" collapsed="false">
      <c r="A205" s="31"/>
      <c r="B205" s="21"/>
      <c r="C205" s="21"/>
      <c r="D205" s="21"/>
      <c r="E205" s="32"/>
      <c r="F205" s="21"/>
    </row>
    <row r="206" customFormat="false" ht="15" hidden="false" customHeight="false" outlineLevel="0" collapsed="false">
      <c r="A206" s="31"/>
      <c r="B206" s="21"/>
      <c r="C206" s="21"/>
      <c r="D206" s="21"/>
      <c r="E206" s="32"/>
      <c r="F206" s="21"/>
    </row>
    <row r="207" customFormat="false" ht="15" hidden="false" customHeight="false" outlineLevel="0" collapsed="false">
      <c r="A207" s="31"/>
      <c r="B207" s="21"/>
      <c r="C207" s="21"/>
      <c r="D207" s="21"/>
      <c r="E207" s="32"/>
      <c r="F207" s="21"/>
    </row>
    <row r="208" customFormat="false" ht="15" hidden="false" customHeight="false" outlineLevel="0" collapsed="false">
      <c r="A208" s="31"/>
      <c r="B208" s="21"/>
      <c r="C208" s="21"/>
      <c r="D208" s="21"/>
      <c r="E208" s="32"/>
      <c r="F208" s="21"/>
    </row>
    <row r="209" customFormat="false" ht="15" hidden="false" customHeight="false" outlineLevel="0" collapsed="false">
      <c r="A209" s="31"/>
      <c r="B209" s="21"/>
      <c r="C209" s="21"/>
      <c r="D209" s="21"/>
      <c r="E209" s="32"/>
      <c r="F209" s="21"/>
    </row>
    <row r="210" customFormat="false" ht="15" hidden="false" customHeight="false" outlineLevel="0" collapsed="false">
      <c r="A210" s="31"/>
      <c r="B210" s="21"/>
      <c r="C210" s="21"/>
      <c r="D210" s="21"/>
      <c r="E210" s="32"/>
      <c r="F210" s="21"/>
    </row>
    <row r="211" customFormat="false" ht="15" hidden="false" customHeight="false" outlineLevel="0" collapsed="false">
      <c r="A211" s="31"/>
      <c r="B211" s="21"/>
      <c r="C211" s="21"/>
      <c r="D211" s="21"/>
      <c r="E211" s="32"/>
      <c r="F211" s="21"/>
    </row>
    <row r="212" customFormat="false" ht="15" hidden="false" customHeight="false" outlineLevel="0" collapsed="false">
      <c r="A212" s="31"/>
      <c r="B212" s="21"/>
      <c r="C212" s="21"/>
      <c r="D212" s="21"/>
      <c r="E212" s="32"/>
      <c r="F212" s="21"/>
    </row>
    <row r="213" customFormat="false" ht="15" hidden="false" customHeight="false" outlineLevel="0" collapsed="false">
      <c r="A213" s="31"/>
      <c r="B213" s="21"/>
      <c r="C213" s="21"/>
      <c r="D213" s="21"/>
      <c r="E213" s="32"/>
      <c r="F213" s="21"/>
    </row>
    <row r="214" customFormat="false" ht="15" hidden="false" customHeight="false" outlineLevel="0" collapsed="false">
      <c r="A214" s="31"/>
      <c r="B214" s="21"/>
      <c r="C214" s="21"/>
      <c r="D214" s="21"/>
      <c r="E214" s="32"/>
      <c r="F214" s="21"/>
    </row>
    <row r="215" customFormat="false" ht="15" hidden="false" customHeight="false" outlineLevel="0" collapsed="false">
      <c r="A215" s="31"/>
      <c r="B215" s="21"/>
      <c r="C215" s="21"/>
      <c r="D215" s="21"/>
      <c r="E215" s="32"/>
      <c r="F215" s="21"/>
    </row>
    <row r="216" customFormat="false" ht="15" hidden="false" customHeight="false" outlineLevel="0" collapsed="false">
      <c r="A216" s="31"/>
      <c r="B216" s="21"/>
      <c r="C216" s="21"/>
      <c r="D216" s="21"/>
      <c r="E216" s="32"/>
      <c r="F216" s="21"/>
    </row>
    <row r="217" customFormat="false" ht="15" hidden="false" customHeight="false" outlineLevel="0" collapsed="false">
      <c r="A217" s="31"/>
      <c r="B217" s="21"/>
      <c r="C217" s="21"/>
      <c r="D217" s="21"/>
      <c r="E217" s="32"/>
      <c r="F217" s="21"/>
    </row>
    <row r="218" customFormat="false" ht="15" hidden="false" customHeight="false" outlineLevel="0" collapsed="false">
      <c r="A218" s="31"/>
      <c r="B218" s="21"/>
      <c r="C218" s="21"/>
      <c r="D218" s="21"/>
      <c r="E218" s="32"/>
      <c r="F218" s="21"/>
    </row>
    <row r="219" customFormat="false" ht="15" hidden="false" customHeight="false" outlineLevel="0" collapsed="false">
      <c r="A219" s="31"/>
      <c r="B219" s="21"/>
      <c r="C219" s="21"/>
      <c r="D219" s="21"/>
      <c r="E219" s="32"/>
      <c r="F219" s="21"/>
    </row>
    <row r="220" customFormat="false" ht="15" hidden="false" customHeight="false" outlineLevel="0" collapsed="false">
      <c r="A220" s="31"/>
      <c r="B220" s="21"/>
      <c r="C220" s="21"/>
      <c r="D220" s="21"/>
      <c r="E220" s="32"/>
      <c r="F220" s="21"/>
    </row>
    <row r="221" customFormat="false" ht="15" hidden="false" customHeight="false" outlineLevel="0" collapsed="false">
      <c r="A221" s="31"/>
      <c r="B221" s="21"/>
      <c r="C221" s="21"/>
      <c r="D221" s="21"/>
      <c r="E221" s="32"/>
      <c r="F221" s="21"/>
    </row>
    <row r="222" customFormat="false" ht="15" hidden="false" customHeight="false" outlineLevel="0" collapsed="false">
      <c r="A222" s="31"/>
      <c r="B222" s="21"/>
      <c r="C222" s="21"/>
      <c r="D222" s="21"/>
      <c r="E222" s="32"/>
      <c r="F222" s="21"/>
    </row>
    <row r="223" customFormat="false" ht="15" hidden="false" customHeight="false" outlineLevel="0" collapsed="false">
      <c r="A223" s="31"/>
      <c r="B223" s="21"/>
      <c r="C223" s="21"/>
      <c r="D223" s="21"/>
      <c r="E223" s="32"/>
      <c r="F223" s="21"/>
    </row>
    <row r="224" customFormat="false" ht="15" hidden="false" customHeight="false" outlineLevel="0" collapsed="false">
      <c r="A224" s="31"/>
      <c r="B224" s="21"/>
      <c r="C224" s="21"/>
      <c r="D224" s="21"/>
      <c r="E224" s="32"/>
      <c r="F224" s="21"/>
    </row>
    <row r="225" customFormat="false" ht="15" hidden="false" customHeight="false" outlineLevel="0" collapsed="false">
      <c r="A225" s="31"/>
      <c r="B225" s="21"/>
      <c r="C225" s="21"/>
      <c r="D225" s="21"/>
      <c r="E225" s="32"/>
      <c r="F225" s="21"/>
    </row>
    <row r="226" customFormat="false" ht="15" hidden="false" customHeight="false" outlineLevel="0" collapsed="false">
      <c r="A226" s="31"/>
      <c r="B226" s="21"/>
      <c r="C226" s="21"/>
      <c r="D226" s="21"/>
      <c r="E226" s="32"/>
      <c r="F226" s="21"/>
    </row>
    <row r="227" customFormat="false" ht="15" hidden="false" customHeight="false" outlineLevel="0" collapsed="false">
      <c r="A227" s="31"/>
      <c r="B227" s="21"/>
      <c r="C227" s="21"/>
      <c r="D227" s="21"/>
      <c r="E227" s="32"/>
      <c r="F227" s="21"/>
    </row>
    <row r="228" customFormat="false" ht="15" hidden="false" customHeight="false" outlineLevel="0" collapsed="false">
      <c r="A228" s="31"/>
      <c r="B228" s="21"/>
      <c r="C228" s="21"/>
      <c r="D228" s="21"/>
      <c r="E228" s="32"/>
      <c r="F228" s="21"/>
    </row>
    <row r="229" customFormat="false" ht="15" hidden="false" customHeight="false" outlineLevel="0" collapsed="false">
      <c r="A229" s="31"/>
      <c r="B229" s="21"/>
      <c r="C229" s="21"/>
      <c r="D229" s="21"/>
      <c r="E229" s="32"/>
      <c r="F229" s="21"/>
    </row>
    <row r="230" customFormat="false" ht="15" hidden="false" customHeight="false" outlineLevel="0" collapsed="false">
      <c r="A230" s="31"/>
      <c r="B230" s="21"/>
      <c r="C230" s="21"/>
      <c r="D230" s="21"/>
      <c r="E230" s="32"/>
      <c r="F230" s="21"/>
    </row>
    <row r="231" customFormat="false" ht="15" hidden="false" customHeight="false" outlineLevel="0" collapsed="false">
      <c r="A231" s="31"/>
      <c r="B231" s="21"/>
      <c r="C231" s="21"/>
      <c r="D231" s="21"/>
      <c r="E231" s="32"/>
      <c r="F231" s="21"/>
    </row>
    <row r="232" customFormat="false" ht="15" hidden="false" customHeight="false" outlineLevel="0" collapsed="false">
      <c r="A232" s="31"/>
      <c r="B232" s="21"/>
      <c r="C232" s="21"/>
      <c r="D232" s="21"/>
      <c r="E232" s="32"/>
      <c r="F232" s="21"/>
    </row>
    <row r="233" customFormat="false" ht="15" hidden="false" customHeight="false" outlineLevel="0" collapsed="false">
      <c r="A233" s="31"/>
      <c r="B233" s="21"/>
      <c r="C233" s="21"/>
      <c r="D233" s="21"/>
      <c r="E233" s="32"/>
      <c r="F233" s="21"/>
    </row>
    <row r="234" customFormat="false" ht="15" hidden="false" customHeight="false" outlineLevel="0" collapsed="false">
      <c r="A234" s="31"/>
      <c r="B234" s="21"/>
      <c r="C234" s="21"/>
      <c r="D234" s="21"/>
      <c r="E234" s="32"/>
      <c r="F234" s="21"/>
    </row>
    <row r="235" customFormat="false" ht="15" hidden="false" customHeight="false" outlineLevel="0" collapsed="false">
      <c r="A235" s="31"/>
      <c r="B235" s="21"/>
      <c r="C235" s="21"/>
      <c r="D235" s="21"/>
      <c r="E235" s="32"/>
      <c r="F235" s="21"/>
    </row>
    <row r="236" customFormat="false" ht="15" hidden="false" customHeight="false" outlineLevel="0" collapsed="false">
      <c r="A236" s="31"/>
      <c r="B236" s="21"/>
      <c r="C236" s="21"/>
      <c r="D236" s="21"/>
      <c r="E236" s="32"/>
      <c r="F236" s="21"/>
    </row>
    <row r="237" customFormat="false" ht="15" hidden="false" customHeight="false" outlineLevel="0" collapsed="false">
      <c r="A237" s="31"/>
      <c r="B237" s="21"/>
      <c r="C237" s="21"/>
      <c r="D237" s="21"/>
      <c r="E237" s="32"/>
      <c r="F237" s="21"/>
    </row>
    <row r="238" customFormat="false" ht="15" hidden="false" customHeight="false" outlineLevel="0" collapsed="false">
      <c r="A238" s="31"/>
      <c r="B238" s="21"/>
      <c r="C238" s="21"/>
      <c r="D238" s="21"/>
      <c r="E238" s="32"/>
      <c r="F238" s="21"/>
    </row>
    <row r="239" customFormat="false" ht="15" hidden="false" customHeight="false" outlineLevel="0" collapsed="false">
      <c r="A239" s="31"/>
      <c r="B239" s="21"/>
      <c r="C239" s="21"/>
      <c r="D239" s="21"/>
      <c r="E239" s="32"/>
      <c r="F239" s="21"/>
    </row>
    <row r="240" customFormat="false" ht="15" hidden="false" customHeight="false" outlineLevel="0" collapsed="false">
      <c r="A240" s="31"/>
      <c r="B240" s="21"/>
      <c r="C240" s="21"/>
      <c r="D240" s="21"/>
      <c r="E240" s="32"/>
      <c r="F240" s="21"/>
    </row>
    <row r="241" customFormat="false" ht="15" hidden="false" customHeight="false" outlineLevel="0" collapsed="false">
      <c r="A241" s="31"/>
      <c r="B241" s="21"/>
      <c r="C241" s="21"/>
      <c r="D241" s="21"/>
      <c r="E241" s="32"/>
      <c r="F241" s="21"/>
    </row>
    <row r="242" customFormat="false" ht="15" hidden="false" customHeight="false" outlineLevel="0" collapsed="false">
      <c r="A242" s="31"/>
      <c r="B242" s="21"/>
      <c r="C242" s="21"/>
      <c r="D242" s="21"/>
      <c r="E242" s="32"/>
      <c r="F242" s="21"/>
    </row>
    <row r="243" customFormat="false" ht="15" hidden="false" customHeight="false" outlineLevel="0" collapsed="false">
      <c r="A243" s="31"/>
      <c r="B243" s="21"/>
      <c r="C243" s="21"/>
      <c r="D243" s="21"/>
      <c r="E243" s="32"/>
      <c r="F243" s="21"/>
    </row>
    <row r="244" customFormat="false" ht="15" hidden="false" customHeight="false" outlineLevel="0" collapsed="false">
      <c r="A244" s="31"/>
      <c r="B244" s="21"/>
      <c r="C244" s="21"/>
      <c r="D244" s="21"/>
      <c r="E244" s="32"/>
      <c r="F244" s="21"/>
    </row>
    <row r="245" customFormat="false" ht="15" hidden="false" customHeight="false" outlineLevel="0" collapsed="false">
      <c r="A245" s="31"/>
      <c r="B245" s="21"/>
      <c r="C245" s="21"/>
      <c r="D245" s="21"/>
      <c r="E245" s="32"/>
      <c r="F245" s="21"/>
    </row>
    <row r="246" customFormat="false" ht="15" hidden="false" customHeight="false" outlineLevel="0" collapsed="false">
      <c r="A246" s="31"/>
      <c r="B246" s="21"/>
      <c r="C246" s="21"/>
      <c r="D246" s="21"/>
      <c r="E246" s="32"/>
      <c r="F246" s="21"/>
    </row>
    <row r="247" customFormat="false" ht="15" hidden="false" customHeight="false" outlineLevel="0" collapsed="false">
      <c r="A247" s="31"/>
      <c r="B247" s="21"/>
      <c r="C247" s="21"/>
      <c r="D247" s="21"/>
      <c r="E247" s="32"/>
      <c r="F247" s="21"/>
    </row>
    <row r="248" customFormat="false" ht="15" hidden="false" customHeight="false" outlineLevel="0" collapsed="false">
      <c r="A248" s="31"/>
      <c r="B248" s="21"/>
      <c r="C248" s="21"/>
      <c r="D248" s="21"/>
      <c r="E248" s="32"/>
      <c r="F248" s="21"/>
    </row>
    <row r="249" customFormat="false" ht="15" hidden="false" customHeight="false" outlineLevel="0" collapsed="false">
      <c r="A249" s="31"/>
      <c r="B249" s="21"/>
      <c r="C249" s="21"/>
      <c r="D249" s="21"/>
      <c r="E249" s="32"/>
      <c r="F249" s="21"/>
    </row>
    <row r="250" customFormat="false" ht="15" hidden="false" customHeight="false" outlineLevel="0" collapsed="false">
      <c r="A250" s="31"/>
      <c r="B250" s="21"/>
      <c r="C250" s="21"/>
      <c r="D250" s="21"/>
      <c r="E250" s="32"/>
      <c r="F250" s="21"/>
    </row>
    <row r="251" customFormat="false" ht="15" hidden="false" customHeight="false" outlineLevel="0" collapsed="false">
      <c r="A251" s="31"/>
      <c r="B251" s="21"/>
      <c r="C251" s="21"/>
      <c r="D251" s="21"/>
      <c r="E251" s="32"/>
      <c r="F251" s="21"/>
    </row>
    <row r="252" customFormat="false" ht="15" hidden="false" customHeight="false" outlineLevel="0" collapsed="false">
      <c r="A252" s="31"/>
      <c r="B252" s="21"/>
      <c r="C252" s="21"/>
      <c r="D252" s="21"/>
      <c r="E252" s="32"/>
      <c r="F252" s="21"/>
    </row>
    <row r="253" customFormat="false" ht="15" hidden="false" customHeight="false" outlineLevel="0" collapsed="false">
      <c r="A253" s="31"/>
      <c r="B253" s="21"/>
      <c r="C253" s="21"/>
      <c r="D253" s="21"/>
      <c r="E253" s="32"/>
      <c r="F253" s="21"/>
    </row>
    <row r="254" customFormat="false" ht="15" hidden="false" customHeight="false" outlineLevel="0" collapsed="false">
      <c r="A254" s="31"/>
      <c r="B254" s="21"/>
      <c r="C254" s="21"/>
      <c r="D254" s="21"/>
      <c r="E254" s="32"/>
      <c r="F254" s="21"/>
    </row>
    <row r="255" customFormat="false" ht="15" hidden="false" customHeight="false" outlineLevel="0" collapsed="false">
      <c r="A255" s="31"/>
      <c r="B255" s="21"/>
      <c r="C255" s="21"/>
      <c r="D255" s="21"/>
      <c r="E255" s="32"/>
      <c r="F255" s="21"/>
    </row>
    <row r="256" customFormat="false" ht="15" hidden="false" customHeight="false" outlineLevel="0" collapsed="false">
      <c r="A256" s="31"/>
      <c r="B256" s="21"/>
      <c r="C256" s="21"/>
      <c r="D256" s="21"/>
      <c r="E256" s="32"/>
      <c r="F256" s="21"/>
    </row>
    <row r="257" customFormat="false" ht="15" hidden="false" customHeight="false" outlineLevel="0" collapsed="false">
      <c r="A257" s="31"/>
      <c r="B257" s="21"/>
      <c r="C257" s="21"/>
      <c r="D257" s="21"/>
      <c r="E257" s="32"/>
      <c r="F257" s="21"/>
    </row>
    <row r="258" customFormat="false" ht="15" hidden="false" customHeight="false" outlineLevel="0" collapsed="false">
      <c r="A258" s="31"/>
      <c r="B258" s="21"/>
      <c r="C258" s="21"/>
      <c r="D258" s="21"/>
      <c r="E258" s="32"/>
      <c r="F258" s="21"/>
    </row>
    <row r="259" customFormat="false" ht="15" hidden="false" customHeight="false" outlineLevel="0" collapsed="false">
      <c r="A259" s="31"/>
      <c r="B259" s="21"/>
      <c r="C259" s="21"/>
      <c r="D259" s="21"/>
      <c r="E259" s="32"/>
      <c r="F259" s="21"/>
    </row>
    <row r="260" customFormat="false" ht="15" hidden="false" customHeight="false" outlineLevel="0" collapsed="false">
      <c r="A260" s="31"/>
      <c r="B260" s="21"/>
      <c r="C260" s="21"/>
      <c r="D260" s="21"/>
      <c r="E260" s="32"/>
      <c r="F260" s="21"/>
    </row>
    <row r="261" customFormat="false" ht="15" hidden="false" customHeight="false" outlineLevel="0" collapsed="false">
      <c r="A261" s="31"/>
      <c r="B261" s="21"/>
      <c r="C261" s="21"/>
      <c r="D261" s="21"/>
      <c r="E261" s="32"/>
      <c r="F261" s="21"/>
    </row>
    <row r="262" customFormat="false" ht="15" hidden="false" customHeight="false" outlineLevel="0" collapsed="false">
      <c r="A262" s="31"/>
      <c r="B262" s="21"/>
      <c r="C262" s="21"/>
      <c r="D262" s="21"/>
      <c r="E262" s="32"/>
      <c r="F262" s="21"/>
    </row>
    <row r="263" customFormat="false" ht="15" hidden="false" customHeight="false" outlineLevel="0" collapsed="false">
      <c r="A263" s="31"/>
      <c r="B263" s="21"/>
      <c r="C263" s="21"/>
      <c r="D263" s="21"/>
      <c r="E263" s="32"/>
      <c r="F263" s="21"/>
    </row>
    <row r="264" customFormat="false" ht="15" hidden="false" customHeight="false" outlineLevel="0" collapsed="false">
      <c r="A264" s="31"/>
      <c r="B264" s="21"/>
      <c r="C264" s="21"/>
      <c r="D264" s="21"/>
      <c r="E264" s="32"/>
      <c r="F264" s="21"/>
    </row>
    <row r="265" customFormat="false" ht="15" hidden="false" customHeight="false" outlineLevel="0" collapsed="false">
      <c r="A265" s="31"/>
      <c r="B265" s="21"/>
      <c r="C265" s="21"/>
      <c r="D265" s="21"/>
      <c r="E265" s="32"/>
      <c r="F265" s="21"/>
    </row>
    <row r="266" customFormat="false" ht="15" hidden="false" customHeight="false" outlineLevel="0" collapsed="false">
      <c r="A266" s="31"/>
      <c r="B266" s="21"/>
      <c r="C266" s="21"/>
      <c r="D266" s="21"/>
      <c r="E266" s="32"/>
      <c r="F266" s="21"/>
    </row>
    <row r="267" customFormat="false" ht="15" hidden="false" customHeight="false" outlineLevel="0" collapsed="false">
      <c r="A267" s="31"/>
      <c r="B267" s="21"/>
      <c r="C267" s="21"/>
      <c r="D267" s="21"/>
      <c r="E267" s="32"/>
      <c r="F267" s="21"/>
    </row>
    <row r="268" customFormat="false" ht="15" hidden="false" customHeight="false" outlineLevel="0" collapsed="false">
      <c r="A268" s="31"/>
      <c r="B268" s="21"/>
      <c r="C268" s="21"/>
      <c r="D268" s="21"/>
      <c r="E268" s="32"/>
      <c r="F268" s="21"/>
    </row>
    <row r="269" customFormat="false" ht="15" hidden="false" customHeight="false" outlineLevel="0" collapsed="false">
      <c r="A269" s="31"/>
      <c r="B269" s="21"/>
      <c r="C269" s="21"/>
      <c r="D269" s="21"/>
      <c r="E269" s="32"/>
      <c r="F269" s="21"/>
    </row>
    <row r="270" customFormat="false" ht="15" hidden="false" customHeight="false" outlineLevel="0" collapsed="false">
      <c r="A270" s="31"/>
      <c r="B270" s="21"/>
      <c r="C270" s="21"/>
      <c r="D270" s="21"/>
      <c r="E270" s="32"/>
      <c r="F270" s="21"/>
    </row>
    <row r="271" customFormat="false" ht="15" hidden="false" customHeight="false" outlineLevel="0" collapsed="false">
      <c r="A271" s="31"/>
      <c r="B271" s="21"/>
      <c r="C271" s="21"/>
      <c r="D271" s="21"/>
      <c r="E271" s="32"/>
      <c r="F271" s="21"/>
    </row>
    <row r="272" customFormat="false" ht="15" hidden="false" customHeight="false" outlineLevel="0" collapsed="false">
      <c r="A272" s="31"/>
      <c r="B272" s="21"/>
      <c r="C272" s="21"/>
      <c r="D272" s="21"/>
      <c r="E272" s="32"/>
      <c r="F272" s="21"/>
    </row>
    <row r="273" customFormat="false" ht="15" hidden="false" customHeight="false" outlineLevel="0" collapsed="false">
      <c r="A273" s="31"/>
      <c r="B273" s="21"/>
      <c r="C273" s="21"/>
      <c r="D273" s="21"/>
      <c r="E273" s="32"/>
      <c r="F273" s="21"/>
    </row>
    <row r="274" customFormat="false" ht="15" hidden="false" customHeight="false" outlineLevel="0" collapsed="false">
      <c r="A274" s="31"/>
      <c r="B274" s="21"/>
      <c r="C274" s="21"/>
      <c r="D274" s="21"/>
      <c r="E274" s="32"/>
      <c r="F274" s="21"/>
    </row>
    <row r="275" customFormat="false" ht="15" hidden="false" customHeight="false" outlineLevel="0" collapsed="false">
      <c r="A275" s="31"/>
      <c r="B275" s="21"/>
      <c r="C275" s="21"/>
      <c r="D275" s="21"/>
      <c r="E275" s="32"/>
      <c r="F275" s="21"/>
    </row>
    <row r="276" customFormat="false" ht="15" hidden="false" customHeight="false" outlineLevel="0" collapsed="false">
      <c r="A276" s="31"/>
      <c r="B276" s="21"/>
      <c r="C276" s="21"/>
      <c r="D276" s="21"/>
      <c r="E276" s="32"/>
      <c r="F276" s="21"/>
    </row>
    <row r="277" customFormat="false" ht="15" hidden="false" customHeight="false" outlineLevel="0" collapsed="false">
      <c r="A277" s="31"/>
      <c r="B277" s="21"/>
      <c r="C277" s="21"/>
      <c r="D277" s="21"/>
      <c r="E277" s="32"/>
      <c r="F277" s="21"/>
    </row>
    <row r="278" customFormat="false" ht="15" hidden="false" customHeight="false" outlineLevel="0" collapsed="false">
      <c r="A278" s="31"/>
      <c r="B278" s="21"/>
      <c r="C278" s="21"/>
      <c r="D278" s="21"/>
      <c r="E278" s="32"/>
      <c r="F278" s="21"/>
    </row>
    <row r="279" customFormat="false" ht="15" hidden="false" customHeight="false" outlineLevel="0" collapsed="false">
      <c r="A279" s="31"/>
      <c r="B279" s="21"/>
      <c r="C279" s="21"/>
      <c r="D279" s="21"/>
      <c r="E279" s="32"/>
      <c r="F279" s="21"/>
    </row>
    <row r="280" customFormat="false" ht="15" hidden="false" customHeight="false" outlineLevel="0" collapsed="false">
      <c r="A280" s="31"/>
      <c r="B280" s="21"/>
      <c r="C280" s="21"/>
      <c r="D280" s="21"/>
      <c r="E280" s="32"/>
      <c r="F280" s="21"/>
    </row>
    <row r="281" customFormat="false" ht="15" hidden="false" customHeight="false" outlineLevel="0" collapsed="false">
      <c r="A281" s="31"/>
      <c r="B281" s="21"/>
      <c r="C281" s="21"/>
      <c r="D281" s="21"/>
      <c r="E281" s="32"/>
      <c r="F281" s="21"/>
    </row>
    <row r="282" customFormat="false" ht="15" hidden="false" customHeight="false" outlineLevel="0" collapsed="false">
      <c r="A282" s="31"/>
      <c r="B282" s="21"/>
      <c r="C282" s="21"/>
      <c r="D282" s="21"/>
      <c r="E282" s="32"/>
      <c r="F282" s="21"/>
    </row>
    <row r="283" customFormat="false" ht="15" hidden="false" customHeight="false" outlineLevel="0" collapsed="false">
      <c r="A283" s="31"/>
      <c r="B283" s="21"/>
      <c r="C283" s="21"/>
      <c r="D283" s="21"/>
      <c r="E283" s="32"/>
      <c r="F283" s="21"/>
    </row>
    <row r="284" customFormat="false" ht="15" hidden="false" customHeight="false" outlineLevel="0" collapsed="false">
      <c r="A284" s="31"/>
      <c r="B284" s="21"/>
      <c r="C284" s="21"/>
      <c r="D284" s="21"/>
      <c r="E284" s="32"/>
      <c r="F284" s="21"/>
    </row>
    <row r="285" customFormat="false" ht="15" hidden="false" customHeight="false" outlineLevel="0" collapsed="false">
      <c r="A285" s="31"/>
      <c r="B285" s="21"/>
      <c r="C285" s="21"/>
      <c r="D285" s="21"/>
      <c r="E285" s="32"/>
      <c r="F285" s="21"/>
    </row>
    <row r="286" customFormat="false" ht="15" hidden="false" customHeight="false" outlineLevel="0" collapsed="false">
      <c r="A286" s="31"/>
      <c r="B286" s="21"/>
      <c r="C286" s="21"/>
      <c r="D286" s="21"/>
      <c r="E286" s="32"/>
      <c r="F286" s="21"/>
    </row>
    <row r="287" customFormat="false" ht="15" hidden="false" customHeight="false" outlineLevel="0" collapsed="false">
      <c r="A287" s="31"/>
      <c r="B287" s="21"/>
      <c r="C287" s="21"/>
      <c r="D287" s="21"/>
      <c r="E287" s="32"/>
      <c r="F287" s="21"/>
    </row>
    <row r="288" customFormat="false" ht="15" hidden="false" customHeight="false" outlineLevel="0" collapsed="false">
      <c r="A288" s="31"/>
      <c r="B288" s="21"/>
      <c r="C288" s="21"/>
      <c r="D288" s="21"/>
      <c r="E288" s="32"/>
      <c r="F288" s="21"/>
    </row>
    <row r="289" customFormat="false" ht="15" hidden="false" customHeight="false" outlineLevel="0" collapsed="false">
      <c r="A289" s="31"/>
      <c r="B289" s="21"/>
      <c r="C289" s="21"/>
      <c r="D289" s="21"/>
      <c r="E289" s="32"/>
      <c r="F289" s="21"/>
    </row>
    <row r="290" customFormat="false" ht="15" hidden="false" customHeight="false" outlineLevel="0" collapsed="false">
      <c r="A290" s="31"/>
      <c r="B290" s="21"/>
      <c r="C290" s="21"/>
      <c r="D290" s="21"/>
      <c r="E290" s="32"/>
      <c r="F290" s="21"/>
    </row>
    <row r="291" customFormat="false" ht="15" hidden="false" customHeight="false" outlineLevel="0" collapsed="false">
      <c r="A291" s="31"/>
      <c r="B291" s="21"/>
      <c r="C291" s="21"/>
      <c r="D291" s="21"/>
      <c r="E291" s="32"/>
      <c r="F291" s="21"/>
    </row>
    <row r="292" customFormat="false" ht="15" hidden="false" customHeight="false" outlineLevel="0" collapsed="false">
      <c r="A292" s="31"/>
      <c r="B292" s="21"/>
      <c r="C292" s="21"/>
      <c r="D292" s="21"/>
      <c r="E292" s="32"/>
      <c r="F292" s="21"/>
    </row>
    <row r="293" customFormat="false" ht="15" hidden="false" customHeight="false" outlineLevel="0" collapsed="false">
      <c r="A293" s="31"/>
      <c r="B293" s="21"/>
      <c r="C293" s="21"/>
      <c r="D293" s="21"/>
      <c r="E293" s="32"/>
      <c r="F293" s="21"/>
    </row>
    <row r="294" customFormat="false" ht="15" hidden="false" customHeight="false" outlineLevel="0" collapsed="false">
      <c r="A294" s="31"/>
      <c r="B294" s="21"/>
      <c r="C294" s="21"/>
      <c r="D294" s="21"/>
      <c r="E294" s="32"/>
      <c r="F294" s="21"/>
    </row>
    <row r="295" customFormat="false" ht="15" hidden="false" customHeight="false" outlineLevel="0" collapsed="false">
      <c r="A295" s="31"/>
      <c r="B295" s="21"/>
      <c r="C295" s="21"/>
      <c r="D295" s="21"/>
      <c r="E295" s="32"/>
      <c r="F295" s="21"/>
    </row>
    <row r="296" customFormat="false" ht="15" hidden="false" customHeight="false" outlineLevel="0" collapsed="false">
      <c r="A296" s="31"/>
      <c r="B296" s="21"/>
      <c r="C296" s="21"/>
      <c r="D296" s="21"/>
      <c r="E296" s="32"/>
      <c r="F296" s="21"/>
    </row>
    <row r="297" customFormat="false" ht="15" hidden="false" customHeight="false" outlineLevel="0" collapsed="false">
      <c r="A297" s="31"/>
      <c r="B297" s="21"/>
      <c r="C297" s="21"/>
      <c r="D297" s="21"/>
      <c r="E297" s="32"/>
      <c r="F297" s="21"/>
    </row>
    <row r="298" customFormat="false" ht="15" hidden="false" customHeight="false" outlineLevel="0" collapsed="false">
      <c r="A298" s="31"/>
      <c r="B298" s="21"/>
      <c r="C298" s="21"/>
      <c r="D298" s="21"/>
      <c r="E298" s="32"/>
      <c r="F298" s="21"/>
    </row>
    <row r="299" customFormat="false" ht="15" hidden="false" customHeight="false" outlineLevel="0" collapsed="false">
      <c r="A299" s="31"/>
      <c r="B299" s="21"/>
      <c r="C299" s="21"/>
      <c r="D299" s="21"/>
      <c r="E299" s="32"/>
      <c r="F299" s="21"/>
    </row>
    <row r="300" customFormat="false" ht="15" hidden="false" customHeight="false" outlineLevel="0" collapsed="false">
      <c r="A300" s="31"/>
      <c r="B300" s="21"/>
      <c r="C300" s="21"/>
      <c r="D300" s="21"/>
      <c r="E300" s="32"/>
      <c r="F300" s="21"/>
    </row>
    <row r="301" customFormat="false" ht="15" hidden="false" customHeight="false" outlineLevel="0" collapsed="false">
      <c r="A301" s="31"/>
      <c r="B301" s="21"/>
      <c r="C301" s="21"/>
      <c r="D301" s="21"/>
      <c r="E301" s="32"/>
      <c r="F301" s="21"/>
    </row>
    <row r="302" customFormat="false" ht="15" hidden="false" customHeight="false" outlineLevel="0" collapsed="false">
      <c r="A302" s="31"/>
      <c r="B302" s="21"/>
      <c r="C302" s="21"/>
      <c r="D302" s="21"/>
      <c r="E302" s="32"/>
      <c r="F302" s="21"/>
    </row>
    <row r="303" customFormat="false" ht="15" hidden="false" customHeight="false" outlineLevel="0" collapsed="false">
      <c r="A303" s="31"/>
      <c r="B303" s="21"/>
      <c r="C303" s="21"/>
      <c r="D303" s="21"/>
      <c r="E303" s="32"/>
      <c r="F303" s="21"/>
    </row>
    <row r="304" customFormat="false" ht="15" hidden="false" customHeight="false" outlineLevel="0" collapsed="false">
      <c r="A304" s="31"/>
      <c r="B304" s="21"/>
      <c r="C304" s="21"/>
      <c r="D304" s="21"/>
      <c r="E304" s="32"/>
      <c r="F304" s="21"/>
    </row>
    <row r="305" customFormat="false" ht="15" hidden="false" customHeight="false" outlineLevel="0" collapsed="false">
      <c r="A305" s="31"/>
      <c r="B305" s="21"/>
      <c r="C305" s="21"/>
      <c r="D305" s="21"/>
      <c r="E305" s="32"/>
      <c r="F305" s="21"/>
    </row>
    <row r="306" customFormat="false" ht="15" hidden="false" customHeight="false" outlineLevel="0" collapsed="false">
      <c r="A306" s="31"/>
      <c r="B306" s="21"/>
      <c r="C306" s="21"/>
      <c r="D306" s="21"/>
      <c r="E306" s="32"/>
      <c r="F306" s="21"/>
    </row>
    <row r="307" customFormat="false" ht="15" hidden="false" customHeight="false" outlineLevel="0" collapsed="false">
      <c r="A307" s="31"/>
      <c r="B307" s="21"/>
      <c r="C307" s="21"/>
      <c r="D307" s="21"/>
      <c r="E307" s="32"/>
      <c r="F307" s="21"/>
    </row>
    <row r="308" customFormat="false" ht="15" hidden="false" customHeight="false" outlineLevel="0" collapsed="false">
      <c r="A308" s="31"/>
      <c r="B308" s="21"/>
      <c r="C308" s="21"/>
      <c r="D308" s="21"/>
      <c r="E308" s="32"/>
      <c r="F308" s="21"/>
    </row>
    <row r="309" customFormat="false" ht="15" hidden="false" customHeight="false" outlineLevel="0" collapsed="false">
      <c r="A309" s="31"/>
      <c r="B309" s="21"/>
      <c r="C309" s="21"/>
      <c r="D309" s="21"/>
      <c r="E309" s="32"/>
      <c r="F309" s="21"/>
    </row>
    <row r="310" customFormat="false" ht="15" hidden="false" customHeight="false" outlineLevel="0" collapsed="false">
      <c r="A310" s="31"/>
      <c r="B310" s="21"/>
      <c r="C310" s="21"/>
      <c r="D310" s="21"/>
      <c r="E310" s="32"/>
      <c r="F310" s="21"/>
    </row>
    <row r="311" customFormat="false" ht="15" hidden="false" customHeight="false" outlineLevel="0" collapsed="false">
      <c r="A311" s="31"/>
      <c r="B311" s="21"/>
      <c r="C311" s="21"/>
      <c r="D311" s="21"/>
      <c r="E311" s="32"/>
      <c r="F311" s="21"/>
    </row>
    <row r="312" customFormat="false" ht="15" hidden="false" customHeight="false" outlineLevel="0" collapsed="false">
      <c r="A312" s="31"/>
      <c r="B312" s="21"/>
      <c r="C312" s="21"/>
      <c r="D312" s="21"/>
      <c r="E312" s="32"/>
      <c r="F312" s="21"/>
    </row>
    <row r="313" customFormat="false" ht="15" hidden="false" customHeight="false" outlineLevel="0" collapsed="false">
      <c r="A313" s="31"/>
      <c r="B313" s="21"/>
      <c r="C313" s="21"/>
      <c r="D313" s="21"/>
      <c r="E313" s="32"/>
      <c r="F313" s="21"/>
    </row>
    <row r="314" customFormat="false" ht="15" hidden="false" customHeight="false" outlineLevel="0" collapsed="false">
      <c r="A314" s="31"/>
      <c r="B314" s="21"/>
      <c r="C314" s="21"/>
      <c r="D314" s="21"/>
      <c r="E314" s="32"/>
      <c r="F314" s="21"/>
    </row>
    <row r="315" customFormat="false" ht="15" hidden="false" customHeight="false" outlineLevel="0" collapsed="false">
      <c r="A315" s="31"/>
      <c r="B315" s="21"/>
      <c r="C315" s="21"/>
      <c r="D315" s="21"/>
      <c r="E315" s="32"/>
      <c r="F315" s="21"/>
    </row>
    <row r="316" customFormat="false" ht="15" hidden="false" customHeight="false" outlineLevel="0" collapsed="false">
      <c r="A316" s="31"/>
      <c r="B316" s="21"/>
      <c r="C316" s="21"/>
      <c r="D316" s="21"/>
      <c r="E316" s="32"/>
      <c r="F316" s="21"/>
    </row>
    <row r="317" customFormat="false" ht="15" hidden="false" customHeight="false" outlineLevel="0" collapsed="false">
      <c r="A317" s="31"/>
      <c r="B317" s="21"/>
      <c r="C317" s="21"/>
      <c r="D317" s="21"/>
      <c r="E317" s="32"/>
      <c r="F317" s="21"/>
    </row>
    <row r="318" customFormat="false" ht="15" hidden="false" customHeight="false" outlineLevel="0" collapsed="false">
      <c r="A318" s="31"/>
      <c r="B318" s="21"/>
      <c r="C318" s="21"/>
      <c r="D318" s="21"/>
      <c r="E318" s="32"/>
      <c r="F318" s="21"/>
    </row>
    <row r="319" customFormat="false" ht="15" hidden="false" customHeight="false" outlineLevel="0" collapsed="false">
      <c r="A319" s="31"/>
      <c r="B319" s="21"/>
      <c r="C319" s="21"/>
      <c r="D319" s="21"/>
      <c r="E319" s="32"/>
      <c r="F319" s="21"/>
    </row>
    <row r="320" customFormat="false" ht="15" hidden="false" customHeight="false" outlineLevel="0" collapsed="false">
      <c r="A320" s="31"/>
      <c r="B320" s="21"/>
      <c r="C320" s="21"/>
      <c r="D320" s="21"/>
      <c r="E320" s="32"/>
      <c r="F320" s="21"/>
    </row>
    <row r="321" customFormat="false" ht="15" hidden="false" customHeight="false" outlineLevel="0" collapsed="false">
      <c r="A321" s="31"/>
      <c r="B321" s="21"/>
      <c r="C321" s="21"/>
      <c r="D321" s="21"/>
      <c r="E321" s="32"/>
      <c r="F321" s="21"/>
    </row>
    <row r="322" customFormat="false" ht="15" hidden="false" customHeight="false" outlineLevel="0" collapsed="false">
      <c r="A322" s="31"/>
      <c r="B322" s="21"/>
      <c r="C322" s="21"/>
      <c r="D322" s="21"/>
      <c r="E322" s="32"/>
      <c r="F322" s="21"/>
    </row>
    <row r="323" customFormat="false" ht="15" hidden="false" customHeight="false" outlineLevel="0" collapsed="false">
      <c r="A323" s="31"/>
      <c r="B323" s="21"/>
      <c r="C323" s="21"/>
      <c r="D323" s="21"/>
      <c r="E323" s="32"/>
      <c r="F323" s="21"/>
    </row>
    <row r="324" customFormat="false" ht="15" hidden="false" customHeight="false" outlineLevel="0" collapsed="false">
      <c r="A324" s="31"/>
      <c r="B324" s="21"/>
      <c r="C324" s="21"/>
      <c r="D324" s="21"/>
      <c r="E324" s="32"/>
      <c r="F324" s="21"/>
    </row>
    <row r="325" customFormat="false" ht="15" hidden="false" customHeight="false" outlineLevel="0" collapsed="false">
      <c r="A325" s="31"/>
      <c r="B325" s="21"/>
      <c r="C325" s="21"/>
      <c r="D325" s="21"/>
      <c r="E325" s="32"/>
      <c r="F325" s="21"/>
    </row>
    <row r="326" customFormat="false" ht="15" hidden="false" customHeight="false" outlineLevel="0" collapsed="false">
      <c r="A326" s="31"/>
      <c r="B326" s="21"/>
      <c r="C326" s="21"/>
      <c r="D326" s="21"/>
      <c r="E326" s="32"/>
      <c r="F326" s="21"/>
    </row>
    <row r="327" customFormat="false" ht="15" hidden="false" customHeight="false" outlineLevel="0" collapsed="false">
      <c r="A327" s="31"/>
      <c r="B327" s="21"/>
      <c r="C327" s="21"/>
      <c r="D327" s="21"/>
      <c r="E327" s="32"/>
      <c r="F327" s="21"/>
    </row>
    <row r="328" customFormat="false" ht="15" hidden="false" customHeight="false" outlineLevel="0" collapsed="false">
      <c r="A328" s="31"/>
      <c r="B328" s="21"/>
      <c r="C328" s="21"/>
      <c r="D328" s="21"/>
      <c r="E328" s="32"/>
      <c r="F328" s="21"/>
    </row>
    <row r="329" customFormat="false" ht="15" hidden="false" customHeight="false" outlineLevel="0" collapsed="false">
      <c r="A329" s="31"/>
      <c r="B329" s="21"/>
      <c r="C329" s="21"/>
      <c r="D329" s="21"/>
      <c r="E329" s="32"/>
      <c r="F329" s="21"/>
    </row>
    <row r="330" customFormat="false" ht="15" hidden="false" customHeight="false" outlineLevel="0" collapsed="false">
      <c r="A330" s="31"/>
      <c r="B330" s="21"/>
      <c r="C330" s="21"/>
      <c r="D330" s="21"/>
      <c r="E330" s="32"/>
      <c r="F330" s="21"/>
    </row>
    <row r="331" customFormat="false" ht="15" hidden="false" customHeight="false" outlineLevel="0" collapsed="false">
      <c r="A331" s="31"/>
      <c r="B331" s="21"/>
      <c r="C331" s="21"/>
      <c r="D331" s="21"/>
      <c r="E331" s="32"/>
      <c r="F331" s="21"/>
    </row>
    <row r="332" customFormat="false" ht="15" hidden="false" customHeight="false" outlineLevel="0" collapsed="false">
      <c r="A332" s="31"/>
      <c r="B332" s="21"/>
      <c r="C332" s="21"/>
      <c r="D332" s="21"/>
      <c r="E332" s="32"/>
      <c r="F332" s="21"/>
    </row>
    <row r="333" customFormat="false" ht="15" hidden="false" customHeight="false" outlineLevel="0" collapsed="false">
      <c r="A333" s="31"/>
      <c r="B333" s="21"/>
      <c r="C333" s="21"/>
      <c r="D333" s="21"/>
      <c r="E333" s="32"/>
      <c r="F333" s="21"/>
    </row>
    <row r="334" customFormat="false" ht="15" hidden="false" customHeight="false" outlineLevel="0" collapsed="false">
      <c r="A334" s="31"/>
      <c r="B334" s="21"/>
      <c r="C334" s="21"/>
      <c r="D334" s="21"/>
      <c r="E334" s="32"/>
      <c r="F334" s="21"/>
    </row>
    <row r="335" customFormat="false" ht="15" hidden="false" customHeight="false" outlineLevel="0" collapsed="false">
      <c r="A335" s="31"/>
      <c r="B335" s="21"/>
      <c r="C335" s="21"/>
      <c r="D335" s="21"/>
      <c r="E335" s="32"/>
      <c r="F335" s="21"/>
    </row>
    <row r="336" customFormat="false" ht="15" hidden="false" customHeight="false" outlineLevel="0" collapsed="false">
      <c r="A336" s="31"/>
      <c r="B336" s="21"/>
      <c r="C336" s="21"/>
      <c r="D336" s="21"/>
      <c r="E336" s="32"/>
      <c r="F336" s="21"/>
    </row>
    <row r="337" customFormat="false" ht="15" hidden="false" customHeight="false" outlineLevel="0" collapsed="false">
      <c r="A337" s="31"/>
      <c r="B337" s="21"/>
      <c r="C337" s="21"/>
      <c r="D337" s="21"/>
      <c r="E337" s="32"/>
      <c r="F337" s="21"/>
    </row>
    <row r="338" customFormat="false" ht="15" hidden="false" customHeight="false" outlineLevel="0" collapsed="false">
      <c r="A338" s="31"/>
      <c r="B338" s="21"/>
      <c r="C338" s="21"/>
      <c r="D338" s="21"/>
      <c r="E338" s="32"/>
      <c r="F338" s="21"/>
    </row>
    <row r="339" customFormat="false" ht="15" hidden="false" customHeight="false" outlineLevel="0" collapsed="false">
      <c r="A339" s="31"/>
      <c r="B339" s="21"/>
      <c r="C339" s="21"/>
      <c r="D339" s="21"/>
      <c r="E339" s="32"/>
      <c r="F339" s="21"/>
    </row>
    <row r="340" customFormat="false" ht="15" hidden="false" customHeight="false" outlineLevel="0" collapsed="false">
      <c r="A340" s="31"/>
      <c r="B340" s="21"/>
      <c r="C340" s="21"/>
      <c r="D340" s="21"/>
      <c r="E340" s="32"/>
      <c r="F340" s="21"/>
    </row>
    <row r="341" customFormat="false" ht="15" hidden="false" customHeight="false" outlineLevel="0" collapsed="false">
      <c r="A341" s="31"/>
      <c r="B341" s="21"/>
      <c r="C341" s="21"/>
      <c r="D341" s="21"/>
      <c r="E341" s="32"/>
      <c r="F341" s="21"/>
    </row>
    <row r="342" customFormat="false" ht="15" hidden="false" customHeight="false" outlineLevel="0" collapsed="false">
      <c r="A342" s="31"/>
      <c r="B342" s="21"/>
      <c r="C342" s="21"/>
      <c r="D342" s="21"/>
      <c r="E342" s="32"/>
      <c r="F342" s="21"/>
    </row>
    <row r="343" customFormat="false" ht="15" hidden="false" customHeight="false" outlineLevel="0" collapsed="false">
      <c r="A343" s="31"/>
      <c r="B343" s="21"/>
      <c r="C343" s="21"/>
      <c r="D343" s="21"/>
      <c r="E343" s="32"/>
      <c r="F343" s="21"/>
    </row>
    <row r="344" customFormat="false" ht="15" hidden="false" customHeight="false" outlineLevel="0" collapsed="false">
      <c r="A344" s="31"/>
      <c r="B344" s="21"/>
      <c r="C344" s="21"/>
      <c r="D344" s="21"/>
      <c r="E344" s="32"/>
      <c r="F344" s="21"/>
    </row>
    <row r="345" customFormat="false" ht="15" hidden="false" customHeight="false" outlineLevel="0" collapsed="false">
      <c r="A345" s="31"/>
      <c r="B345" s="21"/>
      <c r="C345" s="21"/>
      <c r="D345" s="21"/>
      <c r="E345" s="32"/>
      <c r="F345" s="21"/>
    </row>
    <row r="346" customFormat="false" ht="15" hidden="false" customHeight="false" outlineLevel="0" collapsed="false">
      <c r="A346" s="31"/>
      <c r="B346" s="21"/>
      <c r="C346" s="21"/>
      <c r="D346" s="21"/>
      <c r="E346" s="32"/>
      <c r="F346" s="21"/>
    </row>
    <row r="347" customFormat="false" ht="15" hidden="false" customHeight="false" outlineLevel="0" collapsed="false">
      <c r="A347" s="31"/>
      <c r="B347" s="21"/>
      <c r="C347" s="21"/>
      <c r="D347" s="21"/>
      <c r="E347" s="32"/>
      <c r="F347" s="21"/>
    </row>
    <row r="348" customFormat="false" ht="15" hidden="false" customHeight="false" outlineLevel="0" collapsed="false">
      <c r="A348" s="31"/>
      <c r="B348" s="21"/>
      <c r="C348" s="21"/>
      <c r="D348" s="21"/>
      <c r="E348" s="32"/>
      <c r="F348" s="21"/>
    </row>
    <row r="349" customFormat="false" ht="15" hidden="false" customHeight="false" outlineLevel="0" collapsed="false">
      <c r="A349" s="31"/>
      <c r="B349" s="21"/>
      <c r="C349" s="21"/>
      <c r="D349" s="21"/>
      <c r="E349" s="32"/>
      <c r="F349" s="21"/>
    </row>
    <row r="350" customFormat="false" ht="15" hidden="false" customHeight="false" outlineLevel="0" collapsed="false">
      <c r="A350" s="31"/>
      <c r="B350" s="21"/>
      <c r="C350" s="21"/>
      <c r="D350" s="21"/>
      <c r="E350" s="32"/>
      <c r="F350" s="21"/>
    </row>
    <row r="351" customFormat="false" ht="15" hidden="false" customHeight="false" outlineLevel="0" collapsed="false">
      <c r="A351" s="31"/>
      <c r="B351" s="21"/>
      <c r="C351" s="21"/>
      <c r="D351" s="21"/>
      <c r="E351" s="32"/>
      <c r="F351" s="21"/>
    </row>
    <row r="352" customFormat="false" ht="15" hidden="false" customHeight="false" outlineLevel="0" collapsed="false">
      <c r="A352" s="31"/>
      <c r="B352" s="21"/>
      <c r="C352" s="21"/>
      <c r="D352" s="21"/>
      <c r="E352" s="32"/>
      <c r="F352" s="21"/>
    </row>
    <row r="353" customFormat="false" ht="15" hidden="false" customHeight="false" outlineLevel="0" collapsed="false">
      <c r="A353" s="31"/>
      <c r="B353" s="21"/>
      <c r="C353" s="21"/>
      <c r="D353" s="21"/>
      <c r="E353" s="32"/>
      <c r="F353" s="21"/>
    </row>
    <row r="354" customFormat="false" ht="15" hidden="false" customHeight="false" outlineLevel="0" collapsed="false">
      <c r="A354" s="31"/>
      <c r="B354" s="21"/>
      <c r="C354" s="21"/>
      <c r="D354" s="21"/>
      <c r="E354" s="32"/>
      <c r="F354" s="21"/>
    </row>
    <row r="355" customFormat="false" ht="15" hidden="false" customHeight="false" outlineLevel="0" collapsed="false">
      <c r="A355" s="31"/>
      <c r="B355" s="21"/>
      <c r="C355" s="21"/>
      <c r="D355" s="21"/>
      <c r="E355" s="32"/>
      <c r="F355" s="21"/>
    </row>
    <row r="356" customFormat="false" ht="15" hidden="false" customHeight="false" outlineLevel="0" collapsed="false">
      <c r="A356" s="31"/>
      <c r="B356" s="21"/>
      <c r="C356" s="21"/>
      <c r="D356" s="21"/>
      <c r="E356" s="32"/>
      <c r="F356" s="21"/>
    </row>
    <row r="357" customFormat="false" ht="15" hidden="false" customHeight="false" outlineLevel="0" collapsed="false">
      <c r="A357" s="31"/>
      <c r="B357" s="21"/>
      <c r="C357" s="21"/>
      <c r="D357" s="21"/>
      <c r="E357" s="32"/>
      <c r="F357" s="21"/>
    </row>
    <row r="358" customFormat="false" ht="15" hidden="false" customHeight="false" outlineLevel="0" collapsed="false">
      <c r="A358" s="31"/>
      <c r="B358" s="21"/>
      <c r="C358" s="21"/>
      <c r="D358" s="21"/>
      <c r="E358" s="32"/>
      <c r="F358" s="21"/>
    </row>
    <row r="359" customFormat="false" ht="15" hidden="false" customHeight="false" outlineLevel="0" collapsed="false">
      <c r="A359" s="31"/>
      <c r="B359" s="21"/>
      <c r="C359" s="21"/>
      <c r="D359" s="21"/>
      <c r="E359" s="32"/>
      <c r="F359" s="21"/>
    </row>
    <row r="360" customFormat="false" ht="15" hidden="false" customHeight="false" outlineLevel="0" collapsed="false">
      <c r="A360" s="31"/>
      <c r="B360" s="21"/>
      <c r="C360" s="21"/>
      <c r="D360" s="21"/>
      <c r="E360" s="32"/>
      <c r="F360" s="21"/>
    </row>
    <row r="361" customFormat="false" ht="15" hidden="false" customHeight="false" outlineLevel="0" collapsed="false">
      <c r="A361" s="31"/>
      <c r="B361" s="21"/>
      <c r="C361" s="21"/>
      <c r="D361" s="21"/>
      <c r="E361" s="32"/>
      <c r="F361" s="21"/>
    </row>
    <row r="362" customFormat="false" ht="15" hidden="false" customHeight="false" outlineLevel="0" collapsed="false">
      <c r="A362" s="31"/>
      <c r="B362" s="21"/>
      <c r="C362" s="21"/>
      <c r="D362" s="21"/>
      <c r="E362" s="32"/>
      <c r="F362" s="21"/>
    </row>
    <row r="363" customFormat="false" ht="15" hidden="false" customHeight="false" outlineLevel="0" collapsed="false">
      <c r="A363" s="31"/>
      <c r="B363" s="21"/>
      <c r="C363" s="21"/>
      <c r="D363" s="21"/>
      <c r="E363" s="32"/>
      <c r="F363" s="21"/>
    </row>
    <row r="364" customFormat="false" ht="15" hidden="false" customHeight="false" outlineLevel="0" collapsed="false">
      <c r="A364" s="31"/>
      <c r="B364" s="21"/>
      <c r="C364" s="21"/>
      <c r="D364" s="21"/>
      <c r="E364" s="32"/>
      <c r="F364" s="21"/>
    </row>
    <row r="365" customFormat="false" ht="15" hidden="false" customHeight="false" outlineLevel="0" collapsed="false">
      <c r="A365" s="31"/>
      <c r="B365" s="21"/>
      <c r="C365" s="21"/>
      <c r="D365" s="21"/>
      <c r="E365" s="32"/>
      <c r="F365" s="21"/>
    </row>
    <row r="366" customFormat="false" ht="15" hidden="false" customHeight="false" outlineLevel="0" collapsed="false">
      <c r="A366" s="31"/>
      <c r="B366" s="21"/>
      <c r="C366" s="21"/>
      <c r="D366" s="21"/>
      <c r="E366" s="32"/>
      <c r="F366" s="21"/>
    </row>
    <row r="367" customFormat="false" ht="15" hidden="false" customHeight="false" outlineLevel="0" collapsed="false">
      <c r="A367" s="31"/>
      <c r="B367" s="21"/>
      <c r="C367" s="21"/>
      <c r="D367" s="21"/>
      <c r="E367" s="32"/>
      <c r="F367" s="21"/>
    </row>
    <row r="368" customFormat="false" ht="15" hidden="false" customHeight="false" outlineLevel="0" collapsed="false">
      <c r="A368" s="31"/>
      <c r="B368" s="21"/>
      <c r="C368" s="21"/>
      <c r="D368" s="21"/>
      <c r="E368" s="32"/>
      <c r="F368" s="21"/>
    </row>
    <row r="369" customFormat="false" ht="15" hidden="false" customHeight="false" outlineLevel="0" collapsed="false">
      <c r="A369" s="31"/>
      <c r="B369" s="21"/>
      <c r="C369" s="21"/>
      <c r="D369" s="21"/>
      <c r="E369" s="32"/>
      <c r="F369" s="21"/>
    </row>
    <row r="370" customFormat="false" ht="15" hidden="false" customHeight="false" outlineLevel="0" collapsed="false">
      <c r="A370" s="31"/>
      <c r="B370" s="21"/>
      <c r="C370" s="21"/>
      <c r="D370" s="21"/>
      <c r="E370" s="32"/>
      <c r="F370" s="21"/>
    </row>
    <row r="371" customFormat="false" ht="15" hidden="false" customHeight="false" outlineLevel="0" collapsed="false">
      <c r="A371" s="31"/>
      <c r="B371" s="21"/>
      <c r="C371" s="21"/>
      <c r="D371" s="21"/>
      <c r="E371" s="32"/>
      <c r="F371" s="21"/>
    </row>
    <row r="372" customFormat="false" ht="15" hidden="false" customHeight="false" outlineLevel="0" collapsed="false">
      <c r="A372" s="31"/>
      <c r="B372" s="21"/>
      <c r="C372" s="21"/>
      <c r="D372" s="21"/>
      <c r="E372" s="32"/>
      <c r="F372" s="21"/>
    </row>
    <row r="373" customFormat="false" ht="15" hidden="false" customHeight="false" outlineLevel="0" collapsed="false">
      <c r="A373" s="31"/>
      <c r="B373" s="21"/>
      <c r="C373" s="21"/>
      <c r="D373" s="21"/>
      <c r="E373" s="32"/>
      <c r="F373" s="21"/>
    </row>
    <row r="374" customFormat="false" ht="15" hidden="false" customHeight="false" outlineLevel="0" collapsed="false">
      <c r="A374" s="31"/>
      <c r="B374" s="21"/>
      <c r="C374" s="21"/>
      <c r="D374" s="21"/>
      <c r="E374" s="32"/>
      <c r="F374" s="21"/>
    </row>
    <row r="375" customFormat="false" ht="15" hidden="false" customHeight="false" outlineLevel="0" collapsed="false">
      <c r="A375" s="31"/>
      <c r="B375" s="21"/>
      <c r="C375" s="21"/>
      <c r="D375" s="21"/>
      <c r="E375" s="32"/>
      <c r="F375" s="21"/>
    </row>
    <row r="376" customFormat="false" ht="15" hidden="false" customHeight="false" outlineLevel="0" collapsed="false">
      <c r="A376" s="31"/>
      <c r="B376" s="21"/>
      <c r="C376" s="21"/>
      <c r="D376" s="21"/>
      <c r="E376" s="32"/>
      <c r="F376" s="21"/>
    </row>
    <row r="377" customFormat="false" ht="15" hidden="false" customHeight="false" outlineLevel="0" collapsed="false">
      <c r="A377" s="31"/>
      <c r="B377" s="21"/>
      <c r="C377" s="21"/>
      <c r="D377" s="21"/>
      <c r="E377" s="32"/>
      <c r="F377" s="21"/>
    </row>
    <row r="378" customFormat="false" ht="15" hidden="false" customHeight="false" outlineLevel="0" collapsed="false">
      <c r="A378" s="31"/>
      <c r="B378" s="21"/>
      <c r="C378" s="21"/>
      <c r="D378" s="21"/>
      <c r="E378" s="32"/>
      <c r="F378" s="21"/>
    </row>
    <row r="379" customFormat="false" ht="15" hidden="false" customHeight="false" outlineLevel="0" collapsed="false">
      <c r="A379" s="31"/>
      <c r="B379" s="21"/>
      <c r="C379" s="21"/>
      <c r="D379" s="21"/>
      <c r="E379" s="32"/>
      <c r="F379" s="21"/>
    </row>
    <row r="380" customFormat="false" ht="15" hidden="false" customHeight="false" outlineLevel="0" collapsed="false">
      <c r="A380" s="31"/>
      <c r="B380" s="21"/>
      <c r="C380" s="21"/>
      <c r="D380" s="21"/>
      <c r="E380" s="32"/>
      <c r="F380" s="21"/>
    </row>
    <row r="381" customFormat="false" ht="15" hidden="false" customHeight="false" outlineLevel="0" collapsed="false">
      <c r="A381" s="31"/>
      <c r="B381" s="21"/>
      <c r="C381" s="21"/>
      <c r="D381" s="21"/>
      <c r="E381" s="32"/>
      <c r="F381" s="21"/>
    </row>
    <row r="382" customFormat="false" ht="15" hidden="false" customHeight="false" outlineLevel="0" collapsed="false">
      <c r="A382" s="31"/>
      <c r="B382" s="21"/>
      <c r="C382" s="21"/>
      <c r="D382" s="21"/>
      <c r="E382" s="32"/>
      <c r="F382" s="21"/>
    </row>
    <row r="383" customFormat="false" ht="15" hidden="false" customHeight="false" outlineLevel="0" collapsed="false">
      <c r="A383" s="31"/>
      <c r="B383" s="21"/>
      <c r="C383" s="21"/>
      <c r="D383" s="21"/>
      <c r="E383" s="32"/>
      <c r="F383" s="21"/>
    </row>
    <row r="384" customFormat="false" ht="15" hidden="false" customHeight="false" outlineLevel="0" collapsed="false">
      <c r="A384" s="31"/>
      <c r="B384" s="21"/>
      <c r="C384" s="21"/>
      <c r="D384" s="21"/>
      <c r="E384" s="32"/>
      <c r="F384" s="21"/>
    </row>
    <row r="385" customFormat="false" ht="15" hidden="false" customHeight="false" outlineLevel="0" collapsed="false">
      <c r="A385" s="31"/>
      <c r="B385" s="21"/>
      <c r="C385" s="21"/>
      <c r="D385" s="21"/>
      <c r="E385" s="32"/>
      <c r="F385" s="21"/>
    </row>
    <row r="386" customFormat="false" ht="15" hidden="false" customHeight="false" outlineLevel="0" collapsed="false">
      <c r="A386" s="31"/>
      <c r="B386" s="21"/>
      <c r="C386" s="21"/>
      <c r="D386" s="21"/>
      <c r="E386" s="32"/>
      <c r="F386" s="21"/>
    </row>
    <row r="387" customFormat="false" ht="15" hidden="false" customHeight="false" outlineLevel="0" collapsed="false">
      <c r="A387" s="31"/>
      <c r="B387" s="21"/>
      <c r="C387" s="21"/>
      <c r="D387" s="21"/>
      <c r="E387" s="32"/>
      <c r="F387" s="21"/>
    </row>
    <row r="388" customFormat="false" ht="15" hidden="false" customHeight="false" outlineLevel="0" collapsed="false">
      <c r="A388" s="31"/>
      <c r="B388" s="21"/>
      <c r="C388" s="21"/>
      <c r="D388" s="21"/>
      <c r="E388" s="32"/>
      <c r="F388" s="21"/>
    </row>
    <row r="389" customFormat="false" ht="15" hidden="false" customHeight="false" outlineLevel="0" collapsed="false">
      <c r="A389" s="31"/>
      <c r="B389" s="21"/>
      <c r="C389" s="21"/>
      <c r="D389" s="21"/>
      <c r="E389" s="32"/>
      <c r="F389" s="21"/>
    </row>
    <row r="390" customFormat="false" ht="15" hidden="false" customHeight="false" outlineLevel="0" collapsed="false">
      <c r="A390" s="31"/>
      <c r="B390" s="21"/>
      <c r="C390" s="21"/>
      <c r="D390" s="21"/>
      <c r="E390" s="32"/>
      <c r="F390" s="21"/>
    </row>
    <row r="391" customFormat="false" ht="15" hidden="false" customHeight="false" outlineLevel="0" collapsed="false">
      <c r="A391" s="31"/>
      <c r="B391" s="21"/>
      <c r="C391" s="21"/>
      <c r="D391" s="21"/>
      <c r="E391" s="32"/>
      <c r="F391" s="21"/>
    </row>
    <row r="392" customFormat="false" ht="15" hidden="false" customHeight="false" outlineLevel="0" collapsed="false">
      <c r="A392" s="31"/>
      <c r="B392" s="21"/>
      <c r="C392" s="21"/>
      <c r="D392" s="21"/>
      <c r="E392" s="32"/>
      <c r="F392" s="21"/>
    </row>
    <row r="393" customFormat="false" ht="15" hidden="false" customHeight="false" outlineLevel="0" collapsed="false">
      <c r="A393" s="31"/>
      <c r="B393" s="21"/>
      <c r="C393" s="21"/>
      <c r="D393" s="21"/>
      <c r="E393" s="32"/>
      <c r="F393" s="21"/>
    </row>
    <row r="394" customFormat="false" ht="15" hidden="false" customHeight="false" outlineLevel="0" collapsed="false">
      <c r="A394" s="31"/>
      <c r="B394" s="21"/>
      <c r="C394" s="21"/>
      <c r="D394" s="21"/>
      <c r="E394" s="32"/>
      <c r="F394" s="21"/>
    </row>
    <row r="395" customFormat="false" ht="15" hidden="false" customHeight="false" outlineLevel="0" collapsed="false">
      <c r="A395" s="31"/>
      <c r="B395" s="21"/>
      <c r="C395" s="21"/>
      <c r="D395" s="21"/>
      <c r="E395" s="32"/>
      <c r="F395" s="21"/>
    </row>
    <row r="396" customFormat="false" ht="15" hidden="false" customHeight="false" outlineLevel="0" collapsed="false">
      <c r="A396" s="31"/>
      <c r="B396" s="21"/>
      <c r="C396" s="21"/>
      <c r="D396" s="21"/>
      <c r="E396" s="32"/>
      <c r="F396" s="21"/>
    </row>
    <row r="397" customFormat="false" ht="15" hidden="false" customHeight="false" outlineLevel="0" collapsed="false">
      <c r="A397" s="31"/>
      <c r="B397" s="21"/>
      <c r="C397" s="21"/>
      <c r="D397" s="21"/>
      <c r="E397" s="32"/>
      <c r="F397" s="21"/>
    </row>
    <row r="398" customFormat="false" ht="15" hidden="false" customHeight="false" outlineLevel="0" collapsed="false">
      <c r="A398" s="31"/>
      <c r="B398" s="21"/>
      <c r="C398" s="21"/>
      <c r="D398" s="21"/>
      <c r="E398" s="32"/>
      <c r="F398" s="21"/>
    </row>
    <row r="399" customFormat="false" ht="15" hidden="false" customHeight="false" outlineLevel="0" collapsed="false">
      <c r="A399" s="31"/>
      <c r="B399" s="21"/>
      <c r="C399" s="21"/>
      <c r="D399" s="21"/>
      <c r="E399" s="32"/>
      <c r="F399" s="21"/>
    </row>
    <row r="400" customFormat="false" ht="15" hidden="false" customHeight="false" outlineLevel="0" collapsed="false">
      <c r="A400" s="31"/>
      <c r="B400" s="21"/>
      <c r="C400" s="21"/>
      <c r="D400" s="21"/>
      <c r="E400" s="32"/>
      <c r="F400" s="21"/>
    </row>
    <row r="401" customFormat="false" ht="15" hidden="false" customHeight="false" outlineLevel="0" collapsed="false">
      <c r="A401" s="31"/>
      <c r="B401" s="21"/>
      <c r="C401" s="21"/>
      <c r="D401" s="21"/>
      <c r="E401" s="32"/>
      <c r="F401" s="21"/>
    </row>
    <row r="402" customFormat="false" ht="15" hidden="false" customHeight="false" outlineLevel="0" collapsed="false">
      <c r="A402" s="31"/>
      <c r="B402" s="21"/>
      <c r="C402" s="21"/>
      <c r="D402" s="21"/>
      <c r="E402" s="32"/>
      <c r="F402" s="21"/>
    </row>
    <row r="403" customFormat="false" ht="15" hidden="false" customHeight="false" outlineLevel="0" collapsed="false">
      <c r="A403" s="31"/>
      <c r="B403" s="21"/>
      <c r="C403" s="21"/>
      <c r="D403" s="21"/>
      <c r="E403" s="32"/>
      <c r="F403" s="21"/>
    </row>
    <row r="404" customFormat="false" ht="15" hidden="false" customHeight="false" outlineLevel="0" collapsed="false">
      <c r="A404" s="31"/>
      <c r="B404" s="21"/>
      <c r="C404" s="21"/>
      <c r="D404" s="21"/>
      <c r="E404" s="32"/>
      <c r="F404" s="21"/>
    </row>
    <row r="405" customFormat="false" ht="15" hidden="false" customHeight="false" outlineLevel="0" collapsed="false">
      <c r="A405" s="31"/>
      <c r="B405" s="21"/>
      <c r="C405" s="21"/>
      <c r="D405" s="21"/>
      <c r="E405" s="32"/>
      <c r="F405" s="21"/>
    </row>
    <row r="406" customFormat="false" ht="15" hidden="false" customHeight="false" outlineLevel="0" collapsed="false">
      <c r="A406" s="31"/>
      <c r="B406" s="21"/>
      <c r="C406" s="21"/>
      <c r="D406" s="21"/>
      <c r="E406" s="32"/>
      <c r="F406" s="21"/>
    </row>
    <row r="407" customFormat="false" ht="15" hidden="false" customHeight="false" outlineLevel="0" collapsed="false">
      <c r="A407" s="31"/>
      <c r="B407" s="21"/>
      <c r="C407" s="21"/>
      <c r="D407" s="21"/>
      <c r="E407" s="32"/>
      <c r="F407" s="21"/>
    </row>
    <row r="408" customFormat="false" ht="15" hidden="false" customHeight="false" outlineLevel="0" collapsed="false">
      <c r="A408" s="31"/>
      <c r="B408" s="21"/>
      <c r="C408" s="21"/>
      <c r="D408" s="21"/>
      <c r="E408" s="32"/>
      <c r="F408" s="21"/>
    </row>
    <row r="409" customFormat="false" ht="15" hidden="false" customHeight="false" outlineLevel="0" collapsed="false">
      <c r="A409" s="31"/>
      <c r="B409" s="21"/>
      <c r="C409" s="21"/>
      <c r="D409" s="21"/>
      <c r="E409" s="32"/>
      <c r="F409" s="21"/>
    </row>
    <row r="410" customFormat="false" ht="15" hidden="false" customHeight="false" outlineLevel="0" collapsed="false">
      <c r="A410" s="31"/>
      <c r="B410" s="21"/>
      <c r="C410" s="21"/>
      <c r="D410" s="21"/>
      <c r="E410" s="32"/>
      <c r="F410" s="21"/>
    </row>
    <row r="411" customFormat="false" ht="15" hidden="false" customHeight="false" outlineLevel="0" collapsed="false">
      <c r="A411" s="31"/>
      <c r="B411" s="21"/>
      <c r="C411" s="21"/>
      <c r="D411" s="21"/>
      <c r="E411" s="32"/>
      <c r="F411" s="21"/>
    </row>
    <row r="412" customFormat="false" ht="15" hidden="false" customHeight="false" outlineLevel="0" collapsed="false">
      <c r="A412" s="31"/>
      <c r="B412" s="21"/>
      <c r="C412" s="21"/>
      <c r="D412" s="21"/>
      <c r="E412" s="32"/>
      <c r="F412" s="21"/>
    </row>
    <row r="413" customFormat="false" ht="15" hidden="false" customHeight="false" outlineLevel="0" collapsed="false">
      <c r="A413" s="31"/>
      <c r="B413" s="21"/>
      <c r="C413" s="21"/>
      <c r="D413" s="21"/>
      <c r="E413" s="32"/>
      <c r="F413" s="21"/>
    </row>
    <row r="414" customFormat="false" ht="15" hidden="false" customHeight="false" outlineLevel="0" collapsed="false">
      <c r="A414" s="31"/>
      <c r="B414" s="21"/>
      <c r="C414" s="21"/>
      <c r="D414" s="21"/>
      <c r="E414" s="32"/>
      <c r="F414" s="21"/>
    </row>
    <row r="415" customFormat="false" ht="15" hidden="false" customHeight="false" outlineLevel="0" collapsed="false">
      <c r="A415" s="31"/>
      <c r="B415" s="21"/>
      <c r="C415" s="21"/>
      <c r="D415" s="21"/>
      <c r="E415" s="32"/>
      <c r="F415" s="21"/>
    </row>
    <row r="416" customFormat="false" ht="15" hidden="false" customHeight="false" outlineLevel="0" collapsed="false">
      <c r="A416" s="31"/>
      <c r="B416" s="21"/>
      <c r="C416" s="21"/>
      <c r="D416" s="21"/>
      <c r="E416" s="32"/>
      <c r="F416" s="21"/>
    </row>
    <row r="417" customFormat="false" ht="15" hidden="false" customHeight="false" outlineLevel="0" collapsed="false">
      <c r="A417" s="31"/>
      <c r="B417" s="21"/>
      <c r="C417" s="21"/>
      <c r="D417" s="21"/>
      <c r="E417" s="32"/>
      <c r="F417" s="21"/>
    </row>
    <row r="418" customFormat="false" ht="15" hidden="false" customHeight="false" outlineLevel="0" collapsed="false">
      <c r="A418" s="31"/>
      <c r="B418" s="21"/>
      <c r="C418" s="21"/>
      <c r="D418" s="21"/>
      <c r="E418" s="32"/>
      <c r="F418" s="21"/>
    </row>
    <row r="419" customFormat="false" ht="15" hidden="false" customHeight="false" outlineLevel="0" collapsed="false">
      <c r="A419" s="31"/>
      <c r="B419" s="21"/>
      <c r="C419" s="21"/>
      <c r="D419" s="21"/>
      <c r="E419" s="32"/>
      <c r="F419" s="21"/>
    </row>
    <row r="420" customFormat="false" ht="15" hidden="false" customHeight="false" outlineLevel="0" collapsed="false">
      <c r="A420" s="31"/>
      <c r="B420" s="21"/>
      <c r="C420" s="21"/>
      <c r="D420" s="21"/>
      <c r="E420" s="32"/>
      <c r="F420" s="21"/>
    </row>
    <row r="421" customFormat="false" ht="15" hidden="false" customHeight="false" outlineLevel="0" collapsed="false">
      <c r="A421" s="31"/>
      <c r="B421" s="21"/>
      <c r="C421" s="21"/>
      <c r="D421" s="21"/>
      <c r="E421" s="32"/>
      <c r="F421" s="21"/>
    </row>
    <row r="422" customFormat="false" ht="15" hidden="false" customHeight="false" outlineLevel="0" collapsed="false">
      <c r="A422" s="31"/>
      <c r="B422" s="21"/>
      <c r="C422" s="21"/>
      <c r="D422" s="21"/>
      <c r="E422" s="32"/>
      <c r="F422" s="21"/>
    </row>
    <row r="423" customFormat="false" ht="15" hidden="false" customHeight="false" outlineLevel="0" collapsed="false">
      <c r="A423" s="31"/>
      <c r="B423" s="21"/>
      <c r="C423" s="21"/>
      <c r="D423" s="21"/>
      <c r="E423" s="32"/>
      <c r="F423" s="21"/>
    </row>
    <row r="424" customFormat="false" ht="15" hidden="false" customHeight="false" outlineLevel="0" collapsed="false">
      <c r="A424" s="31"/>
      <c r="B424" s="21"/>
      <c r="C424" s="21"/>
      <c r="D424" s="21"/>
      <c r="E424" s="32"/>
      <c r="F424" s="21"/>
    </row>
    <row r="425" customFormat="false" ht="15" hidden="false" customHeight="false" outlineLevel="0" collapsed="false">
      <c r="A425" s="31"/>
      <c r="B425" s="21"/>
      <c r="C425" s="21"/>
      <c r="D425" s="21"/>
      <c r="E425" s="32"/>
      <c r="F425" s="21"/>
    </row>
    <row r="426" customFormat="false" ht="15" hidden="false" customHeight="false" outlineLevel="0" collapsed="false">
      <c r="A426" s="31"/>
      <c r="B426" s="21"/>
      <c r="C426" s="21"/>
      <c r="D426" s="21"/>
      <c r="E426" s="32"/>
      <c r="F426" s="21"/>
    </row>
    <row r="427" customFormat="false" ht="15" hidden="false" customHeight="false" outlineLevel="0" collapsed="false">
      <c r="A427" s="31"/>
      <c r="B427" s="21"/>
      <c r="C427" s="21"/>
      <c r="D427" s="21"/>
      <c r="E427" s="32"/>
      <c r="F427" s="21"/>
    </row>
    <row r="428" customFormat="false" ht="15" hidden="false" customHeight="false" outlineLevel="0" collapsed="false">
      <c r="A428" s="31"/>
      <c r="B428" s="21"/>
      <c r="C428" s="21"/>
      <c r="D428" s="21"/>
      <c r="E428" s="32"/>
      <c r="F428" s="21"/>
    </row>
    <row r="429" customFormat="false" ht="15" hidden="false" customHeight="false" outlineLevel="0" collapsed="false">
      <c r="A429" s="31"/>
      <c r="B429" s="21"/>
      <c r="C429" s="21"/>
      <c r="D429" s="21"/>
      <c r="E429" s="32"/>
      <c r="F429" s="21"/>
    </row>
    <row r="430" customFormat="false" ht="15" hidden="false" customHeight="false" outlineLevel="0" collapsed="false">
      <c r="A430" s="31"/>
      <c r="B430" s="21"/>
      <c r="C430" s="21"/>
      <c r="D430" s="21"/>
      <c r="E430" s="32"/>
      <c r="F430" s="21"/>
    </row>
    <row r="431" customFormat="false" ht="15" hidden="false" customHeight="false" outlineLevel="0" collapsed="false">
      <c r="A431" s="31"/>
      <c r="B431" s="21"/>
      <c r="C431" s="21"/>
      <c r="D431" s="21"/>
      <c r="E431" s="32"/>
      <c r="F431" s="21"/>
    </row>
    <row r="432" customFormat="false" ht="15" hidden="false" customHeight="false" outlineLevel="0" collapsed="false">
      <c r="A432" s="31"/>
      <c r="B432" s="21"/>
      <c r="C432" s="21"/>
      <c r="D432" s="21"/>
      <c r="E432" s="32"/>
      <c r="F432" s="21"/>
    </row>
    <row r="433" customFormat="false" ht="15" hidden="false" customHeight="false" outlineLevel="0" collapsed="false">
      <c r="A433" s="31"/>
      <c r="B433" s="21"/>
      <c r="C433" s="21"/>
      <c r="D433" s="21"/>
      <c r="E433" s="32"/>
      <c r="F433" s="21"/>
    </row>
    <row r="434" customFormat="false" ht="15" hidden="false" customHeight="false" outlineLevel="0" collapsed="false">
      <c r="A434" s="31"/>
      <c r="B434" s="21"/>
      <c r="C434" s="21"/>
      <c r="D434" s="21"/>
      <c r="E434" s="32"/>
      <c r="F434" s="21"/>
    </row>
    <row r="435" customFormat="false" ht="15" hidden="false" customHeight="false" outlineLevel="0" collapsed="false">
      <c r="A435" s="31"/>
      <c r="B435" s="21"/>
      <c r="C435" s="21"/>
      <c r="D435" s="21"/>
      <c r="E435" s="32"/>
      <c r="F435" s="21"/>
    </row>
    <row r="436" customFormat="false" ht="15" hidden="false" customHeight="false" outlineLevel="0" collapsed="false">
      <c r="A436" s="31"/>
      <c r="B436" s="21"/>
      <c r="C436" s="21"/>
      <c r="D436" s="21"/>
      <c r="E436" s="32"/>
      <c r="F436" s="21"/>
    </row>
    <row r="437" customFormat="false" ht="15" hidden="false" customHeight="false" outlineLevel="0" collapsed="false">
      <c r="A437" s="31"/>
      <c r="B437" s="21"/>
      <c r="C437" s="21"/>
      <c r="D437" s="21"/>
      <c r="E437" s="32"/>
      <c r="F437" s="21"/>
    </row>
    <row r="438" customFormat="false" ht="15" hidden="false" customHeight="false" outlineLevel="0" collapsed="false">
      <c r="A438" s="31"/>
      <c r="B438" s="21"/>
      <c r="C438" s="21"/>
      <c r="D438" s="21"/>
      <c r="E438" s="32"/>
      <c r="F438" s="21"/>
    </row>
    <row r="439" customFormat="false" ht="15" hidden="false" customHeight="false" outlineLevel="0" collapsed="false">
      <c r="A439" s="31"/>
      <c r="B439" s="21"/>
      <c r="C439" s="21"/>
      <c r="D439" s="21"/>
      <c r="E439" s="32"/>
      <c r="F439" s="21"/>
    </row>
    <row r="440" customFormat="false" ht="15" hidden="false" customHeight="false" outlineLevel="0" collapsed="false">
      <c r="A440" s="31"/>
      <c r="B440" s="21"/>
      <c r="C440" s="21"/>
      <c r="D440" s="21"/>
      <c r="E440" s="32"/>
      <c r="F440" s="21"/>
    </row>
    <row r="441" customFormat="false" ht="15" hidden="false" customHeight="false" outlineLevel="0" collapsed="false">
      <c r="A441" s="31"/>
      <c r="B441" s="21"/>
      <c r="C441" s="21"/>
      <c r="D441" s="21"/>
      <c r="E441" s="32"/>
      <c r="F441" s="21"/>
    </row>
    <row r="442" customFormat="false" ht="15" hidden="false" customHeight="false" outlineLevel="0" collapsed="false">
      <c r="A442" s="31"/>
      <c r="B442" s="21"/>
      <c r="C442" s="21"/>
      <c r="D442" s="21"/>
      <c r="E442" s="32"/>
      <c r="F442" s="21"/>
    </row>
    <row r="443" customFormat="false" ht="15" hidden="false" customHeight="false" outlineLevel="0" collapsed="false">
      <c r="A443" s="31"/>
      <c r="B443" s="21"/>
      <c r="C443" s="21"/>
      <c r="D443" s="21"/>
      <c r="E443" s="32"/>
      <c r="F443" s="21"/>
    </row>
    <row r="444" customFormat="false" ht="15" hidden="false" customHeight="false" outlineLevel="0" collapsed="false">
      <c r="A444" s="31"/>
      <c r="B444" s="21"/>
      <c r="C444" s="21"/>
      <c r="D444" s="21"/>
      <c r="E444" s="32"/>
      <c r="F444" s="21"/>
    </row>
    <row r="445" customFormat="false" ht="15" hidden="false" customHeight="false" outlineLevel="0" collapsed="false">
      <c r="A445" s="31"/>
      <c r="B445" s="21"/>
      <c r="C445" s="21"/>
      <c r="D445" s="21"/>
      <c r="E445" s="32"/>
      <c r="F445" s="21"/>
    </row>
    <row r="446" customFormat="false" ht="15" hidden="false" customHeight="false" outlineLevel="0" collapsed="false">
      <c r="A446" s="31"/>
      <c r="B446" s="21"/>
      <c r="C446" s="21"/>
      <c r="D446" s="21"/>
      <c r="E446" s="32"/>
      <c r="F446" s="21"/>
    </row>
    <row r="447" customFormat="false" ht="15" hidden="false" customHeight="false" outlineLevel="0" collapsed="false">
      <c r="A447" s="31"/>
      <c r="B447" s="21"/>
      <c r="C447" s="21"/>
      <c r="D447" s="21"/>
      <c r="E447" s="32"/>
      <c r="F447" s="21"/>
    </row>
    <row r="448" customFormat="false" ht="15" hidden="false" customHeight="false" outlineLevel="0" collapsed="false">
      <c r="A448" s="31"/>
      <c r="B448" s="21"/>
      <c r="C448" s="21"/>
      <c r="D448" s="21"/>
      <c r="E448" s="32"/>
      <c r="F448" s="21"/>
    </row>
    <row r="449" customFormat="false" ht="15" hidden="false" customHeight="false" outlineLevel="0" collapsed="false">
      <c r="A449" s="31"/>
      <c r="B449" s="21"/>
      <c r="C449" s="21"/>
      <c r="D449" s="21"/>
      <c r="E449" s="32"/>
      <c r="F449" s="21"/>
    </row>
    <row r="450" customFormat="false" ht="15" hidden="false" customHeight="false" outlineLevel="0" collapsed="false">
      <c r="A450" s="31"/>
      <c r="B450" s="21"/>
      <c r="C450" s="21"/>
      <c r="D450" s="21"/>
      <c r="E450" s="32"/>
      <c r="F450" s="21"/>
    </row>
    <row r="451" customFormat="false" ht="15" hidden="false" customHeight="false" outlineLevel="0" collapsed="false">
      <c r="A451" s="31"/>
      <c r="B451" s="21"/>
      <c r="C451" s="21"/>
      <c r="D451" s="21"/>
      <c r="E451" s="32"/>
      <c r="F451" s="21"/>
    </row>
    <row r="452" customFormat="false" ht="15" hidden="false" customHeight="false" outlineLevel="0" collapsed="false">
      <c r="A452" s="31"/>
      <c r="B452" s="21"/>
      <c r="C452" s="21"/>
      <c r="D452" s="21"/>
      <c r="E452" s="32"/>
      <c r="F452" s="21"/>
    </row>
    <row r="453" customFormat="false" ht="15" hidden="false" customHeight="false" outlineLevel="0" collapsed="false">
      <c r="A453" s="31"/>
      <c r="B453" s="21"/>
      <c r="C453" s="21"/>
      <c r="D453" s="21"/>
      <c r="E453" s="32"/>
      <c r="F453" s="21"/>
    </row>
    <row r="454" customFormat="false" ht="15" hidden="false" customHeight="false" outlineLevel="0" collapsed="false">
      <c r="A454" s="31"/>
      <c r="B454" s="21"/>
      <c r="C454" s="21"/>
      <c r="D454" s="21"/>
      <c r="E454" s="32"/>
      <c r="F454" s="21"/>
    </row>
    <row r="455" customFormat="false" ht="15" hidden="false" customHeight="false" outlineLevel="0" collapsed="false">
      <c r="A455" s="31"/>
      <c r="B455" s="21"/>
      <c r="C455" s="21"/>
      <c r="D455" s="21"/>
      <c r="E455" s="32"/>
      <c r="F455" s="21"/>
    </row>
    <row r="456" customFormat="false" ht="15" hidden="false" customHeight="false" outlineLevel="0" collapsed="false">
      <c r="A456" s="31"/>
      <c r="B456" s="21"/>
      <c r="C456" s="21"/>
      <c r="D456" s="21"/>
      <c r="E456" s="32"/>
      <c r="F456" s="21"/>
    </row>
    <row r="457" customFormat="false" ht="15" hidden="false" customHeight="false" outlineLevel="0" collapsed="false">
      <c r="A457" s="31"/>
      <c r="B457" s="21"/>
      <c r="C457" s="21"/>
      <c r="D457" s="21"/>
      <c r="E457" s="32"/>
      <c r="F457" s="21"/>
    </row>
    <row r="458" customFormat="false" ht="15" hidden="false" customHeight="false" outlineLevel="0" collapsed="false">
      <c r="A458" s="31"/>
      <c r="B458" s="21"/>
      <c r="C458" s="21"/>
      <c r="D458" s="21"/>
      <c r="E458" s="32"/>
      <c r="F458" s="21"/>
    </row>
    <row r="459" customFormat="false" ht="15" hidden="false" customHeight="false" outlineLevel="0" collapsed="false">
      <c r="A459" s="31"/>
      <c r="B459" s="21"/>
      <c r="C459" s="21"/>
      <c r="D459" s="21"/>
      <c r="E459" s="32"/>
      <c r="F459" s="21"/>
    </row>
    <row r="460" customFormat="false" ht="15" hidden="false" customHeight="false" outlineLevel="0" collapsed="false">
      <c r="A460" s="31"/>
      <c r="B460" s="21"/>
      <c r="C460" s="21"/>
      <c r="D460" s="21"/>
      <c r="E460" s="32"/>
      <c r="F460" s="21"/>
    </row>
    <row r="461" customFormat="false" ht="15" hidden="false" customHeight="false" outlineLevel="0" collapsed="false">
      <c r="A461" s="31"/>
      <c r="B461" s="21"/>
      <c r="C461" s="21"/>
      <c r="D461" s="21"/>
      <c r="E461" s="32"/>
      <c r="F461" s="21"/>
    </row>
    <row r="462" customFormat="false" ht="15" hidden="false" customHeight="false" outlineLevel="0" collapsed="false">
      <c r="A462" s="31"/>
      <c r="B462" s="21"/>
      <c r="C462" s="21"/>
      <c r="D462" s="21"/>
      <c r="E462" s="32"/>
      <c r="F462" s="21"/>
    </row>
    <row r="463" customFormat="false" ht="15" hidden="false" customHeight="false" outlineLevel="0" collapsed="false">
      <c r="A463" s="31"/>
      <c r="B463" s="21"/>
      <c r="C463" s="21"/>
      <c r="D463" s="21"/>
      <c r="E463" s="32"/>
      <c r="F463" s="21"/>
    </row>
    <row r="464" customFormat="false" ht="15" hidden="false" customHeight="false" outlineLevel="0" collapsed="false">
      <c r="A464" s="31"/>
      <c r="B464" s="21"/>
      <c r="C464" s="21"/>
      <c r="D464" s="21"/>
      <c r="E464" s="32"/>
      <c r="F464" s="21"/>
    </row>
    <row r="465" customFormat="false" ht="15" hidden="false" customHeight="false" outlineLevel="0" collapsed="false">
      <c r="A465" s="31"/>
      <c r="B465" s="21"/>
      <c r="C465" s="21"/>
      <c r="D465" s="21"/>
      <c r="E465" s="32"/>
      <c r="F465" s="21"/>
    </row>
    <row r="466" customFormat="false" ht="15" hidden="false" customHeight="false" outlineLevel="0" collapsed="false">
      <c r="A466" s="31"/>
      <c r="B466" s="21"/>
      <c r="C466" s="21"/>
      <c r="D466" s="21"/>
      <c r="E466" s="32"/>
      <c r="F466" s="21"/>
    </row>
    <row r="467" customFormat="false" ht="15" hidden="false" customHeight="false" outlineLevel="0" collapsed="false">
      <c r="A467" s="31"/>
      <c r="B467" s="21"/>
      <c r="C467" s="21"/>
      <c r="D467" s="21"/>
      <c r="E467" s="32"/>
      <c r="F467" s="21"/>
    </row>
    <row r="468" customFormat="false" ht="15" hidden="false" customHeight="false" outlineLevel="0" collapsed="false">
      <c r="A468" s="31"/>
      <c r="B468" s="21"/>
      <c r="C468" s="21"/>
      <c r="D468" s="21"/>
      <c r="E468" s="32"/>
      <c r="F468" s="21"/>
    </row>
    <row r="469" customFormat="false" ht="15" hidden="false" customHeight="false" outlineLevel="0" collapsed="false">
      <c r="A469" s="31"/>
      <c r="B469" s="21"/>
      <c r="C469" s="21"/>
      <c r="D469" s="21"/>
      <c r="E469" s="32"/>
      <c r="F469" s="21"/>
    </row>
    <row r="470" customFormat="false" ht="15" hidden="false" customHeight="false" outlineLevel="0" collapsed="false">
      <c r="A470" s="31"/>
      <c r="B470" s="21"/>
      <c r="C470" s="21"/>
      <c r="D470" s="21"/>
      <c r="E470" s="32"/>
      <c r="F470" s="21"/>
    </row>
    <row r="471" customFormat="false" ht="15" hidden="false" customHeight="false" outlineLevel="0" collapsed="false">
      <c r="A471" s="31"/>
      <c r="B471" s="21"/>
      <c r="C471" s="21"/>
      <c r="D471" s="21"/>
      <c r="E471" s="32"/>
      <c r="F471" s="21"/>
    </row>
    <row r="472" customFormat="false" ht="15" hidden="false" customHeight="false" outlineLevel="0" collapsed="false">
      <c r="A472" s="31"/>
      <c r="B472" s="21"/>
      <c r="C472" s="21"/>
      <c r="D472" s="21"/>
      <c r="E472" s="32"/>
      <c r="F472" s="21"/>
    </row>
    <row r="473" customFormat="false" ht="15" hidden="false" customHeight="false" outlineLevel="0" collapsed="false">
      <c r="A473" s="31"/>
      <c r="B473" s="21"/>
      <c r="C473" s="21"/>
      <c r="D473" s="21"/>
      <c r="E473" s="32"/>
      <c r="F473" s="21"/>
    </row>
    <row r="474" customFormat="false" ht="15" hidden="false" customHeight="false" outlineLevel="0" collapsed="false">
      <c r="A474" s="31"/>
      <c r="B474" s="21"/>
      <c r="C474" s="21"/>
      <c r="D474" s="21"/>
      <c r="E474" s="32"/>
      <c r="F474" s="21"/>
    </row>
    <row r="475" customFormat="false" ht="15" hidden="false" customHeight="false" outlineLevel="0" collapsed="false">
      <c r="A475" s="31"/>
      <c r="B475" s="21"/>
      <c r="C475" s="21"/>
      <c r="D475" s="21"/>
      <c r="E475" s="32"/>
      <c r="F475" s="21"/>
    </row>
    <row r="476" customFormat="false" ht="15" hidden="false" customHeight="false" outlineLevel="0" collapsed="false">
      <c r="A476" s="31"/>
      <c r="B476" s="21"/>
      <c r="C476" s="21"/>
      <c r="D476" s="21"/>
      <c r="E476" s="32"/>
      <c r="F476" s="21"/>
    </row>
    <row r="477" customFormat="false" ht="15" hidden="false" customHeight="false" outlineLevel="0" collapsed="false">
      <c r="A477" s="31"/>
      <c r="B477" s="21"/>
      <c r="C477" s="21"/>
      <c r="D477" s="21"/>
      <c r="E477" s="32"/>
      <c r="F477" s="21"/>
    </row>
    <row r="478" customFormat="false" ht="15" hidden="false" customHeight="false" outlineLevel="0" collapsed="false">
      <c r="A478" s="31"/>
      <c r="B478" s="21"/>
      <c r="C478" s="21"/>
      <c r="D478" s="21"/>
      <c r="E478" s="32"/>
      <c r="F478" s="21"/>
    </row>
    <row r="479" customFormat="false" ht="15" hidden="false" customHeight="false" outlineLevel="0" collapsed="false">
      <c r="A479" s="31"/>
      <c r="B479" s="21"/>
      <c r="C479" s="21"/>
      <c r="D479" s="21"/>
      <c r="E479" s="32"/>
      <c r="F479" s="21"/>
    </row>
    <row r="480" customFormat="false" ht="15" hidden="false" customHeight="false" outlineLevel="0" collapsed="false">
      <c r="A480" s="31"/>
      <c r="B480" s="21"/>
      <c r="C480" s="21"/>
      <c r="D480" s="21"/>
      <c r="E480" s="32"/>
      <c r="F480" s="21"/>
    </row>
    <row r="481" customFormat="false" ht="15" hidden="false" customHeight="false" outlineLevel="0" collapsed="false">
      <c r="A481" s="31"/>
      <c r="B481" s="21"/>
      <c r="C481" s="21"/>
      <c r="D481" s="21"/>
      <c r="E481" s="32"/>
      <c r="F481" s="21"/>
    </row>
    <row r="482" customFormat="false" ht="15" hidden="false" customHeight="false" outlineLevel="0" collapsed="false">
      <c r="A482" s="31"/>
      <c r="B482" s="21"/>
      <c r="C482" s="21"/>
      <c r="D482" s="21"/>
      <c r="E482" s="32"/>
      <c r="F482" s="21"/>
    </row>
    <row r="483" customFormat="false" ht="15" hidden="false" customHeight="false" outlineLevel="0" collapsed="false">
      <c r="A483" s="31"/>
      <c r="B483" s="21"/>
      <c r="C483" s="21"/>
      <c r="D483" s="21"/>
      <c r="E483" s="32"/>
      <c r="F483" s="21"/>
    </row>
    <row r="484" customFormat="false" ht="15" hidden="false" customHeight="false" outlineLevel="0" collapsed="false">
      <c r="A484" s="31"/>
      <c r="B484" s="21"/>
      <c r="C484" s="21"/>
      <c r="D484" s="21"/>
      <c r="E484" s="32"/>
      <c r="F484" s="21"/>
    </row>
    <row r="485" customFormat="false" ht="15" hidden="false" customHeight="false" outlineLevel="0" collapsed="false">
      <c r="A485" s="31"/>
      <c r="B485" s="21"/>
      <c r="C485" s="21"/>
      <c r="D485" s="21"/>
      <c r="E485" s="32"/>
      <c r="F485" s="21"/>
    </row>
    <row r="486" customFormat="false" ht="15" hidden="false" customHeight="false" outlineLevel="0" collapsed="false">
      <c r="A486" s="31"/>
      <c r="B486" s="21"/>
      <c r="C486" s="21"/>
      <c r="D486" s="21"/>
      <c r="E486" s="32"/>
      <c r="F486" s="21"/>
    </row>
    <row r="487" customFormat="false" ht="15" hidden="false" customHeight="false" outlineLevel="0" collapsed="false">
      <c r="A487" s="31"/>
      <c r="B487" s="21"/>
      <c r="C487" s="21"/>
      <c r="D487" s="21"/>
      <c r="E487" s="32"/>
      <c r="F487" s="21"/>
    </row>
    <row r="488" customFormat="false" ht="15" hidden="false" customHeight="false" outlineLevel="0" collapsed="false">
      <c r="A488" s="31"/>
      <c r="B488" s="21"/>
      <c r="C488" s="21"/>
      <c r="D488" s="21"/>
      <c r="E488" s="32"/>
      <c r="F488" s="21"/>
    </row>
    <row r="489" customFormat="false" ht="15" hidden="false" customHeight="false" outlineLevel="0" collapsed="false">
      <c r="A489" s="31"/>
      <c r="B489" s="21"/>
      <c r="C489" s="21"/>
      <c r="D489" s="21"/>
      <c r="E489" s="32"/>
      <c r="F489" s="21"/>
    </row>
    <row r="490" customFormat="false" ht="15" hidden="false" customHeight="false" outlineLevel="0" collapsed="false">
      <c r="A490" s="31"/>
      <c r="B490" s="21"/>
      <c r="C490" s="21"/>
      <c r="D490" s="21"/>
      <c r="E490" s="32"/>
      <c r="F490" s="21"/>
    </row>
    <row r="491" customFormat="false" ht="15" hidden="false" customHeight="false" outlineLevel="0" collapsed="false">
      <c r="A491" s="31"/>
      <c r="B491" s="21"/>
      <c r="C491" s="21"/>
      <c r="D491" s="21"/>
      <c r="E491" s="32"/>
      <c r="F491" s="21"/>
    </row>
    <row r="492" customFormat="false" ht="15" hidden="false" customHeight="false" outlineLevel="0" collapsed="false">
      <c r="A492" s="31"/>
      <c r="B492" s="21"/>
      <c r="C492" s="21"/>
      <c r="D492" s="21"/>
      <c r="E492" s="32"/>
      <c r="F492" s="21"/>
    </row>
    <row r="493" customFormat="false" ht="15" hidden="false" customHeight="false" outlineLevel="0" collapsed="false">
      <c r="A493" s="31"/>
      <c r="B493" s="21"/>
      <c r="C493" s="21"/>
      <c r="D493" s="21"/>
      <c r="E493" s="32"/>
      <c r="F493" s="21"/>
    </row>
    <row r="494" customFormat="false" ht="15" hidden="false" customHeight="false" outlineLevel="0" collapsed="false">
      <c r="A494" s="31"/>
      <c r="B494" s="21"/>
      <c r="C494" s="21"/>
      <c r="D494" s="21"/>
      <c r="E494" s="32"/>
      <c r="F494" s="21"/>
    </row>
    <row r="495" customFormat="false" ht="15" hidden="false" customHeight="false" outlineLevel="0" collapsed="false">
      <c r="A495" s="31"/>
      <c r="B495" s="21"/>
      <c r="C495" s="21"/>
      <c r="D495" s="21"/>
      <c r="E495" s="32"/>
      <c r="F495" s="21"/>
    </row>
    <row r="496" customFormat="false" ht="15" hidden="false" customHeight="false" outlineLevel="0" collapsed="false">
      <c r="A496" s="31"/>
      <c r="B496" s="21"/>
      <c r="C496" s="21"/>
      <c r="D496" s="21"/>
      <c r="E496" s="32"/>
      <c r="F496" s="21"/>
    </row>
    <row r="497" customFormat="false" ht="15" hidden="false" customHeight="false" outlineLevel="0" collapsed="false">
      <c r="A497" s="31"/>
      <c r="B497" s="21"/>
      <c r="C497" s="21"/>
      <c r="D497" s="21"/>
      <c r="E497" s="32"/>
      <c r="F497" s="21"/>
    </row>
    <row r="498" customFormat="false" ht="15" hidden="false" customHeight="false" outlineLevel="0" collapsed="false">
      <c r="A498" s="31"/>
      <c r="B498" s="21"/>
      <c r="C498" s="21"/>
      <c r="D498" s="21"/>
      <c r="E498" s="32"/>
      <c r="F498" s="21"/>
    </row>
    <row r="499" customFormat="false" ht="15" hidden="false" customHeight="false" outlineLevel="0" collapsed="false">
      <c r="A499" s="31"/>
      <c r="B499" s="21"/>
      <c r="C499" s="21"/>
      <c r="D499" s="21"/>
      <c r="E499" s="32"/>
      <c r="F499" s="21"/>
    </row>
    <row r="500" customFormat="false" ht="15" hidden="false" customHeight="false" outlineLevel="0" collapsed="false">
      <c r="A500" s="31"/>
      <c r="B500" s="21"/>
      <c r="C500" s="21"/>
      <c r="D500" s="21"/>
      <c r="E500" s="32"/>
      <c r="F500" s="21"/>
    </row>
    <row r="501" customFormat="false" ht="15" hidden="false" customHeight="false" outlineLevel="0" collapsed="false">
      <c r="A501" s="31"/>
      <c r="B501" s="21"/>
      <c r="C501" s="21"/>
      <c r="D501" s="21"/>
      <c r="E501" s="32"/>
      <c r="F501" s="21"/>
    </row>
    <row r="502" customFormat="false" ht="15" hidden="false" customHeight="false" outlineLevel="0" collapsed="false">
      <c r="A502" s="31"/>
      <c r="B502" s="21"/>
      <c r="C502" s="21"/>
      <c r="D502" s="21"/>
      <c r="E502" s="32"/>
      <c r="F502" s="21"/>
    </row>
    <row r="503" customFormat="false" ht="15" hidden="false" customHeight="false" outlineLevel="0" collapsed="false">
      <c r="A503" s="31"/>
      <c r="B503" s="21"/>
      <c r="C503" s="21"/>
      <c r="D503" s="21"/>
      <c r="E503" s="32"/>
      <c r="F503" s="21"/>
    </row>
    <row r="504" customFormat="false" ht="15" hidden="false" customHeight="false" outlineLevel="0" collapsed="false">
      <c r="A504" s="31"/>
      <c r="B504" s="21"/>
      <c r="C504" s="21"/>
      <c r="D504" s="21"/>
      <c r="E504" s="32"/>
      <c r="F504" s="21"/>
    </row>
  </sheetData>
  <autoFilter ref="A4:F504"/>
  <dataValidations count="2">
    <dataValidation allowBlank="true" errorStyle="stop" operator="between" showDropDown="false" showErrorMessage="false" showInputMessage="false" sqref="D5:D504" type="list">
      <formula1>Lists!$A$5:$A$29</formula1>
      <formula2>0</formula2>
    </dataValidation>
    <dataValidation allowBlank="true" errorStyle="stop" operator="between" showDropDown="false" showErrorMessage="false" showInputMessage="false" sqref="F5:F504" type="list">
      <formula1>Lists!$F$5:$F$29</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32"/>
    <col collapsed="false" customWidth="true" hidden="false" outlineLevel="0" max="4" min="4" style="0" width="26"/>
    <col collapsed="false" customWidth="true" hidden="false" outlineLevel="0" max="6" min="5" style="0" width="14"/>
    <col collapsed="false" customWidth="true" hidden="false" outlineLevel="0" max="7" min="7" style="0" width="16"/>
  </cols>
  <sheetData>
    <row r="1" customFormat="false" ht="24.45" hidden="false" customHeight="false" outlineLevel="0" collapsed="false">
      <c r="A1" s="1" t="s">
        <v>43</v>
      </c>
    </row>
    <row r="2" customFormat="false" ht="15" hidden="false" customHeight="false" outlineLevel="0" collapsed="false">
      <c r="A2" s="2" t="s">
        <v>104</v>
      </c>
    </row>
    <row r="3" customFormat="false" ht="15" hidden="false" customHeight="false" outlineLevel="0" collapsed="false">
      <c r="A3" s="15" t="s">
        <v>105</v>
      </c>
      <c r="E3" s="34" t="n">
        <f aca="false">SUM(E5:E504)</f>
        <v>59.99</v>
      </c>
      <c r="G3" s="34" t="n">
        <f aca="false">SUM(G5:G504)</f>
        <v>59.99</v>
      </c>
    </row>
    <row r="4" customFormat="false" ht="30" hidden="false" customHeight="true" outlineLevel="0" collapsed="false">
      <c r="A4" s="17" t="s">
        <v>95</v>
      </c>
      <c r="B4" s="17" t="s">
        <v>106</v>
      </c>
      <c r="C4" s="17" t="s">
        <v>97</v>
      </c>
      <c r="D4" s="17" t="s">
        <v>49</v>
      </c>
      <c r="E4" s="17" t="s">
        <v>98</v>
      </c>
      <c r="F4" s="17" t="s">
        <v>107</v>
      </c>
      <c r="G4" s="17" t="s">
        <v>108</v>
      </c>
    </row>
    <row r="5" customFormat="false" ht="15" hidden="false" customHeight="false" outlineLevel="0" collapsed="false">
      <c r="A5" s="35" t="n">
        <v>46031</v>
      </c>
      <c r="B5" s="36" t="s">
        <v>109</v>
      </c>
      <c r="C5" s="36" t="s">
        <v>110</v>
      </c>
      <c r="D5" s="36" t="s">
        <v>111</v>
      </c>
      <c r="E5" s="37" t="n">
        <v>59.99</v>
      </c>
      <c r="F5" s="38"/>
      <c r="G5" s="39" t="n">
        <f aca="false">IF(E5="","",E5*IFERROR(INDEX(Lists!$D$5:$D$29,MATCH(D5,Lists!$C$5:$C$29,0)),1)*IF(F5="",1,F5))</f>
        <v>59.99</v>
      </c>
    </row>
    <row r="6" customFormat="false" ht="15" hidden="false" customHeight="false" outlineLevel="0" collapsed="false">
      <c r="A6" s="31"/>
      <c r="B6" s="21"/>
      <c r="C6" s="21"/>
      <c r="D6" s="21"/>
      <c r="E6" s="32"/>
      <c r="F6" s="40"/>
      <c r="G6" s="41" t="str">
        <f aca="false">IF(E6="","",E6*IFERROR(INDEX(Lists!$D$5:$D$29,MATCH(D6,Lists!$C$5:$C$29,0)),1)*IF(F6="",1,F6))</f>
        <v/>
      </c>
    </row>
    <row r="7" customFormat="false" ht="15" hidden="false" customHeight="false" outlineLevel="0" collapsed="false">
      <c r="A7" s="31"/>
      <c r="B7" s="21"/>
      <c r="C7" s="21"/>
      <c r="D7" s="21"/>
      <c r="E7" s="32"/>
      <c r="F7" s="40"/>
      <c r="G7" s="41" t="str">
        <f aca="false">IF(E7="","",E7*IFERROR(INDEX(Lists!$D$5:$D$29,MATCH(D7,Lists!$C$5:$C$29,0)),1)*IF(F7="",1,F7))</f>
        <v/>
      </c>
    </row>
    <row r="8" customFormat="false" ht="15" hidden="false" customHeight="false" outlineLevel="0" collapsed="false">
      <c r="A8" s="31"/>
      <c r="B8" s="21"/>
      <c r="C8" s="21"/>
      <c r="D8" s="21"/>
      <c r="E8" s="32"/>
      <c r="F8" s="40"/>
      <c r="G8" s="41" t="str">
        <f aca="false">IF(E8="","",E8*IFERROR(INDEX(Lists!$D$5:$D$29,MATCH(D8,Lists!$C$5:$C$29,0)),1)*IF(F8="",1,F8))</f>
        <v/>
      </c>
    </row>
    <row r="9" customFormat="false" ht="15" hidden="false" customHeight="false" outlineLevel="0" collapsed="false">
      <c r="A9" s="31"/>
      <c r="B9" s="21"/>
      <c r="C9" s="21"/>
      <c r="D9" s="21"/>
      <c r="E9" s="32"/>
      <c r="F9" s="40"/>
      <c r="G9" s="41" t="str">
        <f aca="false">IF(E9="","",E9*IFERROR(INDEX(Lists!$D$5:$D$29,MATCH(D9,Lists!$C$5:$C$29,0)),1)*IF(F9="",1,F9))</f>
        <v/>
      </c>
    </row>
    <row r="10" customFormat="false" ht="15" hidden="false" customHeight="false" outlineLevel="0" collapsed="false">
      <c r="A10" s="31"/>
      <c r="B10" s="21"/>
      <c r="C10" s="21"/>
      <c r="D10" s="21"/>
      <c r="E10" s="32"/>
      <c r="F10" s="40"/>
      <c r="G10" s="41" t="str">
        <f aca="false">IF(E10="","",E10*IFERROR(INDEX(Lists!$D$5:$D$29,MATCH(D10,Lists!$C$5:$C$29,0)),1)*IF(F10="",1,F10))</f>
        <v/>
      </c>
    </row>
    <row r="11" customFormat="false" ht="15" hidden="false" customHeight="false" outlineLevel="0" collapsed="false">
      <c r="A11" s="31"/>
      <c r="B11" s="21"/>
      <c r="C11" s="21"/>
      <c r="D11" s="21"/>
      <c r="E11" s="32"/>
      <c r="F11" s="40"/>
      <c r="G11" s="41" t="str">
        <f aca="false">IF(E11="","",E11*IFERROR(INDEX(Lists!$D$5:$D$29,MATCH(D11,Lists!$C$5:$C$29,0)),1)*IF(F11="",1,F11))</f>
        <v/>
      </c>
    </row>
    <row r="12" customFormat="false" ht="15" hidden="false" customHeight="false" outlineLevel="0" collapsed="false">
      <c r="A12" s="31"/>
      <c r="B12" s="21"/>
      <c r="C12" s="21"/>
      <c r="D12" s="21"/>
      <c r="E12" s="32"/>
      <c r="F12" s="40"/>
      <c r="G12" s="41" t="str">
        <f aca="false">IF(E12="","",E12*IFERROR(INDEX(Lists!$D$5:$D$29,MATCH(D12,Lists!$C$5:$C$29,0)),1)*IF(F12="",1,F12))</f>
        <v/>
      </c>
    </row>
    <row r="13" customFormat="false" ht="15" hidden="false" customHeight="false" outlineLevel="0" collapsed="false">
      <c r="A13" s="31"/>
      <c r="B13" s="21"/>
      <c r="C13" s="21"/>
      <c r="D13" s="21"/>
      <c r="E13" s="32"/>
      <c r="F13" s="40"/>
      <c r="G13" s="41" t="str">
        <f aca="false">IF(E13="","",E13*IFERROR(INDEX(Lists!$D$5:$D$29,MATCH(D13,Lists!$C$5:$C$29,0)),1)*IF(F13="",1,F13))</f>
        <v/>
      </c>
    </row>
    <row r="14" customFormat="false" ht="15" hidden="false" customHeight="false" outlineLevel="0" collapsed="false">
      <c r="A14" s="31"/>
      <c r="B14" s="21"/>
      <c r="C14" s="21"/>
      <c r="D14" s="21"/>
      <c r="E14" s="32"/>
      <c r="F14" s="40"/>
      <c r="G14" s="41" t="str">
        <f aca="false">IF(E14="","",E14*IFERROR(INDEX(Lists!$D$5:$D$29,MATCH(D14,Lists!$C$5:$C$29,0)),1)*IF(F14="",1,F14))</f>
        <v/>
      </c>
    </row>
    <row r="15" customFormat="false" ht="15" hidden="false" customHeight="false" outlineLevel="0" collapsed="false">
      <c r="A15" s="31"/>
      <c r="B15" s="21"/>
      <c r="C15" s="21"/>
      <c r="D15" s="21"/>
      <c r="E15" s="32"/>
      <c r="F15" s="40"/>
      <c r="G15" s="41" t="str">
        <f aca="false">IF(E15="","",E15*IFERROR(INDEX(Lists!$D$5:$D$29,MATCH(D15,Lists!$C$5:$C$29,0)),1)*IF(F15="",1,F15))</f>
        <v/>
      </c>
    </row>
    <row r="16" customFormat="false" ht="15" hidden="false" customHeight="false" outlineLevel="0" collapsed="false">
      <c r="A16" s="31"/>
      <c r="B16" s="21"/>
      <c r="C16" s="21"/>
      <c r="D16" s="21"/>
      <c r="E16" s="32"/>
      <c r="F16" s="40"/>
      <c r="G16" s="41" t="str">
        <f aca="false">IF(E16="","",E16*IFERROR(INDEX(Lists!$D$5:$D$29,MATCH(D16,Lists!$C$5:$C$29,0)),1)*IF(F16="",1,F16))</f>
        <v/>
      </c>
    </row>
    <row r="17" customFormat="false" ht="15" hidden="false" customHeight="false" outlineLevel="0" collapsed="false">
      <c r="A17" s="31"/>
      <c r="B17" s="21"/>
      <c r="C17" s="21"/>
      <c r="D17" s="21"/>
      <c r="E17" s="32"/>
      <c r="F17" s="40"/>
      <c r="G17" s="41" t="str">
        <f aca="false">IF(E17="","",E17*IFERROR(INDEX(Lists!$D$5:$D$29,MATCH(D17,Lists!$C$5:$C$29,0)),1)*IF(F17="",1,F17))</f>
        <v/>
      </c>
    </row>
    <row r="18" customFormat="false" ht="15" hidden="false" customHeight="false" outlineLevel="0" collapsed="false">
      <c r="A18" s="31"/>
      <c r="B18" s="21"/>
      <c r="C18" s="21"/>
      <c r="D18" s="21"/>
      <c r="E18" s="32"/>
      <c r="F18" s="40"/>
      <c r="G18" s="41" t="str">
        <f aca="false">IF(E18="","",E18*IFERROR(INDEX(Lists!$D$5:$D$29,MATCH(D18,Lists!$C$5:$C$29,0)),1)*IF(F18="",1,F18))</f>
        <v/>
      </c>
    </row>
    <row r="19" customFormat="false" ht="15" hidden="false" customHeight="false" outlineLevel="0" collapsed="false">
      <c r="A19" s="31"/>
      <c r="B19" s="21"/>
      <c r="C19" s="21"/>
      <c r="D19" s="21"/>
      <c r="E19" s="32"/>
      <c r="F19" s="40"/>
      <c r="G19" s="41" t="str">
        <f aca="false">IF(E19="","",E19*IFERROR(INDEX(Lists!$D$5:$D$29,MATCH(D19,Lists!$C$5:$C$29,0)),1)*IF(F19="",1,F19))</f>
        <v/>
      </c>
    </row>
    <row r="20" customFormat="false" ht="15" hidden="false" customHeight="false" outlineLevel="0" collapsed="false">
      <c r="A20" s="31"/>
      <c r="B20" s="21"/>
      <c r="C20" s="21"/>
      <c r="D20" s="21"/>
      <c r="E20" s="32"/>
      <c r="F20" s="40"/>
      <c r="G20" s="41" t="str">
        <f aca="false">IF(E20="","",E20*IFERROR(INDEX(Lists!$D$5:$D$29,MATCH(D20,Lists!$C$5:$C$29,0)),1)*IF(F20="",1,F20))</f>
        <v/>
      </c>
    </row>
    <row r="21" customFormat="false" ht="15" hidden="false" customHeight="false" outlineLevel="0" collapsed="false">
      <c r="A21" s="31"/>
      <c r="B21" s="21"/>
      <c r="C21" s="21"/>
      <c r="D21" s="21"/>
      <c r="E21" s="32"/>
      <c r="F21" s="40"/>
      <c r="G21" s="41" t="str">
        <f aca="false">IF(E21="","",E21*IFERROR(INDEX(Lists!$D$5:$D$29,MATCH(D21,Lists!$C$5:$C$29,0)),1)*IF(F21="",1,F21))</f>
        <v/>
      </c>
    </row>
    <row r="22" customFormat="false" ht="15" hidden="false" customHeight="false" outlineLevel="0" collapsed="false">
      <c r="A22" s="31"/>
      <c r="B22" s="21"/>
      <c r="C22" s="21"/>
      <c r="D22" s="21"/>
      <c r="E22" s="32"/>
      <c r="F22" s="40"/>
      <c r="G22" s="41" t="str">
        <f aca="false">IF(E22="","",E22*IFERROR(INDEX(Lists!$D$5:$D$29,MATCH(D22,Lists!$C$5:$C$29,0)),1)*IF(F22="",1,F22))</f>
        <v/>
      </c>
    </row>
    <row r="23" customFormat="false" ht="15" hidden="false" customHeight="false" outlineLevel="0" collapsed="false">
      <c r="A23" s="31"/>
      <c r="B23" s="21"/>
      <c r="C23" s="21"/>
      <c r="D23" s="21"/>
      <c r="E23" s="32"/>
      <c r="F23" s="40"/>
      <c r="G23" s="41" t="str">
        <f aca="false">IF(E23="","",E23*IFERROR(INDEX(Lists!$D$5:$D$29,MATCH(D23,Lists!$C$5:$C$29,0)),1)*IF(F23="",1,F23))</f>
        <v/>
      </c>
    </row>
    <row r="24" customFormat="false" ht="15" hidden="false" customHeight="false" outlineLevel="0" collapsed="false">
      <c r="A24" s="31"/>
      <c r="B24" s="21"/>
      <c r="C24" s="21"/>
      <c r="D24" s="21"/>
      <c r="E24" s="32"/>
      <c r="F24" s="40"/>
      <c r="G24" s="41" t="str">
        <f aca="false">IF(E24="","",E24*IFERROR(INDEX(Lists!$D$5:$D$29,MATCH(D24,Lists!$C$5:$C$29,0)),1)*IF(F24="",1,F24))</f>
        <v/>
      </c>
    </row>
    <row r="25" customFormat="false" ht="15" hidden="false" customHeight="false" outlineLevel="0" collapsed="false">
      <c r="A25" s="31"/>
      <c r="B25" s="21"/>
      <c r="C25" s="21"/>
      <c r="D25" s="21"/>
      <c r="E25" s="32"/>
      <c r="F25" s="40"/>
      <c r="G25" s="41" t="str">
        <f aca="false">IF(E25="","",E25*IFERROR(INDEX(Lists!$D$5:$D$29,MATCH(D25,Lists!$C$5:$C$29,0)),1)*IF(F25="",1,F25))</f>
        <v/>
      </c>
    </row>
    <row r="26" customFormat="false" ht="15" hidden="false" customHeight="false" outlineLevel="0" collapsed="false">
      <c r="A26" s="31"/>
      <c r="B26" s="21"/>
      <c r="C26" s="21"/>
      <c r="D26" s="21"/>
      <c r="E26" s="32"/>
      <c r="F26" s="40"/>
      <c r="G26" s="41" t="str">
        <f aca="false">IF(E26="","",E26*IFERROR(INDEX(Lists!$D$5:$D$29,MATCH(D26,Lists!$C$5:$C$29,0)),1)*IF(F26="",1,F26))</f>
        <v/>
      </c>
    </row>
    <row r="27" customFormat="false" ht="15" hidden="false" customHeight="false" outlineLevel="0" collapsed="false">
      <c r="A27" s="31"/>
      <c r="B27" s="21"/>
      <c r="C27" s="21"/>
      <c r="D27" s="21"/>
      <c r="E27" s="32"/>
      <c r="F27" s="40"/>
      <c r="G27" s="41" t="str">
        <f aca="false">IF(E27="","",E27*IFERROR(INDEX(Lists!$D$5:$D$29,MATCH(D27,Lists!$C$5:$C$29,0)),1)*IF(F27="",1,F27))</f>
        <v/>
      </c>
    </row>
    <row r="28" customFormat="false" ht="15" hidden="false" customHeight="false" outlineLevel="0" collapsed="false">
      <c r="A28" s="31"/>
      <c r="B28" s="21"/>
      <c r="C28" s="21"/>
      <c r="D28" s="21"/>
      <c r="E28" s="32"/>
      <c r="F28" s="40"/>
      <c r="G28" s="41" t="str">
        <f aca="false">IF(E28="","",E28*IFERROR(INDEX(Lists!$D$5:$D$29,MATCH(D28,Lists!$C$5:$C$29,0)),1)*IF(F28="",1,F28))</f>
        <v/>
      </c>
    </row>
    <row r="29" customFormat="false" ht="15" hidden="false" customHeight="false" outlineLevel="0" collapsed="false">
      <c r="A29" s="31"/>
      <c r="B29" s="21"/>
      <c r="C29" s="21"/>
      <c r="D29" s="21"/>
      <c r="E29" s="32"/>
      <c r="F29" s="40"/>
      <c r="G29" s="41" t="str">
        <f aca="false">IF(E29="","",E29*IFERROR(INDEX(Lists!$D$5:$D$29,MATCH(D29,Lists!$C$5:$C$29,0)),1)*IF(F29="",1,F29))</f>
        <v/>
      </c>
    </row>
    <row r="30" customFormat="false" ht="15" hidden="false" customHeight="false" outlineLevel="0" collapsed="false">
      <c r="A30" s="31"/>
      <c r="B30" s="21"/>
      <c r="C30" s="21"/>
      <c r="D30" s="21"/>
      <c r="E30" s="32"/>
      <c r="F30" s="40"/>
      <c r="G30" s="41" t="str">
        <f aca="false">IF(E30="","",E30*IFERROR(INDEX(Lists!$D$5:$D$29,MATCH(D30,Lists!$C$5:$C$29,0)),1)*IF(F30="",1,F30))</f>
        <v/>
      </c>
    </row>
    <row r="31" customFormat="false" ht="15" hidden="false" customHeight="false" outlineLevel="0" collapsed="false">
      <c r="A31" s="31"/>
      <c r="B31" s="21"/>
      <c r="C31" s="21"/>
      <c r="D31" s="21"/>
      <c r="E31" s="32"/>
      <c r="F31" s="40"/>
      <c r="G31" s="41" t="str">
        <f aca="false">IF(E31="","",E31*IFERROR(INDEX(Lists!$D$5:$D$29,MATCH(D31,Lists!$C$5:$C$29,0)),1)*IF(F31="",1,F31))</f>
        <v/>
      </c>
    </row>
    <row r="32" customFormat="false" ht="15" hidden="false" customHeight="false" outlineLevel="0" collapsed="false">
      <c r="A32" s="31"/>
      <c r="B32" s="21"/>
      <c r="C32" s="21"/>
      <c r="D32" s="21"/>
      <c r="E32" s="32"/>
      <c r="F32" s="40"/>
      <c r="G32" s="41" t="str">
        <f aca="false">IF(E32="","",E32*IFERROR(INDEX(Lists!$D$5:$D$29,MATCH(D32,Lists!$C$5:$C$29,0)),1)*IF(F32="",1,F32))</f>
        <v/>
      </c>
    </row>
    <row r="33" customFormat="false" ht="15" hidden="false" customHeight="false" outlineLevel="0" collapsed="false">
      <c r="A33" s="31"/>
      <c r="B33" s="21"/>
      <c r="C33" s="21"/>
      <c r="D33" s="21"/>
      <c r="E33" s="32"/>
      <c r="F33" s="40"/>
      <c r="G33" s="41" t="str">
        <f aca="false">IF(E33="","",E33*IFERROR(INDEX(Lists!$D$5:$D$29,MATCH(D33,Lists!$C$5:$C$29,0)),1)*IF(F33="",1,F33))</f>
        <v/>
      </c>
    </row>
    <row r="34" customFormat="false" ht="15" hidden="false" customHeight="false" outlineLevel="0" collapsed="false">
      <c r="A34" s="31"/>
      <c r="B34" s="21"/>
      <c r="C34" s="21"/>
      <c r="D34" s="21"/>
      <c r="E34" s="32"/>
      <c r="F34" s="40"/>
      <c r="G34" s="41" t="str">
        <f aca="false">IF(E34="","",E34*IFERROR(INDEX(Lists!$D$5:$D$29,MATCH(D34,Lists!$C$5:$C$29,0)),1)*IF(F34="",1,F34))</f>
        <v/>
      </c>
    </row>
    <row r="35" customFormat="false" ht="15" hidden="false" customHeight="false" outlineLevel="0" collapsed="false">
      <c r="A35" s="31"/>
      <c r="B35" s="21"/>
      <c r="C35" s="21"/>
      <c r="D35" s="21"/>
      <c r="E35" s="32"/>
      <c r="F35" s="40"/>
      <c r="G35" s="41" t="str">
        <f aca="false">IF(E35="","",E35*IFERROR(INDEX(Lists!$D$5:$D$29,MATCH(D35,Lists!$C$5:$C$29,0)),1)*IF(F35="",1,F35))</f>
        <v/>
      </c>
    </row>
    <row r="36" customFormat="false" ht="15" hidden="false" customHeight="false" outlineLevel="0" collapsed="false">
      <c r="A36" s="31"/>
      <c r="B36" s="21"/>
      <c r="C36" s="21"/>
      <c r="D36" s="21"/>
      <c r="E36" s="32"/>
      <c r="F36" s="40"/>
      <c r="G36" s="41" t="str">
        <f aca="false">IF(E36="","",E36*IFERROR(INDEX(Lists!$D$5:$D$29,MATCH(D36,Lists!$C$5:$C$29,0)),1)*IF(F36="",1,F36))</f>
        <v/>
      </c>
    </row>
    <row r="37" customFormat="false" ht="15" hidden="false" customHeight="false" outlineLevel="0" collapsed="false">
      <c r="A37" s="31"/>
      <c r="B37" s="21"/>
      <c r="C37" s="21"/>
      <c r="D37" s="21"/>
      <c r="E37" s="32"/>
      <c r="F37" s="40"/>
      <c r="G37" s="41" t="str">
        <f aca="false">IF(E37="","",E37*IFERROR(INDEX(Lists!$D$5:$D$29,MATCH(D37,Lists!$C$5:$C$29,0)),1)*IF(F37="",1,F37))</f>
        <v/>
      </c>
    </row>
    <row r="38" customFormat="false" ht="15" hidden="false" customHeight="false" outlineLevel="0" collapsed="false">
      <c r="A38" s="31"/>
      <c r="B38" s="21"/>
      <c r="C38" s="21"/>
      <c r="D38" s="21"/>
      <c r="E38" s="32"/>
      <c r="F38" s="40"/>
      <c r="G38" s="41" t="str">
        <f aca="false">IF(E38="","",E38*IFERROR(INDEX(Lists!$D$5:$D$29,MATCH(D38,Lists!$C$5:$C$29,0)),1)*IF(F38="",1,F38))</f>
        <v/>
      </c>
    </row>
    <row r="39" customFormat="false" ht="15" hidden="false" customHeight="false" outlineLevel="0" collapsed="false">
      <c r="A39" s="31"/>
      <c r="B39" s="21"/>
      <c r="C39" s="21"/>
      <c r="D39" s="21"/>
      <c r="E39" s="32"/>
      <c r="F39" s="40"/>
      <c r="G39" s="41" t="str">
        <f aca="false">IF(E39="","",E39*IFERROR(INDEX(Lists!$D$5:$D$29,MATCH(D39,Lists!$C$5:$C$29,0)),1)*IF(F39="",1,F39))</f>
        <v/>
      </c>
    </row>
    <row r="40" customFormat="false" ht="15" hidden="false" customHeight="false" outlineLevel="0" collapsed="false">
      <c r="A40" s="31"/>
      <c r="B40" s="21"/>
      <c r="C40" s="21"/>
      <c r="D40" s="21"/>
      <c r="E40" s="32"/>
      <c r="F40" s="40"/>
      <c r="G40" s="41" t="str">
        <f aca="false">IF(E40="","",E40*IFERROR(INDEX(Lists!$D$5:$D$29,MATCH(D40,Lists!$C$5:$C$29,0)),1)*IF(F40="",1,F40))</f>
        <v/>
      </c>
    </row>
    <row r="41" customFormat="false" ht="15" hidden="false" customHeight="false" outlineLevel="0" collapsed="false">
      <c r="A41" s="31"/>
      <c r="B41" s="21"/>
      <c r="C41" s="21"/>
      <c r="D41" s="21"/>
      <c r="E41" s="32"/>
      <c r="F41" s="40"/>
      <c r="G41" s="41" t="str">
        <f aca="false">IF(E41="","",E41*IFERROR(INDEX(Lists!$D$5:$D$29,MATCH(D41,Lists!$C$5:$C$29,0)),1)*IF(F41="",1,F41))</f>
        <v/>
      </c>
    </row>
    <row r="42" customFormat="false" ht="15" hidden="false" customHeight="false" outlineLevel="0" collapsed="false">
      <c r="A42" s="31"/>
      <c r="B42" s="21"/>
      <c r="C42" s="21"/>
      <c r="D42" s="21"/>
      <c r="E42" s="32"/>
      <c r="F42" s="40"/>
      <c r="G42" s="41" t="str">
        <f aca="false">IF(E42="","",E42*IFERROR(INDEX(Lists!$D$5:$D$29,MATCH(D42,Lists!$C$5:$C$29,0)),1)*IF(F42="",1,F42))</f>
        <v/>
      </c>
    </row>
    <row r="43" customFormat="false" ht="15" hidden="false" customHeight="false" outlineLevel="0" collapsed="false">
      <c r="A43" s="31"/>
      <c r="B43" s="21"/>
      <c r="C43" s="21"/>
      <c r="D43" s="21"/>
      <c r="E43" s="32"/>
      <c r="F43" s="40"/>
      <c r="G43" s="41" t="str">
        <f aca="false">IF(E43="","",E43*IFERROR(INDEX(Lists!$D$5:$D$29,MATCH(D43,Lists!$C$5:$C$29,0)),1)*IF(F43="",1,F43))</f>
        <v/>
      </c>
    </row>
    <row r="44" customFormat="false" ht="15" hidden="false" customHeight="false" outlineLevel="0" collapsed="false">
      <c r="A44" s="31"/>
      <c r="B44" s="21"/>
      <c r="C44" s="21"/>
      <c r="D44" s="21"/>
      <c r="E44" s="32"/>
      <c r="F44" s="40"/>
      <c r="G44" s="41" t="str">
        <f aca="false">IF(E44="","",E44*IFERROR(INDEX(Lists!$D$5:$D$29,MATCH(D44,Lists!$C$5:$C$29,0)),1)*IF(F44="",1,F44))</f>
        <v/>
      </c>
    </row>
    <row r="45" customFormat="false" ht="15" hidden="false" customHeight="false" outlineLevel="0" collapsed="false">
      <c r="A45" s="31"/>
      <c r="B45" s="21"/>
      <c r="C45" s="21"/>
      <c r="D45" s="21"/>
      <c r="E45" s="32"/>
      <c r="F45" s="40"/>
      <c r="G45" s="41" t="str">
        <f aca="false">IF(E45="","",E45*IFERROR(INDEX(Lists!$D$5:$D$29,MATCH(D45,Lists!$C$5:$C$29,0)),1)*IF(F45="",1,F45))</f>
        <v/>
      </c>
    </row>
    <row r="46" customFormat="false" ht="15" hidden="false" customHeight="false" outlineLevel="0" collapsed="false">
      <c r="A46" s="31"/>
      <c r="B46" s="21"/>
      <c r="C46" s="21"/>
      <c r="D46" s="21"/>
      <c r="E46" s="32"/>
      <c r="F46" s="40"/>
      <c r="G46" s="41" t="str">
        <f aca="false">IF(E46="","",E46*IFERROR(INDEX(Lists!$D$5:$D$29,MATCH(D46,Lists!$C$5:$C$29,0)),1)*IF(F46="",1,F46))</f>
        <v/>
      </c>
    </row>
    <row r="47" customFormat="false" ht="15" hidden="false" customHeight="false" outlineLevel="0" collapsed="false">
      <c r="A47" s="31"/>
      <c r="B47" s="21"/>
      <c r="C47" s="21"/>
      <c r="D47" s="21"/>
      <c r="E47" s="32"/>
      <c r="F47" s="40"/>
      <c r="G47" s="41" t="str">
        <f aca="false">IF(E47="","",E47*IFERROR(INDEX(Lists!$D$5:$D$29,MATCH(D47,Lists!$C$5:$C$29,0)),1)*IF(F47="",1,F47))</f>
        <v/>
      </c>
    </row>
    <row r="48" customFormat="false" ht="15" hidden="false" customHeight="false" outlineLevel="0" collapsed="false">
      <c r="A48" s="31"/>
      <c r="B48" s="21"/>
      <c r="C48" s="21"/>
      <c r="D48" s="21"/>
      <c r="E48" s="32"/>
      <c r="F48" s="40"/>
      <c r="G48" s="41" t="str">
        <f aca="false">IF(E48="","",E48*IFERROR(INDEX(Lists!$D$5:$D$29,MATCH(D48,Lists!$C$5:$C$29,0)),1)*IF(F48="",1,F48))</f>
        <v/>
      </c>
    </row>
    <row r="49" customFormat="false" ht="15" hidden="false" customHeight="false" outlineLevel="0" collapsed="false">
      <c r="A49" s="31"/>
      <c r="B49" s="21"/>
      <c r="C49" s="21"/>
      <c r="D49" s="21"/>
      <c r="E49" s="32"/>
      <c r="F49" s="40"/>
      <c r="G49" s="41" t="str">
        <f aca="false">IF(E49="","",E49*IFERROR(INDEX(Lists!$D$5:$D$29,MATCH(D49,Lists!$C$5:$C$29,0)),1)*IF(F49="",1,F49))</f>
        <v/>
      </c>
    </row>
    <row r="50" customFormat="false" ht="15" hidden="false" customHeight="false" outlineLevel="0" collapsed="false">
      <c r="A50" s="31"/>
      <c r="B50" s="21"/>
      <c r="C50" s="21"/>
      <c r="D50" s="21"/>
      <c r="E50" s="32"/>
      <c r="F50" s="40"/>
      <c r="G50" s="41" t="str">
        <f aca="false">IF(E50="","",E50*IFERROR(INDEX(Lists!$D$5:$D$29,MATCH(D50,Lists!$C$5:$C$29,0)),1)*IF(F50="",1,F50))</f>
        <v/>
      </c>
    </row>
    <row r="51" customFormat="false" ht="15" hidden="false" customHeight="false" outlineLevel="0" collapsed="false">
      <c r="A51" s="31"/>
      <c r="B51" s="21"/>
      <c r="C51" s="21"/>
      <c r="D51" s="21"/>
      <c r="E51" s="32"/>
      <c r="F51" s="40"/>
      <c r="G51" s="41" t="str">
        <f aca="false">IF(E51="","",E51*IFERROR(INDEX(Lists!$D$5:$D$29,MATCH(D51,Lists!$C$5:$C$29,0)),1)*IF(F51="",1,F51))</f>
        <v/>
      </c>
    </row>
    <row r="52" customFormat="false" ht="15" hidden="false" customHeight="false" outlineLevel="0" collapsed="false">
      <c r="A52" s="31"/>
      <c r="B52" s="21"/>
      <c r="C52" s="21"/>
      <c r="D52" s="21"/>
      <c r="E52" s="32"/>
      <c r="F52" s="40"/>
      <c r="G52" s="41" t="str">
        <f aca="false">IF(E52="","",E52*IFERROR(INDEX(Lists!$D$5:$D$29,MATCH(D52,Lists!$C$5:$C$29,0)),1)*IF(F52="",1,F52))</f>
        <v/>
      </c>
    </row>
    <row r="53" customFormat="false" ht="15" hidden="false" customHeight="false" outlineLevel="0" collapsed="false">
      <c r="A53" s="31"/>
      <c r="B53" s="21"/>
      <c r="C53" s="21"/>
      <c r="D53" s="21"/>
      <c r="E53" s="32"/>
      <c r="F53" s="40"/>
      <c r="G53" s="41" t="str">
        <f aca="false">IF(E53="","",E53*IFERROR(INDEX(Lists!$D$5:$D$29,MATCH(D53,Lists!$C$5:$C$29,0)),1)*IF(F53="",1,F53))</f>
        <v/>
      </c>
    </row>
    <row r="54" customFormat="false" ht="15" hidden="false" customHeight="false" outlineLevel="0" collapsed="false">
      <c r="A54" s="31"/>
      <c r="B54" s="21"/>
      <c r="C54" s="21"/>
      <c r="D54" s="21"/>
      <c r="E54" s="32"/>
      <c r="F54" s="40"/>
      <c r="G54" s="41" t="str">
        <f aca="false">IF(E54="","",E54*IFERROR(INDEX(Lists!$D$5:$D$29,MATCH(D54,Lists!$C$5:$C$29,0)),1)*IF(F54="",1,F54))</f>
        <v/>
      </c>
    </row>
    <row r="55" customFormat="false" ht="15" hidden="false" customHeight="false" outlineLevel="0" collapsed="false">
      <c r="A55" s="31"/>
      <c r="B55" s="21"/>
      <c r="C55" s="21"/>
      <c r="D55" s="21"/>
      <c r="E55" s="32"/>
      <c r="F55" s="40"/>
      <c r="G55" s="41" t="str">
        <f aca="false">IF(E55="","",E55*IFERROR(INDEX(Lists!$D$5:$D$29,MATCH(D55,Lists!$C$5:$C$29,0)),1)*IF(F55="",1,F55))</f>
        <v/>
      </c>
    </row>
    <row r="56" customFormat="false" ht="15" hidden="false" customHeight="false" outlineLevel="0" collapsed="false">
      <c r="A56" s="31"/>
      <c r="B56" s="21"/>
      <c r="C56" s="21"/>
      <c r="D56" s="21"/>
      <c r="E56" s="32"/>
      <c r="F56" s="40"/>
      <c r="G56" s="41" t="str">
        <f aca="false">IF(E56="","",E56*IFERROR(INDEX(Lists!$D$5:$D$29,MATCH(D56,Lists!$C$5:$C$29,0)),1)*IF(F56="",1,F56))</f>
        <v/>
      </c>
    </row>
    <row r="57" customFormat="false" ht="15" hidden="false" customHeight="false" outlineLevel="0" collapsed="false">
      <c r="A57" s="31"/>
      <c r="B57" s="21"/>
      <c r="C57" s="21"/>
      <c r="D57" s="21"/>
      <c r="E57" s="32"/>
      <c r="F57" s="40"/>
      <c r="G57" s="41" t="str">
        <f aca="false">IF(E57="","",E57*IFERROR(INDEX(Lists!$D$5:$D$29,MATCH(D57,Lists!$C$5:$C$29,0)),1)*IF(F57="",1,F57))</f>
        <v/>
      </c>
    </row>
    <row r="58" customFormat="false" ht="15" hidden="false" customHeight="false" outlineLevel="0" collapsed="false">
      <c r="A58" s="31"/>
      <c r="B58" s="21"/>
      <c r="C58" s="21"/>
      <c r="D58" s="21"/>
      <c r="E58" s="32"/>
      <c r="F58" s="40"/>
      <c r="G58" s="41" t="str">
        <f aca="false">IF(E58="","",E58*IFERROR(INDEX(Lists!$D$5:$D$29,MATCH(D58,Lists!$C$5:$C$29,0)),1)*IF(F58="",1,F58))</f>
        <v/>
      </c>
    </row>
    <row r="59" customFormat="false" ht="15" hidden="false" customHeight="false" outlineLevel="0" collapsed="false">
      <c r="A59" s="31"/>
      <c r="B59" s="21"/>
      <c r="C59" s="21"/>
      <c r="D59" s="21"/>
      <c r="E59" s="32"/>
      <c r="F59" s="40"/>
      <c r="G59" s="41" t="str">
        <f aca="false">IF(E59="","",E59*IFERROR(INDEX(Lists!$D$5:$D$29,MATCH(D59,Lists!$C$5:$C$29,0)),1)*IF(F59="",1,F59))</f>
        <v/>
      </c>
    </row>
    <row r="60" customFormat="false" ht="15" hidden="false" customHeight="false" outlineLevel="0" collapsed="false">
      <c r="A60" s="31"/>
      <c r="B60" s="21"/>
      <c r="C60" s="21"/>
      <c r="D60" s="21"/>
      <c r="E60" s="32"/>
      <c r="F60" s="40"/>
      <c r="G60" s="41" t="str">
        <f aca="false">IF(E60="","",E60*IFERROR(INDEX(Lists!$D$5:$D$29,MATCH(D60,Lists!$C$5:$C$29,0)),1)*IF(F60="",1,F60))</f>
        <v/>
      </c>
    </row>
    <row r="61" customFormat="false" ht="15" hidden="false" customHeight="false" outlineLevel="0" collapsed="false">
      <c r="A61" s="31"/>
      <c r="B61" s="21"/>
      <c r="C61" s="21"/>
      <c r="D61" s="21"/>
      <c r="E61" s="32"/>
      <c r="F61" s="40"/>
      <c r="G61" s="41" t="str">
        <f aca="false">IF(E61="","",E61*IFERROR(INDEX(Lists!$D$5:$D$29,MATCH(D61,Lists!$C$5:$C$29,0)),1)*IF(F61="",1,F61))</f>
        <v/>
      </c>
    </row>
    <row r="62" customFormat="false" ht="15" hidden="false" customHeight="false" outlineLevel="0" collapsed="false">
      <c r="A62" s="31"/>
      <c r="B62" s="21"/>
      <c r="C62" s="21"/>
      <c r="D62" s="21"/>
      <c r="E62" s="32"/>
      <c r="F62" s="40"/>
      <c r="G62" s="41" t="str">
        <f aca="false">IF(E62="","",E62*IFERROR(INDEX(Lists!$D$5:$D$29,MATCH(D62,Lists!$C$5:$C$29,0)),1)*IF(F62="",1,F62))</f>
        <v/>
      </c>
    </row>
    <row r="63" customFormat="false" ht="15" hidden="false" customHeight="false" outlineLevel="0" collapsed="false">
      <c r="A63" s="31"/>
      <c r="B63" s="21"/>
      <c r="C63" s="21"/>
      <c r="D63" s="21"/>
      <c r="E63" s="32"/>
      <c r="F63" s="40"/>
      <c r="G63" s="41" t="str">
        <f aca="false">IF(E63="","",E63*IFERROR(INDEX(Lists!$D$5:$D$29,MATCH(D63,Lists!$C$5:$C$29,0)),1)*IF(F63="",1,F63))</f>
        <v/>
      </c>
    </row>
    <row r="64" customFormat="false" ht="15" hidden="false" customHeight="false" outlineLevel="0" collapsed="false">
      <c r="A64" s="31"/>
      <c r="B64" s="21"/>
      <c r="C64" s="21"/>
      <c r="D64" s="21"/>
      <c r="E64" s="32"/>
      <c r="F64" s="40"/>
      <c r="G64" s="41" t="str">
        <f aca="false">IF(E64="","",E64*IFERROR(INDEX(Lists!$D$5:$D$29,MATCH(D64,Lists!$C$5:$C$29,0)),1)*IF(F64="",1,F64))</f>
        <v/>
      </c>
    </row>
    <row r="65" customFormat="false" ht="15" hidden="false" customHeight="false" outlineLevel="0" collapsed="false">
      <c r="A65" s="31"/>
      <c r="B65" s="21"/>
      <c r="C65" s="21"/>
      <c r="D65" s="21"/>
      <c r="E65" s="32"/>
      <c r="F65" s="40"/>
      <c r="G65" s="41" t="str">
        <f aca="false">IF(E65="","",E65*IFERROR(INDEX(Lists!$D$5:$D$29,MATCH(D65,Lists!$C$5:$C$29,0)),1)*IF(F65="",1,F65))</f>
        <v/>
      </c>
    </row>
    <row r="66" customFormat="false" ht="15" hidden="false" customHeight="false" outlineLevel="0" collapsed="false">
      <c r="A66" s="31"/>
      <c r="B66" s="21"/>
      <c r="C66" s="21"/>
      <c r="D66" s="21"/>
      <c r="E66" s="32"/>
      <c r="F66" s="40"/>
      <c r="G66" s="41" t="str">
        <f aca="false">IF(E66="","",E66*IFERROR(INDEX(Lists!$D$5:$D$29,MATCH(D66,Lists!$C$5:$C$29,0)),1)*IF(F66="",1,F66))</f>
        <v/>
      </c>
    </row>
    <row r="67" customFormat="false" ht="15" hidden="false" customHeight="false" outlineLevel="0" collapsed="false">
      <c r="A67" s="31"/>
      <c r="B67" s="21"/>
      <c r="C67" s="21"/>
      <c r="D67" s="21"/>
      <c r="E67" s="32"/>
      <c r="F67" s="40"/>
      <c r="G67" s="41" t="str">
        <f aca="false">IF(E67="","",E67*IFERROR(INDEX(Lists!$D$5:$D$29,MATCH(D67,Lists!$C$5:$C$29,0)),1)*IF(F67="",1,F67))</f>
        <v/>
      </c>
    </row>
    <row r="68" customFormat="false" ht="15" hidden="false" customHeight="false" outlineLevel="0" collapsed="false">
      <c r="A68" s="31"/>
      <c r="B68" s="21"/>
      <c r="C68" s="21"/>
      <c r="D68" s="21"/>
      <c r="E68" s="32"/>
      <c r="F68" s="40"/>
      <c r="G68" s="41" t="str">
        <f aca="false">IF(E68="","",E68*IFERROR(INDEX(Lists!$D$5:$D$29,MATCH(D68,Lists!$C$5:$C$29,0)),1)*IF(F68="",1,F68))</f>
        <v/>
      </c>
    </row>
    <row r="69" customFormat="false" ht="15" hidden="false" customHeight="false" outlineLevel="0" collapsed="false">
      <c r="A69" s="31"/>
      <c r="B69" s="21"/>
      <c r="C69" s="21"/>
      <c r="D69" s="21"/>
      <c r="E69" s="32"/>
      <c r="F69" s="40"/>
      <c r="G69" s="41" t="str">
        <f aca="false">IF(E69="","",E69*IFERROR(INDEX(Lists!$D$5:$D$29,MATCH(D69,Lists!$C$5:$C$29,0)),1)*IF(F69="",1,F69))</f>
        <v/>
      </c>
    </row>
    <row r="70" customFormat="false" ht="15" hidden="false" customHeight="false" outlineLevel="0" collapsed="false">
      <c r="A70" s="31"/>
      <c r="B70" s="21"/>
      <c r="C70" s="21"/>
      <c r="D70" s="21"/>
      <c r="E70" s="32"/>
      <c r="F70" s="40"/>
      <c r="G70" s="41" t="str">
        <f aca="false">IF(E70="","",E70*IFERROR(INDEX(Lists!$D$5:$D$29,MATCH(D70,Lists!$C$5:$C$29,0)),1)*IF(F70="",1,F70))</f>
        <v/>
      </c>
    </row>
    <row r="71" customFormat="false" ht="15" hidden="false" customHeight="false" outlineLevel="0" collapsed="false">
      <c r="A71" s="31"/>
      <c r="B71" s="21"/>
      <c r="C71" s="21"/>
      <c r="D71" s="21"/>
      <c r="E71" s="32"/>
      <c r="F71" s="40"/>
      <c r="G71" s="41" t="str">
        <f aca="false">IF(E71="","",E71*IFERROR(INDEX(Lists!$D$5:$D$29,MATCH(D71,Lists!$C$5:$C$29,0)),1)*IF(F71="",1,F71))</f>
        <v/>
      </c>
    </row>
    <row r="72" customFormat="false" ht="15" hidden="false" customHeight="false" outlineLevel="0" collapsed="false">
      <c r="A72" s="31"/>
      <c r="B72" s="21"/>
      <c r="C72" s="21"/>
      <c r="D72" s="21"/>
      <c r="E72" s="32"/>
      <c r="F72" s="40"/>
      <c r="G72" s="41" t="str">
        <f aca="false">IF(E72="","",E72*IFERROR(INDEX(Lists!$D$5:$D$29,MATCH(D72,Lists!$C$5:$C$29,0)),1)*IF(F72="",1,F72))</f>
        <v/>
      </c>
    </row>
    <row r="73" customFormat="false" ht="15" hidden="false" customHeight="false" outlineLevel="0" collapsed="false">
      <c r="A73" s="31"/>
      <c r="B73" s="21"/>
      <c r="C73" s="21"/>
      <c r="D73" s="21"/>
      <c r="E73" s="32"/>
      <c r="F73" s="40"/>
      <c r="G73" s="41" t="str">
        <f aca="false">IF(E73="","",E73*IFERROR(INDEX(Lists!$D$5:$D$29,MATCH(D73,Lists!$C$5:$C$29,0)),1)*IF(F73="",1,F73))</f>
        <v/>
      </c>
    </row>
    <row r="74" customFormat="false" ht="15" hidden="false" customHeight="false" outlineLevel="0" collapsed="false">
      <c r="A74" s="31"/>
      <c r="B74" s="21"/>
      <c r="C74" s="21"/>
      <c r="D74" s="21"/>
      <c r="E74" s="32"/>
      <c r="F74" s="40"/>
      <c r="G74" s="41" t="str">
        <f aca="false">IF(E74="","",E74*IFERROR(INDEX(Lists!$D$5:$D$29,MATCH(D74,Lists!$C$5:$C$29,0)),1)*IF(F74="",1,F74))</f>
        <v/>
      </c>
    </row>
    <row r="75" customFormat="false" ht="15" hidden="false" customHeight="false" outlineLevel="0" collapsed="false">
      <c r="A75" s="31"/>
      <c r="B75" s="21"/>
      <c r="C75" s="21"/>
      <c r="D75" s="21"/>
      <c r="E75" s="32"/>
      <c r="F75" s="40"/>
      <c r="G75" s="41" t="str">
        <f aca="false">IF(E75="","",E75*IFERROR(INDEX(Lists!$D$5:$D$29,MATCH(D75,Lists!$C$5:$C$29,0)),1)*IF(F75="",1,F75))</f>
        <v/>
      </c>
    </row>
    <row r="76" customFormat="false" ht="15" hidden="false" customHeight="false" outlineLevel="0" collapsed="false">
      <c r="A76" s="31"/>
      <c r="B76" s="21"/>
      <c r="C76" s="21"/>
      <c r="D76" s="21"/>
      <c r="E76" s="32"/>
      <c r="F76" s="40"/>
      <c r="G76" s="41" t="str">
        <f aca="false">IF(E76="","",E76*IFERROR(INDEX(Lists!$D$5:$D$29,MATCH(D76,Lists!$C$5:$C$29,0)),1)*IF(F76="",1,F76))</f>
        <v/>
      </c>
    </row>
    <row r="77" customFormat="false" ht="15" hidden="false" customHeight="false" outlineLevel="0" collapsed="false">
      <c r="A77" s="31"/>
      <c r="B77" s="21"/>
      <c r="C77" s="21"/>
      <c r="D77" s="21"/>
      <c r="E77" s="32"/>
      <c r="F77" s="40"/>
      <c r="G77" s="41" t="str">
        <f aca="false">IF(E77="","",E77*IFERROR(INDEX(Lists!$D$5:$D$29,MATCH(D77,Lists!$C$5:$C$29,0)),1)*IF(F77="",1,F77))</f>
        <v/>
      </c>
    </row>
    <row r="78" customFormat="false" ht="15" hidden="false" customHeight="false" outlineLevel="0" collapsed="false">
      <c r="A78" s="31"/>
      <c r="B78" s="21"/>
      <c r="C78" s="21"/>
      <c r="D78" s="21"/>
      <c r="E78" s="32"/>
      <c r="F78" s="40"/>
      <c r="G78" s="41" t="str">
        <f aca="false">IF(E78="","",E78*IFERROR(INDEX(Lists!$D$5:$D$29,MATCH(D78,Lists!$C$5:$C$29,0)),1)*IF(F78="",1,F78))</f>
        <v/>
      </c>
    </row>
    <row r="79" customFormat="false" ht="15" hidden="false" customHeight="false" outlineLevel="0" collapsed="false">
      <c r="A79" s="31"/>
      <c r="B79" s="21"/>
      <c r="C79" s="21"/>
      <c r="D79" s="21"/>
      <c r="E79" s="32"/>
      <c r="F79" s="40"/>
      <c r="G79" s="41" t="str">
        <f aca="false">IF(E79="","",E79*IFERROR(INDEX(Lists!$D$5:$D$29,MATCH(D79,Lists!$C$5:$C$29,0)),1)*IF(F79="",1,F79))</f>
        <v/>
      </c>
    </row>
    <row r="80" customFormat="false" ht="15" hidden="false" customHeight="false" outlineLevel="0" collapsed="false">
      <c r="A80" s="31"/>
      <c r="B80" s="21"/>
      <c r="C80" s="21"/>
      <c r="D80" s="21"/>
      <c r="E80" s="32"/>
      <c r="F80" s="40"/>
      <c r="G80" s="41" t="str">
        <f aca="false">IF(E80="","",E80*IFERROR(INDEX(Lists!$D$5:$D$29,MATCH(D80,Lists!$C$5:$C$29,0)),1)*IF(F80="",1,F80))</f>
        <v/>
      </c>
    </row>
    <row r="81" customFormat="false" ht="15" hidden="false" customHeight="false" outlineLevel="0" collapsed="false">
      <c r="A81" s="31"/>
      <c r="B81" s="21"/>
      <c r="C81" s="21"/>
      <c r="D81" s="21"/>
      <c r="E81" s="32"/>
      <c r="F81" s="40"/>
      <c r="G81" s="41" t="str">
        <f aca="false">IF(E81="","",E81*IFERROR(INDEX(Lists!$D$5:$D$29,MATCH(D81,Lists!$C$5:$C$29,0)),1)*IF(F81="",1,F81))</f>
        <v/>
      </c>
    </row>
    <row r="82" customFormat="false" ht="15" hidden="false" customHeight="false" outlineLevel="0" collapsed="false">
      <c r="A82" s="31"/>
      <c r="B82" s="21"/>
      <c r="C82" s="21"/>
      <c r="D82" s="21"/>
      <c r="E82" s="32"/>
      <c r="F82" s="40"/>
      <c r="G82" s="41" t="str">
        <f aca="false">IF(E82="","",E82*IFERROR(INDEX(Lists!$D$5:$D$29,MATCH(D82,Lists!$C$5:$C$29,0)),1)*IF(F82="",1,F82))</f>
        <v/>
      </c>
    </row>
    <row r="83" customFormat="false" ht="15" hidden="false" customHeight="false" outlineLevel="0" collapsed="false">
      <c r="A83" s="31"/>
      <c r="B83" s="21"/>
      <c r="C83" s="21"/>
      <c r="D83" s="21"/>
      <c r="E83" s="32"/>
      <c r="F83" s="40"/>
      <c r="G83" s="41" t="str">
        <f aca="false">IF(E83="","",E83*IFERROR(INDEX(Lists!$D$5:$D$29,MATCH(D83,Lists!$C$5:$C$29,0)),1)*IF(F83="",1,F83))</f>
        <v/>
      </c>
    </row>
    <row r="84" customFormat="false" ht="15" hidden="false" customHeight="false" outlineLevel="0" collapsed="false">
      <c r="A84" s="31"/>
      <c r="B84" s="21"/>
      <c r="C84" s="21"/>
      <c r="D84" s="21"/>
      <c r="E84" s="32"/>
      <c r="F84" s="40"/>
      <c r="G84" s="41" t="str">
        <f aca="false">IF(E84="","",E84*IFERROR(INDEX(Lists!$D$5:$D$29,MATCH(D84,Lists!$C$5:$C$29,0)),1)*IF(F84="",1,F84))</f>
        <v/>
      </c>
    </row>
    <row r="85" customFormat="false" ht="15" hidden="false" customHeight="false" outlineLevel="0" collapsed="false">
      <c r="A85" s="31"/>
      <c r="B85" s="21"/>
      <c r="C85" s="21"/>
      <c r="D85" s="21"/>
      <c r="E85" s="32"/>
      <c r="F85" s="40"/>
      <c r="G85" s="41" t="str">
        <f aca="false">IF(E85="","",E85*IFERROR(INDEX(Lists!$D$5:$D$29,MATCH(D85,Lists!$C$5:$C$29,0)),1)*IF(F85="",1,F85))</f>
        <v/>
      </c>
    </row>
    <row r="86" customFormat="false" ht="15" hidden="false" customHeight="false" outlineLevel="0" collapsed="false">
      <c r="A86" s="31"/>
      <c r="B86" s="21"/>
      <c r="C86" s="21"/>
      <c r="D86" s="21"/>
      <c r="E86" s="32"/>
      <c r="F86" s="40"/>
      <c r="G86" s="41" t="str">
        <f aca="false">IF(E86="","",E86*IFERROR(INDEX(Lists!$D$5:$D$29,MATCH(D86,Lists!$C$5:$C$29,0)),1)*IF(F86="",1,F86))</f>
        <v/>
      </c>
    </row>
    <row r="87" customFormat="false" ht="15" hidden="false" customHeight="false" outlineLevel="0" collapsed="false">
      <c r="A87" s="31"/>
      <c r="B87" s="21"/>
      <c r="C87" s="21"/>
      <c r="D87" s="21"/>
      <c r="E87" s="32"/>
      <c r="F87" s="40"/>
      <c r="G87" s="41" t="str">
        <f aca="false">IF(E87="","",E87*IFERROR(INDEX(Lists!$D$5:$D$29,MATCH(D87,Lists!$C$5:$C$29,0)),1)*IF(F87="",1,F87))</f>
        <v/>
      </c>
    </row>
    <row r="88" customFormat="false" ht="15" hidden="false" customHeight="false" outlineLevel="0" collapsed="false">
      <c r="A88" s="31"/>
      <c r="B88" s="21"/>
      <c r="C88" s="21"/>
      <c r="D88" s="21"/>
      <c r="E88" s="32"/>
      <c r="F88" s="40"/>
      <c r="G88" s="41" t="str">
        <f aca="false">IF(E88="","",E88*IFERROR(INDEX(Lists!$D$5:$D$29,MATCH(D88,Lists!$C$5:$C$29,0)),1)*IF(F88="",1,F88))</f>
        <v/>
      </c>
    </row>
    <row r="89" customFormat="false" ht="15" hidden="false" customHeight="false" outlineLevel="0" collapsed="false">
      <c r="A89" s="31"/>
      <c r="B89" s="21"/>
      <c r="C89" s="21"/>
      <c r="D89" s="21"/>
      <c r="E89" s="32"/>
      <c r="F89" s="40"/>
      <c r="G89" s="41" t="str">
        <f aca="false">IF(E89="","",E89*IFERROR(INDEX(Lists!$D$5:$D$29,MATCH(D89,Lists!$C$5:$C$29,0)),1)*IF(F89="",1,F89))</f>
        <v/>
      </c>
    </row>
    <row r="90" customFormat="false" ht="15" hidden="false" customHeight="false" outlineLevel="0" collapsed="false">
      <c r="A90" s="31"/>
      <c r="B90" s="21"/>
      <c r="C90" s="21"/>
      <c r="D90" s="21"/>
      <c r="E90" s="32"/>
      <c r="F90" s="40"/>
      <c r="G90" s="41" t="str">
        <f aca="false">IF(E90="","",E90*IFERROR(INDEX(Lists!$D$5:$D$29,MATCH(D90,Lists!$C$5:$C$29,0)),1)*IF(F90="",1,F90))</f>
        <v/>
      </c>
    </row>
    <row r="91" customFormat="false" ht="15" hidden="false" customHeight="false" outlineLevel="0" collapsed="false">
      <c r="A91" s="31"/>
      <c r="B91" s="21"/>
      <c r="C91" s="21"/>
      <c r="D91" s="21"/>
      <c r="E91" s="32"/>
      <c r="F91" s="40"/>
      <c r="G91" s="41" t="str">
        <f aca="false">IF(E91="","",E91*IFERROR(INDEX(Lists!$D$5:$D$29,MATCH(D91,Lists!$C$5:$C$29,0)),1)*IF(F91="",1,F91))</f>
        <v/>
      </c>
    </row>
    <row r="92" customFormat="false" ht="15" hidden="false" customHeight="false" outlineLevel="0" collapsed="false">
      <c r="A92" s="31"/>
      <c r="B92" s="21"/>
      <c r="C92" s="21"/>
      <c r="D92" s="21"/>
      <c r="E92" s="32"/>
      <c r="F92" s="40"/>
      <c r="G92" s="41" t="str">
        <f aca="false">IF(E92="","",E92*IFERROR(INDEX(Lists!$D$5:$D$29,MATCH(D92,Lists!$C$5:$C$29,0)),1)*IF(F92="",1,F92))</f>
        <v/>
      </c>
    </row>
    <row r="93" customFormat="false" ht="15" hidden="false" customHeight="false" outlineLevel="0" collapsed="false">
      <c r="A93" s="31"/>
      <c r="B93" s="21"/>
      <c r="C93" s="21"/>
      <c r="D93" s="21"/>
      <c r="E93" s="32"/>
      <c r="F93" s="40"/>
      <c r="G93" s="41" t="str">
        <f aca="false">IF(E93="","",E93*IFERROR(INDEX(Lists!$D$5:$D$29,MATCH(D93,Lists!$C$5:$C$29,0)),1)*IF(F93="",1,F93))</f>
        <v/>
      </c>
    </row>
    <row r="94" customFormat="false" ht="15" hidden="false" customHeight="false" outlineLevel="0" collapsed="false">
      <c r="A94" s="31"/>
      <c r="B94" s="21"/>
      <c r="C94" s="21"/>
      <c r="D94" s="21"/>
      <c r="E94" s="32"/>
      <c r="F94" s="40"/>
      <c r="G94" s="41" t="str">
        <f aca="false">IF(E94="","",E94*IFERROR(INDEX(Lists!$D$5:$D$29,MATCH(D94,Lists!$C$5:$C$29,0)),1)*IF(F94="",1,F94))</f>
        <v/>
      </c>
    </row>
    <row r="95" customFormat="false" ht="15" hidden="false" customHeight="false" outlineLevel="0" collapsed="false">
      <c r="A95" s="31"/>
      <c r="B95" s="21"/>
      <c r="C95" s="21"/>
      <c r="D95" s="21"/>
      <c r="E95" s="32"/>
      <c r="F95" s="40"/>
      <c r="G95" s="41" t="str">
        <f aca="false">IF(E95="","",E95*IFERROR(INDEX(Lists!$D$5:$D$29,MATCH(D95,Lists!$C$5:$C$29,0)),1)*IF(F95="",1,F95))</f>
        <v/>
      </c>
    </row>
    <row r="96" customFormat="false" ht="15" hidden="false" customHeight="false" outlineLevel="0" collapsed="false">
      <c r="A96" s="31"/>
      <c r="B96" s="21"/>
      <c r="C96" s="21"/>
      <c r="D96" s="21"/>
      <c r="E96" s="32"/>
      <c r="F96" s="40"/>
      <c r="G96" s="41" t="str">
        <f aca="false">IF(E96="","",E96*IFERROR(INDEX(Lists!$D$5:$D$29,MATCH(D96,Lists!$C$5:$C$29,0)),1)*IF(F96="",1,F96))</f>
        <v/>
      </c>
    </row>
    <row r="97" customFormat="false" ht="15" hidden="false" customHeight="false" outlineLevel="0" collapsed="false">
      <c r="A97" s="31"/>
      <c r="B97" s="21"/>
      <c r="C97" s="21"/>
      <c r="D97" s="21"/>
      <c r="E97" s="32"/>
      <c r="F97" s="40"/>
      <c r="G97" s="41" t="str">
        <f aca="false">IF(E97="","",E97*IFERROR(INDEX(Lists!$D$5:$D$29,MATCH(D97,Lists!$C$5:$C$29,0)),1)*IF(F97="",1,F97))</f>
        <v/>
      </c>
    </row>
    <row r="98" customFormat="false" ht="15" hidden="false" customHeight="false" outlineLevel="0" collapsed="false">
      <c r="A98" s="31"/>
      <c r="B98" s="21"/>
      <c r="C98" s="21"/>
      <c r="D98" s="21"/>
      <c r="E98" s="32"/>
      <c r="F98" s="40"/>
      <c r="G98" s="41" t="str">
        <f aca="false">IF(E98="","",E98*IFERROR(INDEX(Lists!$D$5:$D$29,MATCH(D98,Lists!$C$5:$C$29,0)),1)*IF(F98="",1,F98))</f>
        <v/>
      </c>
    </row>
    <row r="99" customFormat="false" ht="15" hidden="false" customHeight="false" outlineLevel="0" collapsed="false">
      <c r="A99" s="31"/>
      <c r="B99" s="21"/>
      <c r="C99" s="21"/>
      <c r="D99" s="21"/>
      <c r="E99" s="32"/>
      <c r="F99" s="40"/>
      <c r="G99" s="41" t="str">
        <f aca="false">IF(E99="","",E99*IFERROR(INDEX(Lists!$D$5:$D$29,MATCH(D99,Lists!$C$5:$C$29,0)),1)*IF(F99="",1,F99))</f>
        <v/>
      </c>
    </row>
    <row r="100" customFormat="false" ht="15" hidden="false" customHeight="false" outlineLevel="0" collapsed="false">
      <c r="A100" s="31"/>
      <c r="B100" s="21"/>
      <c r="C100" s="21"/>
      <c r="D100" s="21"/>
      <c r="E100" s="32"/>
      <c r="F100" s="40"/>
      <c r="G100" s="41" t="str">
        <f aca="false">IF(E100="","",E100*IFERROR(INDEX(Lists!$D$5:$D$29,MATCH(D100,Lists!$C$5:$C$29,0)),1)*IF(F100="",1,F100))</f>
        <v/>
      </c>
    </row>
    <row r="101" customFormat="false" ht="15" hidden="false" customHeight="false" outlineLevel="0" collapsed="false">
      <c r="A101" s="31"/>
      <c r="B101" s="21"/>
      <c r="C101" s="21"/>
      <c r="D101" s="21"/>
      <c r="E101" s="32"/>
      <c r="F101" s="40"/>
      <c r="G101" s="41" t="str">
        <f aca="false">IF(E101="","",E101*IFERROR(INDEX(Lists!$D$5:$D$29,MATCH(D101,Lists!$C$5:$C$29,0)),1)*IF(F101="",1,F101))</f>
        <v/>
      </c>
    </row>
    <row r="102" customFormat="false" ht="15" hidden="false" customHeight="false" outlineLevel="0" collapsed="false">
      <c r="A102" s="31"/>
      <c r="B102" s="21"/>
      <c r="C102" s="21"/>
      <c r="D102" s="21"/>
      <c r="E102" s="32"/>
      <c r="F102" s="40"/>
      <c r="G102" s="41" t="str">
        <f aca="false">IF(E102="","",E102*IFERROR(INDEX(Lists!$D$5:$D$29,MATCH(D102,Lists!$C$5:$C$29,0)),1)*IF(F102="",1,F102))</f>
        <v/>
      </c>
    </row>
    <row r="103" customFormat="false" ht="15" hidden="false" customHeight="false" outlineLevel="0" collapsed="false">
      <c r="A103" s="31"/>
      <c r="B103" s="21"/>
      <c r="C103" s="21"/>
      <c r="D103" s="21"/>
      <c r="E103" s="32"/>
      <c r="F103" s="40"/>
      <c r="G103" s="41" t="str">
        <f aca="false">IF(E103="","",E103*IFERROR(INDEX(Lists!$D$5:$D$29,MATCH(D103,Lists!$C$5:$C$29,0)),1)*IF(F103="",1,F103))</f>
        <v/>
      </c>
    </row>
    <row r="104" customFormat="false" ht="15" hidden="false" customHeight="false" outlineLevel="0" collapsed="false">
      <c r="A104" s="31"/>
      <c r="B104" s="21"/>
      <c r="C104" s="21"/>
      <c r="D104" s="21"/>
      <c r="E104" s="32"/>
      <c r="F104" s="40"/>
      <c r="G104" s="41" t="str">
        <f aca="false">IF(E104="","",E104*IFERROR(INDEX(Lists!$D$5:$D$29,MATCH(D104,Lists!$C$5:$C$29,0)),1)*IF(F104="",1,F104))</f>
        <v/>
      </c>
    </row>
    <row r="105" customFormat="false" ht="15" hidden="false" customHeight="false" outlineLevel="0" collapsed="false">
      <c r="A105" s="31"/>
      <c r="B105" s="21"/>
      <c r="C105" s="21"/>
      <c r="D105" s="21"/>
      <c r="E105" s="32"/>
      <c r="F105" s="40"/>
      <c r="G105" s="41" t="str">
        <f aca="false">IF(E105="","",E105*IFERROR(INDEX(Lists!$D$5:$D$29,MATCH(D105,Lists!$C$5:$C$29,0)),1)*IF(F105="",1,F105))</f>
        <v/>
      </c>
    </row>
    <row r="106" customFormat="false" ht="15" hidden="false" customHeight="false" outlineLevel="0" collapsed="false">
      <c r="A106" s="31"/>
      <c r="B106" s="21"/>
      <c r="C106" s="21"/>
      <c r="D106" s="21"/>
      <c r="E106" s="32"/>
      <c r="F106" s="40"/>
      <c r="G106" s="41" t="str">
        <f aca="false">IF(E106="","",E106*IFERROR(INDEX(Lists!$D$5:$D$29,MATCH(D106,Lists!$C$5:$C$29,0)),1)*IF(F106="",1,F106))</f>
        <v/>
      </c>
    </row>
    <row r="107" customFormat="false" ht="15" hidden="false" customHeight="false" outlineLevel="0" collapsed="false">
      <c r="A107" s="31"/>
      <c r="B107" s="21"/>
      <c r="C107" s="21"/>
      <c r="D107" s="21"/>
      <c r="E107" s="32"/>
      <c r="F107" s="40"/>
      <c r="G107" s="41" t="str">
        <f aca="false">IF(E107="","",E107*IFERROR(INDEX(Lists!$D$5:$D$29,MATCH(D107,Lists!$C$5:$C$29,0)),1)*IF(F107="",1,F107))</f>
        <v/>
      </c>
    </row>
    <row r="108" customFormat="false" ht="15" hidden="false" customHeight="false" outlineLevel="0" collapsed="false">
      <c r="A108" s="31"/>
      <c r="B108" s="21"/>
      <c r="C108" s="21"/>
      <c r="D108" s="21"/>
      <c r="E108" s="32"/>
      <c r="F108" s="40"/>
      <c r="G108" s="41" t="str">
        <f aca="false">IF(E108="","",E108*IFERROR(INDEX(Lists!$D$5:$D$29,MATCH(D108,Lists!$C$5:$C$29,0)),1)*IF(F108="",1,F108))</f>
        <v/>
      </c>
    </row>
    <row r="109" customFormat="false" ht="15" hidden="false" customHeight="false" outlineLevel="0" collapsed="false">
      <c r="A109" s="31"/>
      <c r="B109" s="21"/>
      <c r="C109" s="21"/>
      <c r="D109" s="21"/>
      <c r="E109" s="32"/>
      <c r="F109" s="40"/>
      <c r="G109" s="41" t="str">
        <f aca="false">IF(E109="","",E109*IFERROR(INDEX(Lists!$D$5:$D$29,MATCH(D109,Lists!$C$5:$C$29,0)),1)*IF(F109="",1,F109))</f>
        <v/>
      </c>
    </row>
    <row r="110" customFormat="false" ht="15" hidden="false" customHeight="false" outlineLevel="0" collapsed="false">
      <c r="A110" s="31"/>
      <c r="B110" s="21"/>
      <c r="C110" s="21"/>
      <c r="D110" s="21"/>
      <c r="E110" s="32"/>
      <c r="F110" s="40"/>
      <c r="G110" s="41" t="str">
        <f aca="false">IF(E110="","",E110*IFERROR(INDEX(Lists!$D$5:$D$29,MATCH(D110,Lists!$C$5:$C$29,0)),1)*IF(F110="",1,F110))</f>
        <v/>
      </c>
    </row>
    <row r="111" customFormat="false" ht="15" hidden="false" customHeight="false" outlineLevel="0" collapsed="false">
      <c r="A111" s="31"/>
      <c r="B111" s="21"/>
      <c r="C111" s="21"/>
      <c r="D111" s="21"/>
      <c r="E111" s="32"/>
      <c r="F111" s="40"/>
      <c r="G111" s="41" t="str">
        <f aca="false">IF(E111="","",E111*IFERROR(INDEX(Lists!$D$5:$D$29,MATCH(D111,Lists!$C$5:$C$29,0)),1)*IF(F111="",1,F111))</f>
        <v/>
      </c>
    </row>
    <row r="112" customFormat="false" ht="15" hidden="false" customHeight="false" outlineLevel="0" collapsed="false">
      <c r="A112" s="31"/>
      <c r="B112" s="21"/>
      <c r="C112" s="21"/>
      <c r="D112" s="21"/>
      <c r="E112" s="32"/>
      <c r="F112" s="40"/>
      <c r="G112" s="41" t="str">
        <f aca="false">IF(E112="","",E112*IFERROR(INDEX(Lists!$D$5:$D$29,MATCH(D112,Lists!$C$5:$C$29,0)),1)*IF(F112="",1,F112))</f>
        <v/>
      </c>
    </row>
    <row r="113" customFormat="false" ht="15" hidden="false" customHeight="false" outlineLevel="0" collapsed="false">
      <c r="A113" s="31"/>
      <c r="B113" s="21"/>
      <c r="C113" s="21"/>
      <c r="D113" s="21"/>
      <c r="E113" s="32"/>
      <c r="F113" s="40"/>
      <c r="G113" s="41" t="str">
        <f aca="false">IF(E113="","",E113*IFERROR(INDEX(Lists!$D$5:$D$29,MATCH(D113,Lists!$C$5:$C$29,0)),1)*IF(F113="",1,F113))</f>
        <v/>
      </c>
    </row>
    <row r="114" customFormat="false" ht="15" hidden="false" customHeight="false" outlineLevel="0" collapsed="false">
      <c r="A114" s="31"/>
      <c r="B114" s="21"/>
      <c r="C114" s="21"/>
      <c r="D114" s="21"/>
      <c r="E114" s="32"/>
      <c r="F114" s="40"/>
      <c r="G114" s="41" t="str">
        <f aca="false">IF(E114="","",E114*IFERROR(INDEX(Lists!$D$5:$D$29,MATCH(D114,Lists!$C$5:$C$29,0)),1)*IF(F114="",1,F114))</f>
        <v/>
      </c>
    </row>
    <row r="115" customFormat="false" ht="15" hidden="false" customHeight="false" outlineLevel="0" collapsed="false">
      <c r="A115" s="31"/>
      <c r="B115" s="21"/>
      <c r="C115" s="21"/>
      <c r="D115" s="21"/>
      <c r="E115" s="32"/>
      <c r="F115" s="40"/>
      <c r="G115" s="41" t="str">
        <f aca="false">IF(E115="","",E115*IFERROR(INDEX(Lists!$D$5:$D$29,MATCH(D115,Lists!$C$5:$C$29,0)),1)*IF(F115="",1,F115))</f>
        <v/>
      </c>
    </row>
    <row r="116" customFormat="false" ht="15" hidden="false" customHeight="false" outlineLevel="0" collapsed="false">
      <c r="A116" s="31"/>
      <c r="B116" s="21"/>
      <c r="C116" s="21"/>
      <c r="D116" s="21"/>
      <c r="E116" s="32"/>
      <c r="F116" s="40"/>
      <c r="G116" s="41" t="str">
        <f aca="false">IF(E116="","",E116*IFERROR(INDEX(Lists!$D$5:$D$29,MATCH(D116,Lists!$C$5:$C$29,0)),1)*IF(F116="",1,F116))</f>
        <v/>
      </c>
    </row>
    <row r="117" customFormat="false" ht="15" hidden="false" customHeight="false" outlineLevel="0" collapsed="false">
      <c r="A117" s="31"/>
      <c r="B117" s="21"/>
      <c r="C117" s="21"/>
      <c r="D117" s="21"/>
      <c r="E117" s="32"/>
      <c r="F117" s="40"/>
      <c r="G117" s="41" t="str">
        <f aca="false">IF(E117="","",E117*IFERROR(INDEX(Lists!$D$5:$D$29,MATCH(D117,Lists!$C$5:$C$29,0)),1)*IF(F117="",1,F117))</f>
        <v/>
      </c>
    </row>
    <row r="118" customFormat="false" ht="15" hidden="false" customHeight="false" outlineLevel="0" collapsed="false">
      <c r="A118" s="31"/>
      <c r="B118" s="21"/>
      <c r="C118" s="21"/>
      <c r="D118" s="21"/>
      <c r="E118" s="32"/>
      <c r="F118" s="40"/>
      <c r="G118" s="41" t="str">
        <f aca="false">IF(E118="","",E118*IFERROR(INDEX(Lists!$D$5:$D$29,MATCH(D118,Lists!$C$5:$C$29,0)),1)*IF(F118="",1,F118))</f>
        <v/>
      </c>
    </row>
    <row r="119" customFormat="false" ht="15" hidden="false" customHeight="false" outlineLevel="0" collapsed="false">
      <c r="A119" s="31"/>
      <c r="B119" s="21"/>
      <c r="C119" s="21"/>
      <c r="D119" s="21"/>
      <c r="E119" s="32"/>
      <c r="F119" s="40"/>
      <c r="G119" s="41" t="str">
        <f aca="false">IF(E119="","",E119*IFERROR(INDEX(Lists!$D$5:$D$29,MATCH(D119,Lists!$C$5:$C$29,0)),1)*IF(F119="",1,F119))</f>
        <v/>
      </c>
    </row>
    <row r="120" customFormat="false" ht="15" hidden="false" customHeight="false" outlineLevel="0" collapsed="false">
      <c r="A120" s="31"/>
      <c r="B120" s="21"/>
      <c r="C120" s="21"/>
      <c r="D120" s="21"/>
      <c r="E120" s="32"/>
      <c r="F120" s="40"/>
      <c r="G120" s="41" t="str">
        <f aca="false">IF(E120="","",E120*IFERROR(INDEX(Lists!$D$5:$D$29,MATCH(D120,Lists!$C$5:$C$29,0)),1)*IF(F120="",1,F120))</f>
        <v/>
      </c>
    </row>
    <row r="121" customFormat="false" ht="15" hidden="false" customHeight="false" outlineLevel="0" collapsed="false">
      <c r="A121" s="31"/>
      <c r="B121" s="21"/>
      <c r="C121" s="21"/>
      <c r="D121" s="21"/>
      <c r="E121" s="32"/>
      <c r="F121" s="40"/>
      <c r="G121" s="41" t="str">
        <f aca="false">IF(E121="","",E121*IFERROR(INDEX(Lists!$D$5:$D$29,MATCH(D121,Lists!$C$5:$C$29,0)),1)*IF(F121="",1,F121))</f>
        <v/>
      </c>
    </row>
    <row r="122" customFormat="false" ht="15" hidden="false" customHeight="false" outlineLevel="0" collapsed="false">
      <c r="A122" s="31"/>
      <c r="B122" s="21"/>
      <c r="C122" s="21"/>
      <c r="D122" s="21"/>
      <c r="E122" s="32"/>
      <c r="F122" s="40"/>
      <c r="G122" s="41" t="str">
        <f aca="false">IF(E122="","",E122*IFERROR(INDEX(Lists!$D$5:$D$29,MATCH(D122,Lists!$C$5:$C$29,0)),1)*IF(F122="",1,F122))</f>
        <v/>
      </c>
    </row>
    <row r="123" customFormat="false" ht="15" hidden="false" customHeight="false" outlineLevel="0" collapsed="false">
      <c r="A123" s="31"/>
      <c r="B123" s="21"/>
      <c r="C123" s="21"/>
      <c r="D123" s="21"/>
      <c r="E123" s="32"/>
      <c r="F123" s="40"/>
      <c r="G123" s="41" t="str">
        <f aca="false">IF(E123="","",E123*IFERROR(INDEX(Lists!$D$5:$D$29,MATCH(D123,Lists!$C$5:$C$29,0)),1)*IF(F123="",1,F123))</f>
        <v/>
      </c>
    </row>
    <row r="124" customFormat="false" ht="15" hidden="false" customHeight="false" outlineLevel="0" collapsed="false">
      <c r="A124" s="31"/>
      <c r="B124" s="21"/>
      <c r="C124" s="21"/>
      <c r="D124" s="21"/>
      <c r="E124" s="32"/>
      <c r="F124" s="40"/>
      <c r="G124" s="41" t="str">
        <f aca="false">IF(E124="","",E124*IFERROR(INDEX(Lists!$D$5:$D$29,MATCH(D124,Lists!$C$5:$C$29,0)),1)*IF(F124="",1,F124))</f>
        <v/>
      </c>
    </row>
    <row r="125" customFormat="false" ht="15" hidden="false" customHeight="false" outlineLevel="0" collapsed="false">
      <c r="A125" s="31"/>
      <c r="B125" s="21"/>
      <c r="C125" s="21"/>
      <c r="D125" s="21"/>
      <c r="E125" s="32"/>
      <c r="F125" s="40"/>
      <c r="G125" s="41" t="str">
        <f aca="false">IF(E125="","",E125*IFERROR(INDEX(Lists!$D$5:$D$29,MATCH(D125,Lists!$C$5:$C$29,0)),1)*IF(F125="",1,F125))</f>
        <v/>
      </c>
    </row>
    <row r="126" customFormat="false" ht="15" hidden="false" customHeight="false" outlineLevel="0" collapsed="false">
      <c r="A126" s="31"/>
      <c r="B126" s="21"/>
      <c r="C126" s="21"/>
      <c r="D126" s="21"/>
      <c r="E126" s="32"/>
      <c r="F126" s="40"/>
      <c r="G126" s="41" t="str">
        <f aca="false">IF(E126="","",E126*IFERROR(INDEX(Lists!$D$5:$D$29,MATCH(D126,Lists!$C$5:$C$29,0)),1)*IF(F126="",1,F126))</f>
        <v/>
      </c>
    </row>
    <row r="127" customFormat="false" ht="15" hidden="false" customHeight="false" outlineLevel="0" collapsed="false">
      <c r="A127" s="31"/>
      <c r="B127" s="21"/>
      <c r="C127" s="21"/>
      <c r="D127" s="21"/>
      <c r="E127" s="32"/>
      <c r="F127" s="40"/>
      <c r="G127" s="41" t="str">
        <f aca="false">IF(E127="","",E127*IFERROR(INDEX(Lists!$D$5:$D$29,MATCH(D127,Lists!$C$5:$C$29,0)),1)*IF(F127="",1,F127))</f>
        <v/>
      </c>
    </row>
    <row r="128" customFormat="false" ht="15" hidden="false" customHeight="false" outlineLevel="0" collapsed="false">
      <c r="A128" s="31"/>
      <c r="B128" s="21"/>
      <c r="C128" s="21"/>
      <c r="D128" s="21"/>
      <c r="E128" s="32"/>
      <c r="F128" s="40"/>
      <c r="G128" s="41" t="str">
        <f aca="false">IF(E128="","",E128*IFERROR(INDEX(Lists!$D$5:$D$29,MATCH(D128,Lists!$C$5:$C$29,0)),1)*IF(F128="",1,F128))</f>
        <v/>
      </c>
    </row>
    <row r="129" customFormat="false" ht="15" hidden="false" customHeight="false" outlineLevel="0" collapsed="false">
      <c r="A129" s="31"/>
      <c r="B129" s="21"/>
      <c r="C129" s="21"/>
      <c r="D129" s="21"/>
      <c r="E129" s="32"/>
      <c r="F129" s="40"/>
      <c r="G129" s="41" t="str">
        <f aca="false">IF(E129="","",E129*IFERROR(INDEX(Lists!$D$5:$D$29,MATCH(D129,Lists!$C$5:$C$29,0)),1)*IF(F129="",1,F129))</f>
        <v/>
      </c>
    </row>
    <row r="130" customFormat="false" ht="15" hidden="false" customHeight="false" outlineLevel="0" collapsed="false">
      <c r="A130" s="31"/>
      <c r="B130" s="21"/>
      <c r="C130" s="21"/>
      <c r="D130" s="21"/>
      <c r="E130" s="32"/>
      <c r="F130" s="40"/>
      <c r="G130" s="41" t="str">
        <f aca="false">IF(E130="","",E130*IFERROR(INDEX(Lists!$D$5:$D$29,MATCH(D130,Lists!$C$5:$C$29,0)),1)*IF(F130="",1,F130))</f>
        <v/>
      </c>
    </row>
    <row r="131" customFormat="false" ht="15" hidden="false" customHeight="false" outlineLevel="0" collapsed="false">
      <c r="A131" s="31"/>
      <c r="B131" s="21"/>
      <c r="C131" s="21"/>
      <c r="D131" s="21"/>
      <c r="E131" s="32"/>
      <c r="F131" s="40"/>
      <c r="G131" s="41" t="str">
        <f aca="false">IF(E131="","",E131*IFERROR(INDEX(Lists!$D$5:$D$29,MATCH(D131,Lists!$C$5:$C$29,0)),1)*IF(F131="",1,F131))</f>
        <v/>
      </c>
    </row>
    <row r="132" customFormat="false" ht="15" hidden="false" customHeight="false" outlineLevel="0" collapsed="false">
      <c r="A132" s="31"/>
      <c r="B132" s="21"/>
      <c r="C132" s="21"/>
      <c r="D132" s="21"/>
      <c r="E132" s="32"/>
      <c r="F132" s="40"/>
      <c r="G132" s="41" t="str">
        <f aca="false">IF(E132="","",E132*IFERROR(INDEX(Lists!$D$5:$D$29,MATCH(D132,Lists!$C$5:$C$29,0)),1)*IF(F132="",1,F132))</f>
        <v/>
      </c>
    </row>
    <row r="133" customFormat="false" ht="15" hidden="false" customHeight="false" outlineLevel="0" collapsed="false">
      <c r="A133" s="31"/>
      <c r="B133" s="21"/>
      <c r="C133" s="21"/>
      <c r="D133" s="21"/>
      <c r="E133" s="32"/>
      <c r="F133" s="40"/>
      <c r="G133" s="41" t="str">
        <f aca="false">IF(E133="","",E133*IFERROR(INDEX(Lists!$D$5:$D$29,MATCH(D133,Lists!$C$5:$C$29,0)),1)*IF(F133="",1,F133))</f>
        <v/>
      </c>
    </row>
    <row r="134" customFormat="false" ht="15" hidden="false" customHeight="false" outlineLevel="0" collapsed="false">
      <c r="A134" s="31"/>
      <c r="B134" s="21"/>
      <c r="C134" s="21"/>
      <c r="D134" s="21"/>
      <c r="E134" s="32"/>
      <c r="F134" s="40"/>
      <c r="G134" s="41" t="str">
        <f aca="false">IF(E134="","",E134*IFERROR(INDEX(Lists!$D$5:$D$29,MATCH(D134,Lists!$C$5:$C$29,0)),1)*IF(F134="",1,F134))</f>
        <v/>
      </c>
    </row>
    <row r="135" customFormat="false" ht="15" hidden="false" customHeight="false" outlineLevel="0" collapsed="false">
      <c r="A135" s="31"/>
      <c r="B135" s="21"/>
      <c r="C135" s="21"/>
      <c r="D135" s="21"/>
      <c r="E135" s="32"/>
      <c r="F135" s="40"/>
      <c r="G135" s="41" t="str">
        <f aca="false">IF(E135="","",E135*IFERROR(INDEX(Lists!$D$5:$D$29,MATCH(D135,Lists!$C$5:$C$29,0)),1)*IF(F135="",1,F135))</f>
        <v/>
      </c>
    </row>
    <row r="136" customFormat="false" ht="15" hidden="false" customHeight="false" outlineLevel="0" collapsed="false">
      <c r="A136" s="31"/>
      <c r="B136" s="21"/>
      <c r="C136" s="21"/>
      <c r="D136" s="21"/>
      <c r="E136" s="32"/>
      <c r="F136" s="40"/>
      <c r="G136" s="41" t="str">
        <f aca="false">IF(E136="","",E136*IFERROR(INDEX(Lists!$D$5:$D$29,MATCH(D136,Lists!$C$5:$C$29,0)),1)*IF(F136="",1,F136))</f>
        <v/>
      </c>
    </row>
    <row r="137" customFormat="false" ht="15" hidden="false" customHeight="false" outlineLevel="0" collapsed="false">
      <c r="A137" s="31"/>
      <c r="B137" s="21"/>
      <c r="C137" s="21"/>
      <c r="D137" s="21"/>
      <c r="E137" s="32"/>
      <c r="F137" s="40"/>
      <c r="G137" s="41" t="str">
        <f aca="false">IF(E137="","",E137*IFERROR(INDEX(Lists!$D$5:$D$29,MATCH(D137,Lists!$C$5:$C$29,0)),1)*IF(F137="",1,F137))</f>
        <v/>
      </c>
    </row>
    <row r="138" customFormat="false" ht="15" hidden="false" customHeight="false" outlineLevel="0" collapsed="false">
      <c r="A138" s="31"/>
      <c r="B138" s="21"/>
      <c r="C138" s="21"/>
      <c r="D138" s="21"/>
      <c r="E138" s="32"/>
      <c r="F138" s="40"/>
      <c r="G138" s="41" t="str">
        <f aca="false">IF(E138="","",E138*IFERROR(INDEX(Lists!$D$5:$D$29,MATCH(D138,Lists!$C$5:$C$29,0)),1)*IF(F138="",1,F138))</f>
        <v/>
      </c>
    </row>
    <row r="139" customFormat="false" ht="15" hidden="false" customHeight="false" outlineLevel="0" collapsed="false">
      <c r="A139" s="31"/>
      <c r="B139" s="21"/>
      <c r="C139" s="21"/>
      <c r="D139" s="21"/>
      <c r="E139" s="32"/>
      <c r="F139" s="40"/>
      <c r="G139" s="41" t="str">
        <f aca="false">IF(E139="","",E139*IFERROR(INDEX(Lists!$D$5:$D$29,MATCH(D139,Lists!$C$5:$C$29,0)),1)*IF(F139="",1,F139))</f>
        <v/>
      </c>
    </row>
    <row r="140" customFormat="false" ht="15" hidden="false" customHeight="false" outlineLevel="0" collapsed="false">
      <c r="A140" s="31"/>
      <c r="B140" s="21"/>
      <c r="C140" s="21"/>
      <c r="D140" s="21"/>
      <c r="E140" s="32"/>
      <c r="F140" s="40"/>
      <c r="G140" s="41" t="str">
        <f aca="false">IF(E140="","",E140*IFERROR(INDEX(Lists!$D$5:$D$29,MATCH(D140,Lists!$C$5:$C$29,0)),1)*IF(F140="",1,F140))</f>
        <v/>
      </c>
    </row>
    <row r="141" customFormat="false" ht="15" hidden="false" customHeight="false" outlineLevel="0" collapsed="false">
      <c r="A141" s="31"/>
      <c r="B141" s="21"/>
      <c r="C141" s="21"/>
      <c r="D141" s="21"/>
      <c r="E141" s="32"/>
      <c r="F141" s="40"/>
      <c r="G141" s="41" t="str">
        <f aca="false">IF(E141="","",E141*IFERROR(INDEX(Lists!$D$5:$D$29,MATCH(D141,Lists!$C$5:$C$29,0)),1)*IF(F141="",1,F141))</f>
        <v/>
      </c>
    </row>
    <row r="142" customFormat="false" ht="15" hidden="false" customHeight="false" outlineLevel="0" collapsed="false">
      <c r="A142" s="31"/>
      <c r="B142" s="21"/>
      <c r="C142" s="21"/>
      <c r="D142" s="21"/>
      <c r="E142" s="32"/>
      <c r="F142" s="40"/>
      <c r="G142" s="41" t="str">
        <f aca="false">IF(E142="","",E142*IFERROR(INDEX(Lists!$D$5:$D$29,MATCH(D142,Lists!$C$5:$C$29,0)),1)*IF(F142="",1,F142))</f>
        <v/>
      </c>
    </row>
    <row r="143" customFormat="false" ht="15" hidden="false" customHeight="false" outlineLevel="0" collapsed="false">
      <c r="A143" s="31"/>
      <c r="B143" s="21"/>
      <c r="C143" s="21"/>
      <c r="D143" s="21"/>
      <c r="E143" s="32"/>
      <c r="F143" s="40"/>
      <c r="G143" s="41" t="str">
        <f aca="false">IF(E143="","",E143*IFERROR(INDEX(Lists!$D$5:$D$29,MATCH(D143,Lists!$C$5:$C$29,0)),1)*IF(F143="",1,F143))</f>
        <v/>
      </c>
    </row>
    <row r="144" customFormat="false" ht="15" hidden="false" customHeight="false" outlineLevel="0" collapsed="false">
      <c r="A144" s="31"/>
      <c r="B144" s="21"/>
      <c r="C144" s="21"/>
      <c r="D144" s="21"/>
      <c r="E144" s="32"/>
      <c r="F144" s="40"/>
      <c r="G144" s="41" t="str">
        <f aca="false">IF(E144="","",E144*IFERROR(INDEX(Lists!$D$5:$D$29,MATCH(D144,Lists!$C$5:$C$29,0)),1)*IF(F144="",1,F144))</f>
        <v/>
      </c>
    </row>
    <row r="145" customFormat="false" ht="15" hidden="false" customHeight="false" outlineLevel="0" collapsed="false">
      <c r="A145" s="31"/>
      <c r="B145" s="21"/>
      <c r="C145" s="21"/>
      <c r="D145" s="21"/>
      <c r="E145" s="32"/>
      <c r="F145" s="40"/>
      <c r="G145" s="41" t="str">
        <f aca="false">IF(E145="","",E145*IFERROR(INDEX(Lists!$D$5:$D$29,MATCH(D145,Lists!$C$5:$C$29,0)),1)*IF(F145="",1,F145))</f>
        <v/>
      </c>
    </row>
    <row r="146" customFormat="false" ht="15" hidden="false" customHeight="false" outlineLevel="0" collapsed="false">
      <c r="A146" s="31"/>
      <c r="B146" s="21"/>
      <c r="C146" s="21"/>
      <c r="D146" s="21"/>
      <c r="E146" s="32"/>
      <c r="F146" s="40"/>
      <c r="G146" s="41" t="str">
        <f aca="false">IF(E146="","",E146*IFERROR(INDEX(Lists!$D$5:$D$29,MATCH(D146,Lists!$C$5:$C$29,0)),1)*IF(F146="",1,F146))</f>
        <v/>
      </c>
    </row>
    <row r="147" customFormat="false" ht="15" hidden="false" customHeight="false" outlineLevel="0" collapsed="false">
      <c r="A147" s="31"/>
      <c r="B147" s="21"/>
      <c r="C147" s="21"/>
      <c r="D147" s="21"/>
      <c r="E147" s="32"/>
      <c r="F147" s="40"/>
      <c r="G147" s="41" t="str">
        <f aca="false">IF(E147="","",E147*IFERROR(INDEX(Lists!$D$5:$D$29,MATCH(D147,Lists!$C$5:$C$29,0)),1)*IF(F147="",1,F147))</f>
        <v/>
      </c>
    </row>
    <row r="148" customFormat="false" ht="15" hidden="false" customHeight="false" outlineLevel="0" collapsed="false">
      <c r="A148" s="31"/>
      <c r="B148" s="21"/>
      <c r="C148" s="21"/>
      <c r="D148" s="21"/>
      <c r="E148" s="32"/>
      <c r="F148" s="40"/>
      <c r="G148" s="41" t="str">
        <f aca="false">IF(E148="","",E148*IFERROR(INDEX(Lists!$D$5:$D$29,MATCH(D148,Lists!$C$5:$C$29,0)),1)*IF(F148="",1,F148))</f>
        <v/>
      </c>
    </row>
    <row r="149" customFormat="false" ht="15" hidden="false" customHeight="false" outlineLevel="0" collapsed="false">
      <c r="A149" s="31"/>
      <c r="B149" s="21"/>
      <c r="C149" s="21"/>
      <c r="D149" s="21"/>
      <c r="E149" s="32"/>
      <c r="F149" s="40"/>
      <c r="G149" s="41" t="str">
        <f aca="false">IF(E149="","",E149*IFERROR(INDEX(Lists!$D$5:$D$29,MATCH(D149,Lists!$C$5:$C$29,0)),1)*IF(F149="",1,F149))</f>
        <v/>
      </c>
    </row>
    <row r="150" customFormat="false" ht="15" hidden="false" customHeight="false" outlineLevel="0" collapsed="false">
      <c r="A150" s="31"/>
      <c r="B150" s="21"/>
      <c r="C150" s="21"/>
      <c r="D150" s="21"/>
      <c r="E150" s="32"/>
      <c r="F150" s="40"/>
      <c r="G150" s="41" t="str">
        <f aca="false">IF(E150="","",E150*IFERROR(INDEX(Lists!$D$5:$D$29,MATCH(D150,Lists!$C$5:$C$29,0)),1)*IF(F150="",1,F150))</f>
        <v/>
      </c>
    </row>
    <row r="151" customFormat="false" ht="15" hidden="false" customHeight="false" outlineLevel="0" collapsed="false">
      <c r="A151" s="31"/>
      <c r="B151" s="21"/>
      <c r="C151" s="21"/>
      <c r="D151" s="21"/>
      <c r="E151" s="32"/>
      <c r="F151" s="40"/>
      <c r="G151" s="41" t="str">
        <f aca="false">IF(E151="","",E151*IFERROR(INDEX(Lists!$D$5:$D$29,MATCH(D151,Lists!$C$5:$C$29,0)),1)*IF(F151="",1,F151))</f>
        <v/>
      </c>
    </row>
    <row r="152" customFormat="false" ht="15" hidden="false" customHeight="false" outlineLevel="0" collapsed="false">
      <c r="A152" s="31"/>
      <c r="B152" s="21"/>
      <c r="C152" s="21"/>
      <c r="D152" s="21"/>
      <c r="E152" s="32"/>
      <c r="F152" s="40"/>
      <c r="G152" s="41" t="str">
        <f aca="false">IF(E152="","",E152*IFERROR(INDEX(Lists!$D$5:$D$29,MATCH(D152,Lists!$C$5:$C$29,0)),1)*IF(F152="",1,F152))</f>
        <v/>
      </c>
    </row>
    <row r="153" customFormat="false" ht="15" hidden="false" customHeight="false" outlineLevel="0" collapsed="false">
      <c r="A153" s="31"/>
      <c r="B153" s="21"/>
      <c r="C153" s="21"/>
      <c r="D153" s="21"/>
      <c r="E153" s="32"/>
      <c r="F153" s="40"/>
      <c r="G153" s="41" t="str">
        <f aca="false">IF(E153="","",E153*IFERROR(INDEX(Lists!$D$5:$D$29,MATCH(D153,Lists!$C$5:$C$29,0)),1)*IF(F153="",1,F153))</f>
        <v/>
      </c>
    </row>
    <row r="154" customFormat="false" ht="15" hidden="false" customHeight="false" outlineLevel="0" collapsed="false">
      <c r="A154" s="31"/>
      <c r="B154" s="21"/>
      <c r="C154" s="21"/>
      <c r="D154" s="21"/>
      <c r="E154" s="32"/>
      <c r="F154" s="40"/>
      <c r="G154" s="41" t="str">
        <f aca="false">IF(E154="","",E154*IFERROR(INDEX(Lists!$D$5:$D$29,MATCH(D154,Lists!$C$5:$C$29,0)),1)*IF(F154="",1,F154))</f>
        <v/>
      </c>
    </row>
    <row r="155" customFormat="false" ht="15" hidden="false" customHeight="false" outlineLevel="0" collapsed="false">
      <c r="A155" s="31"/>
      <c r="B155" s="21"/>
      <c r="C155" s="21"/>
      <c r="D155" s="21"/>
      <c r="E155" s="32"/>
      <c r="F155" s="40"/>
      <c r="G155" s="41" t="str">
        <f aca="false">IF(E155="","",E155*IFERROR(INDEX(Lists!$D$5:$D$29,MATCH(D155,Lists!$C$5:$C$29,0)),1)*IF(F155="",1,F155))</f>
        <v/>
      </c>
    </row>
    <row r="156" customFormat="false" ht="15" hidden="false" customHeight="false" outlineLevel="0" collapsed="false">
      <c r="A156" s="31"/>
      <c r="B156" s="21"/>
      <c r="C156" s="21"/>
      <c r="D156" s="21"/>
      <c r="E156" s="32"/>
      <c r="F156" s="40"/>
      <c r="G156" s="41" t="str">
        <f aca="false">IF(E156="","",E156*IFERROR(INDEX(Lists!$D$5:$D$29,MATCH(D156,Lists!$C$5:$C$29,0)),1)*IF(F156="",1,F156))</f>
        <v/>
      </c>
    </row>
    <row r="157" customFormat="false" ht="15" hidden="false" customHeight="false" outlineLevel="0" collapsed="false">
      <c r="A157" s="31"/>
      <c r="B157" s="21"/>
      <c r="C157" s="21"/>
      <c r="D157" s="21"/>
      <c r="E157" s="32"/>
      <c r="F157" s="40"/>
      <c r="G157" s="41" t="str">
        <f aca="false">IF(E157="","",E157*IFERROR(INDEX(Lists!$D$5:$D$29,MATCH(D157,Lists!$C$5:$C$29,0)),1)*IF(F157="",1,F157))</f>
        <v/>
      </c>
    </row>
    <row r="158" customFormat="false" ht="15" hidden="false" customHeight="false" outlineLevel="0" collapsed="false">
      <c r="A158" s="31"/>
      <c r="B158" s="21"/>
      <c r="C158" s="21"/>
      <c r="D158" s="21"/>
      <c r="E158" s="32"/>
      <c r="F158" s="40"/>
      <c r="G158" s="41" t="str">
        <f aca="false">IF(E158="","",E158*IFERROR(INDEX(Lists!$D$5:$D$29,MATCH(D158,Lists!$C$5:$C$29,0)),1)*IF(F158="",1,F158))</f>
        <v/>
      </c>
    </row>
    <row r="159" customFormat="false" ht="15" hidden="false" customHeight="false" outlineLevel="0" collapsed="false">
      <c r="A159" s="31"/>
      <c r="B159" s="21"/>
      <c r="C159" s="21"/>
      <c r="D159" s="21"/>
      <c r="E159" s="32"/>
      <c r="F159" s="40"/>
      <c r="G159" s="41" t="str">
        <f aca="false">IF(E159="","",E159*IFERROR(INDEX(Lists!$D$5:$D$29,MATCH(D159,Lists!$C$5:$C$29,0)),1)*IF(F159="",1,F159))</f>
        <v/>
      </c>
    </row>
    <row r="160" customFormat="false" ht="15" hidden="false" customHeight="false" outlineLevel="0" collapsed="false">
      <c r="A160" s="31"/>
      <c r="B160" s="21"/>
      <c r="C160" s="21"/>
      <c r="D160" s="21"/>
      <c r="E160" s="32"/>
      <c r="F160" s="40"/>
      <c r="G160" s="41" t="str">
        <f aca="false">IF(E160="","",E160*IFERROR(INDEX(Lists!$D$5:$D$29,MATCH(D160,Lists!$C$5:$C$29,0)),1)*IF(F160="",1,F160))</f>
        <v/>
      </c>
    </row>
    <row r="161" customFormat="false" ht="15" hidden="false" customHeight="false" outlineLevel="0" collapsed="false">
      <c r="A161" s="31"/>
      <c r="B161" s="21"/>
      <c r="C161" s="21"/>
      <c r="D161" s="21"/>
      <c r="E161" s="32"/>
      <c r="F161" s="40"/>
      <c r="G161" s="41" t="str">
        <f aca="false">IF(E161="","",E161*IFERROR(INDEX(Lists!$D$5:$D$29,MATCH(D161,Lists!$C$5:$C$29,0)),1)*IF(F161="",1,F161))</f>
        <v/>
      </c>
    </row>
    <row r="162" customFormat="false" ht="15" hidden="false" customHeight="false" outlineLevel="0" collapsed="false">
      <c r="A162" s="31"/>
      <c r="B162" s="21"/>
      <c r="C162" s="21"/>
      <c r="D162" s="21"/>
      <c r="E162" s="32"/>
      <c r="F162" s="40"/>
      <c r="G162" s="41" t="str">
        <f aca="false">IF(E162="","",E162*IFERROR(INDEX(Lists!$D$5:$D$29,MATCH(D162,Lists!$C$5:$C$29,0)),1)*IF(F162="",1,F162))</f>
        <v/>
      </c>
    </row>
    <row r="163" customFormat="false" ht="15" hidden="false" customHeight="false" outlineLevel="0" collapsed="false">
      <c r="A163" s="31"/>
      <c r="B163" s="21"/>
      <c r="C163" s="21"/>
      <c r="D163" s="21"/>
      <c r="E163" s="32"/>
      <c r="F163" s="40"/>
      <c r="G163" s="41" t="str">
        <f aca="false">IF(E163="","",E163*IFERROR(INDEX(Lists!$D$5:$D$29,MATCH(D163,Lists!$C$5:$C$29,0)),1)*IF(F163="",1,F163))</f>
        <v/>
      </c>
    </row>
    <row r="164" customFormat="false" ht="15" hidden="false" customHeight="false" outlineLevel="0" collapsed="false">
      <c r="A164" s="31"/>
      <c r="B164" s="21"/>
      <c r="C164" s="21"/>
      <c r="D164" s="21"/>
      <c r="E164" s="32"/>
      <c r="F164" s="40"/>
      <c r="G164" s="41" t="str">
        <f aca="false">IF(E164="","",E164*IFERROR(INDEX(Lists!$D$5:$D$29,MATCH(D164,Lists!$C$5:$C$29,0)),1)*IF(F164="",1,F164))</f>
        <v/>
      </c>
    </row>
    <row r="165" customFormat="false" ht="15" hidden="false" customHeight="false" outlineLevel="0" collapsed="false">
      <c r="A165" s="31"/>
      <c r="B165" s="21"/>
      <c r="C165" s="21"/>
      <c r="D165" s="21"/>
      <c r="E165" s="32"/>
      <c r="F165" s="40"/>
      <c r="G165" s="41" t="str">
        <f aca="false">IF(E165="","",E165*IFERROR(INDEX(Lists!$D$5:$D$29,MATCH(D165,Lists!$C$5:$C$29,0)),1)*IF(F165="",1,F165))</f>
        <v/>
      </c>
    </row>
    <row r="166" customFormat="false" ht="15" hidden="false" customHeight="false" outlineLevel="0" collapsed="false">
      <c r="A166" s="31"/>
      <c r="B166" s="21"/>
      <c r="C166" s="21"/>
      <c r="D166" s="21"/>
      <c r="E166" s="32"/>
      <c r="F166" s="40"/>
      <c r="G166" s="41" t="str">
        <f aca="false">IF(E166="","",E166*IFERROR(INDEX(Lists!$D$5:$D$29,MATCH(D166,Lists!$C$5:$C$29,0)),1)*IF(F166="",1,F166))</f>
        <v/>
      </c>
    </row>
    <row r="167" customFormat="false" ht="15" hidden="false" customHeight="false" outlineLevel="0" collapsed="false">
      <c r="A167" s="31"/>
      <c r="B167" s="21"/>
      <c r="C167" s="21"/>
      <c r="D167" s="21"/>
      <c r="E167" s="32"/>
      <c r="F167" s="40"/>
      <c r="G167" s="41" t="str">
        <f aca="false">IF(E167="","",E167*IFERROR(INDEX(Lists!$D$5:$D$29,MATCH(D167,Lists!$C$5:$C$29,0)),1)*IF(F167="",1,F167))</f>
        <v/>
      </c>
    </row>
    <row r="168" customFormat="false" ht="15" hidden="false" customHeight="false" outlineLevel="0" collapsed="false">
      <c r="A168" s="31"/>
      <c r="B168" s="21"/>
      <c r="C168" s="21"/>
      <c r="D168" s="21"/>
      <c r="E168" s="32"/>
      <c r="F168" s="40"/>
      <c r="G168" s="41" t="str">
        <f aca="false">IF(E168="","",E168*IFERROR(INDEX(Lists!$D$5:$D$29,MATCH(D168,Lists!$C$5:$C$29,0)),1)*IF(F168="",1,F168))</f>
        <v/>
      </c>
    </row>
    <row r="169" customFormat="false" ht="15" hidden="false" customHeight="false" outlineLevel="0" collapsed="false">
      <c r="A169" s="31"/>
      <c r="B169" s="21"/>
      <c r="C169" s="21"/>
      <c r="D169" s="21"/>
      <c r="E169" s="32"/>
      <c r="F169" s="40"/>
      <c r="G169" s="41" t="str">
        <f aca="false">IF(E169="","",E169*IFERROR(INDEX(Lists!$D$5:$D$29,MATCH(D169,Lists!$C$5:$C$29,0)),1)*IF(F169="",1,F169))</f>
        <v/>
      </c>
    </row>
    <row r="170" customFormat="false" ht="15" hidden="false" customHeight="false" outlineLevel="0" collapsed="false">
      <c r="A170" s="31"/>
      <c r="B170" s="21"/>
      <c r="C170" s="21"/>
      <c r="D170" s="21"/>
      <c r="E170" s="32"/>
      <c r="F170" s="40"/>
      <c r="G170" s="41" t="str">
        <f aca="false">IF(E170="","",E170*IFERROR(INDEX(Lists!$D$5:$D$29,MATCH(D170,Lists!$C$5:$C$29,0)),1)*IF(F170="",1,F170))</f>
        <v/>
      </c>
    </row>
    <row r="171" customFormat="false" ht="15" hidden="false" customHeight="false" outlineLevel="0" collapsed="false">
      <c r="A171" s="31"/>
      <c r="B171" s="21"/>
      <c r="C171" s="21"/>
      <c r="D171" s="21"/>
      <c r="E171" s="32"/>
      <c r="F171" s="40"/>
      <c r="G171" s="41" t="str">
        <f aca="false">IF(E171="","",E171*IFERROR(INDEX(Lists!$D$5:$D$29,MATCH(D171,Lists!$C$5:$C$29,0)),1)*IF(F171="",1,F171))</f>
        <v/>
      </c>
    </row>
    <row r="172" customFormat="false" ht="15" hidden="false" customHeight="false" outlineLevel="0" collapsed="false">
      <c r="A172" s="31"/>
      <c r="B172" s="21"/>
      <c r="C172" s="21"/>
      <c r="D172" s="21"/>
      <c r="E172" s="32"/>
      <c r="F172" s="40"/>
      <c r="G172" s="41" t="str">
        <f aca="false">IF(E172="","",E172*IFERROR(INDEX(Lists!$D$5:$D$29,MATCH(D172,Lists!$C$5:$C$29,0)),1)*IF(F172="",1,F172))</f>
        <v/>
      </c>
    </row>
    <row r="173" customFormat="false" ht="15" hidden="false" customHeight="false" outlineLevel="0" collapsed="false">
      <c r="A173" s="31"/>
      <c r="B173" s="21"/>
      <c r="C173" s="21"/>
      <c r="D173" s="21"/>
      <c r="E173" s="32"/>
      <c r="F173" s="40"/>
      <c r="G173" s="41" t="str">
        <f aca="false">IF(E173="","",E173*IFERROR(INDEX(Lists!$D$5:$D$29,MATCH(D173,Lists!$C$5:$C$29,0)),1)*IF(F173="",1,F173))</f>
        <v/>
      </c>
    </row>
    <row r="174" customFormat="false" ht="15" hidden="false" customHeight="false" outlineLevel="0" collapsed="false">
      <c r="A174" s="31"/>
      <c r="B174" s="21"/>
      <c r="C174" s="21"/>
      <c r="D174" s="21"/>
      <c r="E174" s="32"/>
      <c r="F174" s="40"/>
      <c r="G174" s="41" t="str">
        <f aca="false">IF(E174="","",E174*IFERROR(INDEX(Lists!$D$5:$D$29,MATCH(D174,Lists!$C$5:$C$29,0)),1)*IF(F174="",1,F174))</f>
        <v/>
      </c>
    </row>
    <row r="175" customFormat="false" ht="15" hidden="false" customHeight="false" outlineLevel="0" collapsed="false">
      <c r="A175" s="31"/>
      <c r="B175" s="21"/>
      <c r="C175" s="21"/>
      <c r="D175" s="21"/>
      <c r="E175" s="32"/>
      <c r="F175" s="40"/>
      <c r="G175" s="41" t="str">
        <f aca="false">IF(E175="","",E175*IFERROR(INDEX(Lists!$D$5:$D$29,MATCH(D175,Lists!$C$5:$C$29,0)),1)*IF(F175="",1,F175))</f>
        <v/>
      </c>
    </row>
    <row r="176" customFormat="false" ht="15" hidden="false" customHeight="false" outlineLevel="0" collapsed="false">
      <c r="A176" s="31"/>
      <c r="B176" s="21"/>
      <c r="C176" s="21"/>
      <c r="D176" s="21"/>
      <c r="E176" s="32"/>
      <c r="F176" s="40"/>
      <c r="G176" s="41" t="str">
        <f aca="false">IF(E176="","",E176*IFERROR(INDEX(Lists!$D$5:$D$29,MATCH(D176,Lists!$C$5:$C$29,0)),1)*IF(F176="",1,F176))</f>
        <v/>
      </c>
    </row>
    <row r="177" customFormat="false" ht="15" hidden="false" customHeight="false" outlineLevel="0" collapsed="false">
      <c r="A177" s="31"/>
      <c r="B177" s="21"/>
      <c r="C177" s="21"/>
      <c r="D177" s="21"/>
      <c r="E177" s="32"/>
      <c r="F177" s="40"/>
      <c r="G177" s="41" t="str">
        <f aca="false">IF(E177="","",E177*IFERROR(INDEX(Lists!$D$5:$D$29,MATCH(D177,Lists!$C$5:$C$29,0)),1)*IF(F177="",1,F177))</f>
        <v/>
      </c>
    </row>
    <row r="178" customFormat="false" ht="15" hidden="false" customHeight="false" outlineLevel="0" collapsed="false">
      <c r="A178" s="31"/>
      <c r="B178" s="21"/>
      <c r="C178" s="21"/>
      <c r="D178" s="21"/>
      <c r="E178" s="32"/>
      <c r="F178" s="40"/>
      <c r="G178" s="41" t="str">
        <f aca="false">IF(E178="","",E178*IFERROR(INDEX(Lists!$D$5:$D$29,MATCH(D178,Lists!$C$5:$C$29,0)),1)*IF(F178="",1,F178))</f>
        <v/>
      </c>
    </row>
    <row r="179" customFormat="false" ht="15" hidden="false" customHeight="false" outlineLevel="0" collapsed="false">
      <c r="A179" s="31"/>
      <c r="B179" s="21"/>
      <c r="C179" s="21"/>
      <c r="D179" s="21"/>
      <c r="E179" s="32"/>
      <c r="F179" s="40"/>
      <c r="G179" s="41" t="str">
        <f aca="false">IF(E179="","",E179*IFERROR(INDEX(Lists!$D$5:$D$29,MATCH(D179,Lists!$C$5:$C$29,0)),1)*IF(F179="",1,F179))</f>
        <v/>
      </c>
    </row>
    <row r="180" customFormat="false" ht="15" hidden="false" customHeight="false" outlineLevel="0" collapsed="false">
      <c r="A180" s="31"/>
      <c r="B180" s="21"/>
      <c r="C180" s="21"/>
      <c r="D180" s="21"/>
      <c r="E180" s="32"/>
      <c r="F180" s="40"/>
      <c r="G180" s="41" t="str">
        <f aca="false">IF(E180="","",E180*IFERROR(INDEX(Lists!$D$5:$D$29,MATCH(D180,Lists!$C$5:$C$29,0)),1)*IF(F180="",1,F180))</f>
        <v/>
      </c>
    </row>
    <row r="181" customFormat="false" ht="15" hidden="false" customHeight="false" outlineLevel="0" collapsed="false">
      <c r="A181" s="31"/>
      <c r="B181" s="21"/>
      <c r="C181" s="21"/>
      <c r="D181" s="21"/>
      <c r="E181" s="32"/>
      <c r="F181" s="40"/>
      <c r="G181" s="41" t="str">
        <f aca="false">IF(E181="","",E181*IFERROR(INDEX(Lists!$D$5:$D$29,MATCH(D181,Lists!$C$5:$C$29,0)),1)*IF(F181="",1,F181))</f>
        <v/>
      </c>
    </row>
    <row r="182" customFormat="false" ht="15" hidden="false" customHeight="false" outlineLevel="0" collapsed="false">
      <c r="A182" s="31"/>
      <c r="B182" s="21"/>
      <c r="C182" s="21"/>
      <c r="D182" s="21"/>
      <c r="E182" s="32"/>
      <c r="F182" s="40"/>
      <c r="G182" s="41" t="str">
        <f aca="false">IF(E182="","",E182*IFERROR(INDEX(Lists!$D$5:$D$29,MATCH(D182,Lists!$C$5:$C$29,0)),1)*IF(F182="",1,F182))</f>
        <v/>
      </c>
    </row>
    <row r="183" customFormat="false" ht="15" hidden="false" customHeight="false" outlineLevel="0" collapsed="false">
      <c r="A183" s="31"/>
      <c r="B183" s="21"/>
      <c r="C183" s="21"/>
      <c r="D183" s="21"/>
      <c r="E183" s="32"/>
      <c r="F183" s="40"/>
      <c r="G183" s="41" t="str">
        <f aca="false">IF(E183="","",E183*IFERROR(INDEX(Lists!$D$5:$D$29,MATCH(D183,Lists!$C$5:$C$29,0)),1)*IF(F183="",1,F183))</f>
        <v/>
      </c>
    </row>
    <row r="184" customFormat="false" ht="15" hidden="false" customHeight="false" outlineLevel="0" collapsed="false">
      <c r="A184" s="31"/>
      <c r="B184" s="21"/>
      <c r="C184" s="21"/>
      <c r="D184" s="21"/>
      <c r="E184" s="32"/>
      <c r="F184" s="40"/>
      <c r="G184" s="41" t="str">
        <f aca="false">IF(E184="","",E184*IFERROR(INDEX(Lists!$D$5:$D$29,MATCH(D184,Lists!$C$5:$C$29,0)),1)*IF(F184="",1,F184))</f>
        <v/>
      </c>
    </row>
    <row r="185" customFormat="false" ht="15" hidden="false" customHeight="false" outlineLevel="0" collapsed="false">
      <c r="A185" s="31"/>
      <c r="B185" s="21"/>
      <c r="C185" s="21"/>
      <c r="D185" s="21"/>
      <c r="E185" s="32"/>
      <c r="F185" s="40"/>
      <c r="G185" s="41" t="str">
        <f aca="false">IF(E185="","",E185*IFERROR(INDEX(Lists!$D$5:$D$29,MATCH(D185,Lists!$C$5:$C$29,0)),1)*IF(F185="",1,F185))</f>
        <v/>
      </c>
    </row>
    <row r="186" customFormat="false" ht="15" hidden="false" customHeight="false" outlineLevel="0" collapsed="false">
      <c r="A186" s="31"/>
      <c r="B186" s="21"/>
      <c r="C186" s="21"/>
      <c r="D186" s="21"/>
      <c r="E186" s="32"/>
      <c r="F186" s="40"/>
      <c r="G186" s="41" t="str">
        <f aca="false">IF(E186="","",E186*IFERROR(INDEX(Lists!$D$5:$D$29,MATCH(D186,Lists!$C$5:$C$29,0)),1)*IF(F186="",1,F186))</f>
        <v/>
      </c>
    </row>
    <row r="187" customFormat="false" ht="15" hidden="false" customHeight="false" outlineLevel="0" collapsed="false">
      <c r="A187" s="31"/>
      <c r="B187" s="21"/>
      <c r="C187" s="21"/>
      <c r="D187" s="21"/>
      <c r="E187" s="32"/>
      <c r="F187" s="40"/>
      <c r="G187" s="41" t="str">
        <f aca="false">IF(E187="","",E187*IFERROR(INDEX(Lists!$D$5:$D$29,MATCH(D187,Lists!$C$5:$C$29,0)),1)*IF(F187="",1,F187))</f>
        <v/>
      </c>
    </row>
    <row r="188" customFormat="false" ht="15" hidden="false" customHeight="false" outlineLevel="0" collapsed="false">
      <c r="A188" s="31"/>
      <c r="B188" s="21"/>
      <c r="C188" s="21"/>
      <c r="D188" s="21"/>
      <c r="E188" s="32"/>
      <c r="F188" s="40"/>
      <c r="G188" s="41" t="str">
        <f aca="false">IF(E188="","",E188*IFERROR(INDEX(Lists!$D$5:$D$29,MATCH(D188,Lists!$C$5:$C$29,0)),1)*IF(F188="",1,F188))</f>
        <v/>
      </c>
    </row>
    <row r="189" customFormat="false" ht="15" hidden="false" customHeight="false" outlineLevel="0" collapsed="false">
      <c r="A189" s="31"/>
      <c r="B189" s="21"/>
      <c r="C189" s="21"/>
      <c r="D189" s="21"/>
      <c r="E189" s="32"/>
      <c r="F189" s="40"/>
      <c r="G189" s="41" t="str">
        <f aca="false">IF(E189="","",E189*IFERROR(INDEX(Lists!$D$5:$D$29,MATCH(D189,Lists!$C$5:$C$29,0)),1)*IF(F189="",1,F189))</f>
        <v/>
      </c>
    </row>
    <row r="190" customFormat="false" ht="15" hidden="false" customHeight="false" outlineLevel="0" collapsed="false">
      <c r="A190" s="31"/>
      <c r="B190" s="21"/>
      <c r="C190" s="21"/>
      <c r="D190" s="21"/>
      <c r="E190" s="32"/>
      <c r="F190" s="40"/>
      <c r="G190" s="41" t="str">
        <f aca="false">IF(E190="","",E190*IFERROR(INDEX(Lists!$D$5:$D$29,MATCH(D190,Lists!$C$5:$C$29,0)),1)*IF(F190="",1,F190))</f>
        <v/>
      </c>
    </row>
    <row r="191" customFormat="false" ht="15" hidden="false" customHeight="false" outlineLevel="0" collapsed="false">
      <c r="A191" s="31"/>
      <c r="B191" s="21"/>
      <c r="C191" s="21"/>
      <c r="D191" s="21"/>
      <c r="E191" s="32"/>
      <c r="F191" s="40"/>
      <c r="G191" s="41" t="str">
        <f aca="false">IF(E191="","",E191*IFERROR(INDEX(Lists!$D$5:$D$29,MATCH(D191,Lists!$C$5:$C$29,0)),1)*IF(F191="",1,F191))</f>
        <v/>
      </c>
    </row>
    <row r="192" customFormat="false" ht="15" hidden="false" customHeight="false" outlineLevel="0" collapsed="false">
      <c r="A192" s="31"/>
      <c r="B192" s="21"/>
      <c r="C192" s="21"/>
      <c r="D192" s="21"/>
      <c r="E192" s="32"/>
      <c r="F192" s="40"/>
      <c r="G192" s="41" t="str">
        <f aca="false">IF(E192="","",E192*IFERROR(INDEX(Lists!$D$5:$D$29,MATCH(D192,Lists!$C$5:$C$29,0)),1)*IF(F192="",1,F192))</f>
        <v/>
      </c>
    </row>
    <row r="193" customFormat="false" ht="15" hidden="false" customHeight="false" outlineLevel="0" collapsed="false">
      <c r="A193" s="31"/>
      <c r="B193" s="21"/>
      <c r="C193" s="21"/>
      <c r="D193" s="21"/>
      <c r="E193" s="32"/>
      <c r="F193" s="40"/>
      <c r="G193" s="41" t="str">
        <f aca="false">IF(E193="","",E193*IFERROR(INDEX(Lists!$D$5:$D$29,MATCH(D193,Lists!$C$5:$C$29,0)),1)*IF(F193="",1,F193))</f>
        <v/>
      </c>
    </row>
    <row r="194" customFormat="false" ht="15" hidden="false" customHeight="false" outlineLevel="0" collapsed="false">
      <c r="A194" s="31"/>
      <c r="B194" s="21"/>
      <c r="C194" s="21"/>
      <c r="D194" s="21"/>
      <c r="E194" s="32"/>
      <c r="F194" s="40"/>
      <c r="G194" s="41" t="str">
        <f aca="false">IF(E194="","",E194*IFERROR(INDEX(Lists!$D$5:$D$29,MATCH(D194,Lists!$C$5:$C$29,0)),1)*IF(F194="",1,F194))</f>
        <v/>
      </c>
    </row>
    <row r="195" customFormat="false" ht="15" hidden="false" customHeight="false" outlineLevel="0" collapsed="false">
      <c r="A195" s="31"/>
      <c r="B195" s="21"/>
      <c r="C195" s="21"/>
      <c r="D195" s="21"/>
      <c r="E195" s="32"/>
      <c r="F195" s="40"/>
      <c r="G195" s="41" t="str">
        <f aca="false">IF(E195="","",E195*IFERROR(INDEX(Lists!$D$5:$D$29,MATCH(D195,Lists!$C$5:$C$29,0)),1)*IF(F195="",1,F195))</f>
        <v/>
      </c>
    </row>
    <row r="196" customFormat="false" ht="15" hidden="false" customHeight="false" outlineLevel="0" collapsed="false">
      <c r="A196" s="31"/>
      <c r="B196" s="21"/>
      <c r="C196" s="21"/>
      <c r="D196" s="21"/>
      <c r="E196" s="32"/>
      <c r="F196" s="40"/>
      <c r="G196" s="41" t="str">
        <f aca="false">IF(E196="","",E196*IFERROR(INDEX(Lists!$D$5:$D$29,MATCH(D196,Lists!$C$5:$C$29,0)),1)*IF(F196="",1,F196))</f>
        <v/>
      </c>
    </row>
    <row r="197" customFormat="false" ht="15" hidden="false" customHeight="false" outlineLevel="0" collapsed="false">
      <c r="A197" s="31"/>
      <c r="B197" s="21"/>
      <c r="C197" s="21"/>
      <c r="D197" s="21"/>
      <c r="E197" s="32"/>
      <c r="F197" s="40"/>
      <c r="G197" s="41" t="str">
        <f aca="false">IF(E197="","",E197*IFERROR(INDEX(Lists!$D$5:$D$29,MATCH(D197,Lists!$C$5:$C$29,0)),1)*IF(F197="",1,F197))</f>
        <v/>
      </c>
    </row>
    <row r="198" customFormat="false" ht="15" hidden="false" customHeight="false" outlineLevel="0" collapsed="false">
      <c r="A198" s="31"/>
      <c r="B198" s="21"/>
      <c r="C198" s="21"/>
      <c r="D198" s="21"/>
      <c r="E198" s="32"/>
      <c r="F198" s="40"/>
      <c r="G198" s="41" t="str">
        <f aca="false">IF(E198="","",E198*IFERROR(INDEX(Lists!$D$5:$D$29,MATCH(D198,Lists!$C$5:$C$29,0)),1)*IF(F198="",1,F198))</f>
        <v/>
      </c>
    </row>
    <row r="199" customFormat="false" ht="15" hidden="false" customHeight="false" outlineLevel="0" collapsed="false">
      <c r="A199" s="31"/>
      <c r="B199" s="21"/>
      <c r="C199" s="21"/>
      <c r="D199" s="21"/>
      <c r="E199" s="32"/>
      <c r="F199" s="40"/>
      <c r="G199" s="41" t="str">
        <f aca="false">IF(E199="","",E199*IFERROR(INDEX(Lists!$D$5:$D$29,MATCH(D199,Lists!$C$5:$C$29,0)),1)*IF(F199="",1,F199))</f>
        <v/>
      </c>
    </row>
    <row r="200" customFormat="false" ht="15" hidden="false" customHeight="false" outlineLevel="0" collapsed="false">
      <c r="A200" s="31"/>
      <c r="B200" s="21"/>
      <c r="C200" s="21"/>
      <c r="D200" s="21"/>
      <c r="E200" s="32"/>
      <c r="F200" s="40"/>
      <c r="G200" s="41" t="str">
        <f aca="false">IF(E200="","",E200*IFERROR(INDEX(Lists!$D$5:$D$29,MATCH(D200,Lists!$C$5:$C$29,0)),1)*IF(F200="",1,F200))</f>
        <v/>
      </c>
    </row>
    <row r="201" customFormat="false" ht="15" hidden="false" customHeight="false" outlineLevel="0" collapsed="false">
      <c r="A201" s="31"/>
      <c r="B201" s="21"/>
      <c r="C201" s="21"/>
      <c r="D201" s="21"/>
      <c r="E201" s="32"/>
      <c r="F201" s="40"/>
      <c r="G201" s="41" t="str">
        <f aca="false">IF(E201="","",E201*IFERROR(INDEX(Lists!$D$5:$D$29,MATCH(D201,Lists!$C$5:$C$29,0)),1)*IF(F201="",1,F201))</f>
        <v/>
      </c>
    </row>
    <row r="202" customFormat="false" ht="15" hidden="false" customHeight="false" outlineLevel="0" collapsed="false">
      <c r="A202" s="31"/>
      <c r="B202" s="21"/>
      <c r="C202" s="21"/>
      <c r="D202" s="21"/>
      <c r="E202" s="32"/>
      <c r="F202" s="40"/>
      <c r="G202" s="41" t="str">
        <f aca="false">IF(E202="","",E202*IFERROR(INDEX(Lists!$D$5:$D$29,MATCH(D202,Lists!$C$5:$C$29,0)),1)*IF(F202="",1,F202))</f>
        <v/>
      </c>
    </row>
    <row r="203" customFormat="false" ht="15" hidden="false" customHeight="false" outlineLevel="0" collapsed="false">
      <c r="A203" s="31"/>
      <c r="B203" s="21"/>
      <c r="C203" s="21"/>
      <c r="D203" s="21"/>
      <c r="E203" s="32"/>
      <c r="F203" s="40"/>
      <c r="G203" s="41" t="str">
        <f aca="false">IF(E203="","",E203*IFERROR(INDEX(Lists!$D$5:$D$29,MATCH(D203,Lists!$C$5:$C$29,0)),1)*IF(F203="",1,F203))</f>
        <v/>
      </c>
    </row>
    <row r="204" customFormat="false" ht="15" hidden="false" customHeight="false" outlineLevel="0" collapsed="false">
      <c r="A204" s="31"/>
      <c r="B204" s="21"/>
      <c r="C204" s="21"/>
      <c r="D204" s="21"/>
      <c r="E204" s="32"/>
      <c r="F204" s="40"/>
      <c r="G204" s="41" t="str">
        <f aca="false">IF(E204="","",E204*IFERROR(INDEX(Lists!$D$5:$D$29,MATCH(D204,Lists!$C$5:$C$29,0)),1)*IF(F204="",1,F204))</f>
        <v/>
      </c>
    </row>
    <row r="205" customFormat="false" ht="15" hidden="false" customHeight="false" outlineLevel="0" collapsed="false">
      <c r="A205" s="31"/>
      <c r="B205" s="21"/>
      <c r="C205" s="21"/>
      <c r="D205" s="21"/>
      <c r="E205" s="32"/>
      <c r="F205" s="40"/>
      <c r="G205" s="41" t="str">
        <f aca="false">IF(E205="","",E205*IFERROR(INDEX(Lists!$D$5:$D$29,MATCH(D205,Lists!$C$5:$C$29,0)),1)*IF(F205="",1,F205))</f>
        <v/>
      </c>
    </row>
    <row r="206" customFormat="false" ht="15" hidden="false" customHeight="false" outlineLevel="0" collapsed="false">
      <c r="A206" s="31"/>
      <c r="B206" s="21"/>
      <c r="C206" s="21"/>
      <c r="D206" s="21"/>
      <c r="E206" s="32"/>
      <c r="F206" s="40"/>
      <c r="G206" s="41" t="str">
        <f aca="false">IF(E206="","",E206*IFERROR(INDEX(Lists!$D$5:$D$29,MATCH(D206,Lists!$C$5:$C$29,0)),1)*IF(F206="",1,F206))</f>
        <v/>
      </c>
    </row>
    <row r="207" customFormat="false" ht="15" hidden="false" customHeight="false" outlineLevel="0" collapsed="false">
      <c r="A207" s="31"/>
      <c r="B207" s="21"/>
      <c r="C207" s="21"/>
      <c r="D207" s="21"/>
      <c r="E207" s="32"/>
      <c r="F207" s="40"/>
      <c r="G207" s="41" t="str">
        <f aca="false">IF(E207="","",E207*IFERROR(INDEX(Lists!$D$5:$D$29,MATCH(D207,Lists!$C$5:$C$29,0)),1)*IF(F207="",1,F207))</f>
        <v/>
      </c>
    </row>
    <row r="208" customFormat="false" ht="15" hidden="false" customHeight="false" outlineLevel="0" collapsed="false">
      <c r="A208" s="31"/>
      <c r="B208" s="21"/>
      <c r="C208" s="21"/>
      <c r="D208" s="21"/>
      <c r="E208" s="32"/>
      <c r="F208" s="40"/>
      <c r="G208" s="41" t="str">
        <f aca="false">IF(E208="","",E208*IFERROR(INDEX(Lists!$D$5:$D$29,MATCH(D208,Lists!$C$5:$C$29,0)),1)*IF(F208="",1,F208))</f>
        <v/>
      </c>
    </row>
    <row r="209" customFormat="false" ht="15" hidden="false" customHeight="false" outlineLevel="0" collapsed="false">
      <c r="A209" s="31"/>
      <c r="B209" s="21"/>
      <c r="C209" s="21"/>
      <c r="D209" s="21"/>
      <c r="E209" s="32"/>
      <c r="F209" s="40"/>
      <c r="G209" s="41" t="str">
        <f aca="false">IF(E209="","",E209*IFERROR(INDEX(Lists!$D$5:$D$29,MATCH(D209,Lists!$C$5:$C$29,0)),1)*IF(F209="",1,F209))</f>
        <v/>
      </c>
    </row>
    <row r="210" customFormat="false" ht="15" hidden="false" customHeight="false" outlineLevel="0" collapsed="false">
      <c r="A210" s="31"/>
      <c r="B210" s="21"/>
      <c r="C210" s="21"/>
      <c r="D210" s="21"/>
      <c r="E210" s="32"/>
      <c r="F210" s="40"/>
      <c r="G210" s="41" t="str">
        <f aca="false">IF(E210="","",E210*IFERROR(INDEX(Lists!$D$5:$D$29,MATCH(D210,Lists!$C$5:$C$29,0)),1)*IF(F210="",1,F210))</f>
        <v/>
      </c>
    </row>
    <row r="211" customFormat="false" ht="15" hidden="false" customHeight="false" outlineLevel="0" collapsed="false">
      <c r="A211" s="31"/>
      <c r="B211" s="21"/>
      <c r="C211" s="21"/>
      <c r="D211" s="21"/>
      <c r="E211" s="32"/>
      <c r="F211" s="40"/>
      <c r="G211" s="41" t="str">
        <f aca="false">IF(E211="","",E211*IFERROR(INDEX(Lists!$D$5:$D$29,MATCH(D211,Lists!$C$5:$C$29,0)),1)*IF(F211="",1,F211))</f>
        <v/>
      </c>
    </row>
    <row r="212" customFormat="false" ht="15" hidden="false" customHeight="false" outlineLevel="0" collapsed="false">
      <c r="A212" s="31"/>
      <c r="B212" s="21"/>
      <c r="C212" s="21"/>
      <c r="D212" s="21"/>
      <c r="E212" s="32"/>
      <c r="F212" s="40"/>
      <c r="G212" s="41" t="str">
        <f aca="false">IF(E212="","",E212*IFERROR(INDEX(Lists!$D$5:$D$29,MATCH(D212,Lists!$C$5:$C$29,0)),1)*IF(F212="",1,F212))</f>
        <v/>
      </c>
    </row>
    <row r="213" customFormat="false" ht="15" hidden="false" customHeight="false" outlineLevel="0" collapsed="false">
      <c r="A213" s="31"/>
      <c r="B213" s="21"/>
      <c r="C213" s="21"/>
      <c r="D213" s="21"/>
      <c r="E213" s="32"/>
      <c r="F213" s="40"/>
      <c r="G213" s="41" t="str">
        <f aca="false">IF(E213="","",E213*IFERROR(INDEX(Lists!$D$5:$D$29,MATCH(D213,Lists!$C$5:$C$29,0)),1)*IF(F213="",1,F213))</f>
        <v/>
      </c>
    </row>
    <row r="214" customFormat="false" ht="15" hidden="false" customHeight="false" outlineLevel="0" collapsed="false">
      <c r="A214" s="31"/>
      <c r="B214" s="21"/>
      <c r="C214" s="21"/>
      <c r="D214" s="21"/>
      <c r="E214" s="32"/>
      <c r="F214" s="40"/>
      <c r="G214" s="41" t="str">
        <f aca="false">IF(E214="","",E214*IFERROR(INDEX(Lists!$D$5:$D$29,MATCH(D214,Lists!$C$5:$C$29,0)),1)*IF(F214="",1,F214))</f>
        <v/>
      </c>
    </row>
    <row r="215" customFormat="false" ht="15" hidden="false" customHeight="false" outlineLevel="0" collapsed="false">
      <c r="A215" s="31"/>
      <c r="B215" s="21"/>
      <c r="C215" s="21"/>
      <c r="D215" s="21"/>
      <c r="E215" s="32"/>
      <c r="F215" s="40"/>
      <c r="G215" s="41" t="str">
        <f aca="false">IF(E215="","",E215*IFERROR(INDEX(Lists!$D$5:$D$29,MATCH(D215,Lists!$C$5:$C$29,0)),1)*IF(F215="",1,F215))</f>
        <v/>
      </c>
    </row>
    <row r="216" customFormat="false" ht="15" hidden="false" customHeight="false" outlineLevel="0" collapsed="false">
      <c r="A216" s="31"/>
      <c r="B216" s="21"/>
      <c r="C216" s="21"/>
      <c r="D216" s="21"/>
      <c r="E216" s="32"/>
      <c r="F216" s="40"/>
      <c r="G216" s="41" t="str">
        <f aca="false">IF(E216="","",E216*IFERROR(INDEX(Lists!$D$5:$D$29,MATCH(D216,Lists!$C$5:$C$29,0)),1)*IF(F216="",1,F216))</f>
        <v/>
      </c>
    </row>
    <row r="217" customFormat="false" ht="15" hidden="false" customHeight="false" outlineLevel="0" collapsed="false">
      <c r="A217" s="31"/>
      <c r="B217" s="21"/>
      <c r="C217" s="21"/>
      <c r="D217" s="21"/>
      <c r="E217" s="32"/>
      <c r="F217" s="40"/>
      <c r="G217" s="41" t="str">
        <f aca="false">IF(E217="","",E217*IFERROR(INDEX(Lists!$D$5:$D$29,MATCH(D217,Lists!$C$5:$C$29,0)),1)*IF(F217="",1,F217))</f>
        <v/>
      </c>
    </row>
    <row r="218" customFormat="false" ht="15" hidden="false" customHeight="false" outlineLevel="0" collapsed="false">
      <c r="A218" s="31"/>
      <c r="B218" s="21"/>
      <c r="C218" s="21"/>
      <c r="D218" s="21"/>
      <c r="E218" s="32"/>
      <c r="F218" s="40"/>
      <c r="G218" s="41" t="str">
        <f aca="false">IF(E218="","",E218*IFERROR(INDEX(Lists!$D$5:$D$29,MATCH(D218,Lists!$C$5:$C$29,0)),1)*IF(F218="",1,F218))</f>
        <v/>
      </c>
    </row>
    <row r="219" customFormat="false" ht="15" hidden="false" customHeight="false" outlineLevel="0" collapsed="false">
      <c r="A219" s="31"/>
      <c r="B219" s="21"/>
      <c r="C219" s="21"/>
      <c r="D219" s="21"/>
      <c r="E219" s="32"/>
      <c r="F219" s="40"/>
      <c r="G219" s="41" t="str">
        <f aca="false">IF(E219="","",E219*IFERROR(INDEX(Lists!$D$5:$D$29,MATCH(D219,Lists!$C$5:$C$29,0)),1)*IF(F219="",1,F219))</f>
        <v/>
      </c>
    </row>
    <row r="220" customFormat="false" ht="15" hidden="false" customHeight="false" outlineLevel="0" collapsed="false">
      <c r="A220" s="31"/>
      <c r="B220" s="21"/>
      <c r="C220" s="21"/>
      <c r="D220" s="21"/>
      <c r="E220" s="32"/>
      <c r="F220" s="40"/>
      <c r="G220" s="41" t="str">
        <f aca="false">IF(E220="","",E220*IFERROR(INDEX(Lists!$D$5:$D$29,MATCH(D220,Lists!$C$5:$C$29,0)),1)*IF(F220="",1,F220))</f>
        <v/>
      </c>
    </row>
    <row r="221" customFormat="false" ht="15" hidden="false" customHeight="false" outlineLevel="0" collapsed="false">
      <c r="A221" s="31"/>
      <c r="B221" s="21"/>
      <c r="C221" s="21"/>
      <c r="D221" s="21"/>
      <c r="E221" s="32"/>
      <c r="F221" s="40"/>
      <c r="G221" s="41" t="str">
        <f aca="false">IF(E221="","",E221*IFERROR(INDEX(Lists!$D$5:$D$29,MATCH(D221,Lists!$C$5:$C$29,0)),1)*IF(F221="",1,F221))</f>
        <v/>
      </c>
    </row>
    <row r="222" customFormat="false" ht="15" hidden="false" customHeight="false" outlineLevel="0" collapsed="false">
      <c r="A222" s="31"/>
      <c r="B222" s="21"/>
      <c r="C222" s="21"/>
      <c r="D222" s="21"/>
      <c r="E222" s="32"/>
      <c r="F222" s="40"/>
      <c r="G222" s="41" t="str">
        <f aca="false">IF(E222="","",E222*IFERROR(INDEX(Lists!$D$5:$D$29,MATCH(D222,Lists!$C$5:$C$29,0)),1)*IF(F222="",1,F222))</f>
        <v/>
      </c>
    </row>
    <row r="223" customFormat="false" ht="15" hidden="false" customHeight="false" outlineLevel="0" collapsed="false">
      <c r="A223" s="31"/>
      <c r="B223" s="21"/>
      <c r="C223" s="21"/>
      <c r="D223" s="21"/>
      <c r="E223" s="32"/>
      <c r="F223" s="40"/>
      <c r="G223" s="41" t="str">
        <f aca="false">IF(E223="","",E223*IFERROR(INDEX(Lists!$D$5:$D$29,MATCH(D223,Lists!$C$5:$C$29,0)),1)*IF(F223="",1,F223))</f>
        <v/>
      </c>
    </row>
    <row r="224" customFormat="false" ht="15" hidden="false" customHeight="false" outlineLevel="0" collapsed="false">
      <c r="A224" s="31"/>
      <c r="B224" s="21"/>
      <c r="C224" s="21"/>
      <c r="D224" s="21"/>
      <c r="E224" s="32"/>
      <c r="F224" s="40"/>
      <c r="G224" s="41" t="str">
        <f aca="false">IF(E224="","",E224*IFERROR(INDEX(Lists!$D$5:$D$29,MATCH(D224,Lists!$C$5:$C$29,0)),1)*IF(F224="",1,F224))</f>
        <v/>
      </c>
    </row>
    <row r="225" customFormat="false" ht="15" hidden="false" customHeight="false" outlineLevel="0" collapsed="false">
      <c r="A225" s="31"/>
      <c r="B225" s="21"/>
      <c r="C225" s="21"/>
      <c r="D225" s="21"/>
      <c r="E225" s="32"/>
      <c r="F225" s="40"/>
      <c r="G225" s="41" t="str">
        <f aca="false">IF(E225="","",E225*IFERROR(INDEX(Lists!$D$5:$D$29,MATCH(D225,Lists!$C$5:$C$29,0)),1)*IF(F225="",1,F225))</f>
        <v/>
      </c>
    </row>
    <row r="226" customFormat="false" ht="15" hidden="false" customHeight="false" outlineLevel="0" collapsed="false">
      <c r="A226" s="31"/>
      <c r="B226" s="21"/>
      <c r="C226" s="21"/>
      <c r="D226" s="21"/>
      <c r="E226" s="32"/>
      <c r="F226" s="40"/>
      <c r="G226" s="41" t="str">
        <f aca="false">IF(E226="","",E226*IFERROR(INDEX(Lists!$D$5:$D$29,MATCH(D226,Lists!$C$5:$C$29,0)),1)*IF(F226="",1,F226))</f>
        <v/>
      </c>
    </row>
    <row r="227" customFormat="false" ht="15" hidden="false" customHeight="false" outlineLevel="0" collapsed="false">
      <c r="A227" s="31"/>
      <c r="B227" s="21"/>
      <c r="C227" s="21"/>
      <c r="D227" s="21"/>
      <c r="E227" s="32"/>
      <c r="F227" s="40"/>
      <c r="G227" s="41" t="str">
        <f aca="false">IF(E227="","",E227*IFERROR(INDEX(Lists!$D$5:$D$29,MATCH(D227,Lists!$C$5:$C$29,0)),1)*IF(F227="",1,F227))</f>
        <v/>
      </c>
    </row>
    <row r="228" customFormat="false" ht="15" hidden="false" customHeight="false" outlineLevel="0" collapsed="false">
      <c r="A228" s="31"/>
      <c r="B228" s="21"/>
      <c r="C228" s="21"/>
      <c r="D228" s="21"/>
      <c r="E228" s="32"/>
      <c r="F228" s="40"/>
      <c r="G228" s="41" t="str">
        <f aca="false">IF(E228="","",E228*IFERROR(INDEX(Lists!$D$5:$D$29,MATCH(D228,Lists!$C$5:$C$29,0)),1)*IF(F228="",1,F228))</f>
        <v/>
      </c>
    </row>
    <row r="229" customFormat="false" ht="15" hidden="false" customHeight="false" outlineLevel="0" collapsed="false">
      <c r="A229" s="31"/>
      <c r="B229" s="21"/>
      <c r="C229" s="21"/>
      <c r="D229" s="21"/>
      <c r="E229" s="32"/>
      <c r="F229" s="40"/>
      <c r="G229" s="41" t="str">
        <f aca="false">IF(E229="","",E229*IFERROR(INDEX(Lists!$D$5:$D$29,MATCH(D229,Lists!$C$5:$C$29,0)),1)*IF(F229="",1,F229))</f>
        <v/>
      </c>
    </row>
    <row r="230" customFormat="false" ht="15" hidden="false" customHeight="false" outlineLevel="0" collapsed="false">
      <c r="A230" s="31"/>
      <c r="B230" s="21"/>
      <c r="C230" s="21"/>
      <c r="D230" s="21"/>
      <c r="E230" s="32"/>
      <c r="F230" s="40"/>
      <c r="G230" s="41" t="str">
        <f aca="false">IF(E230="","",E230*IFERROR(INDEX(Lists!$D$5:$D$29,MATCH(D230,Lists!$C$5:$C$29,0)),1)*IF(F230="",1,F230))</f>
        <v/>
      </c>
    </row>
    <row r="231" customFormat="false" ht="15" hidden="false" customHeight="false" outlineLevel="0" collapsed="false">
      <c r="A231" s="31"/>
      <c r="B231" s="21"/>
      <c r="C231" s="21"/>
      <c r="D231" s="21"/>
      <c r="E231" s="32"/>
      <c r="F231" s="40"/>
      <c r="G231" s="41" t="str">
        <f aca="false">IF(E231="","",E231*IFERROR(INDEX(Lists!$D$5:$D$29,MATCH(D231,Lists!$C$5:$C$29,0)),1)*IF(F231="",1,F231))</f>
        <v/>
      </c>
    </row>
    <row r="232" customFormat="false" ht="15" hidden="false" customHeight="false" outlineLevel="0" collapsed="false">
      <c r="A232" s="31"/>
      <c r="B232" s="21"/>
      <c r="C232" s="21"/>
      <c r="D232" s="21"/>
      <c r="E232" s="32"/>
      <c r="F232" s="40"/>
      <c r="G232" s="41" t="str">
        <f aca="false">IF(E232="","",E232*IFERROR(INDEX(Lists!$D$5:$D$29,MATCH(D232,Lists!$C$5:$C$29,0)),1)*IF(F232="",1,F232))</f>
        <v/>
      </c>
    </row>
    <row r="233" customFormat="false" ht="15" hidden="false" customHeight="false" outlineLevel="0" collapsed="false">
      <c r="A233" s="31"/>
      <c r="B233" s="21"/>
      <c r="C233" s="21"/>
      <c r="D233" s="21"/>
      <c r="E233" s="32"/>
      <c r="F233" s="40"/>
      <c r="G233" s="41" t="str">
        <f aca="false">IF(E233="","",E233*IFERROR(INDEX(Lists!$D$5:$D$29,MATCH(D233,Lists!$C$5:$C$29,0)),1)*IF(F233="",1,F233))</f>
        <v/>
      </c>
    </row>
    <row r="234" customFormat="false" ht="15" hidden="false" customHeight="false" outlineLevel="0" collapsed="false">
      <c r="A234" s="31"/>
      <c r="B234" s="21"/>
      <c r="C234" s="21"/>
      <c r="D234" s="21"/>
      <c r="E234" s="32"/>
      <c r="F234" s="40"/>
      <c r="G234" s="41" t="str">
        <f aca="false">IF(E234="","",E234*IFERROR(INDEX(Lists!$D$5:$D$29,MATCH(D234,Lists!$C$5:$C$29,0)),1)*IF(F234="",1,F234))</f>
        <v/>
      </c>
    </row>
    <row r="235" customFormat="false" ht="15" hidden="false" customHeight="false" outlineLevel="0" collapsed="false">
      <c r="A235" s="31"/>
      <c r="B235" s="21"/>
      <c r="C235" s="21"/>
      <c r="D235" s="21"/>
      <c r="E235" s="32"/>
      <c r="F235" s="40"/>
      <c r="G235" s="41" t="str">
        <f aca="false">IF(E235="","",E235*IFERROR(INDEX(Lists!$D$5:$D$29,MATCH(D235,Lists!$C$5:$C$29,0)),1)*IF(F235="",1,F235))</f>
        <v/>
      </c>
    </row>
    <row r="236" customFormat="false" ht="15" hidden="false" customHeight="false" outlineLevel="0" collapsed="false">
      <c r="A236" s="31"/>
      <c r="B236" s="21"/>
      <c r="C236" s="21"/>
      <c r="D236" s="21"/>
      <c r="E236" s="32"/>
      <c r="F236" s="40"/>
      <c r="G236" s="41" t="str">
        <f aca="false">IF(E236="","",E236*IFERROR(INDEX(Lists!$D$5:$D$29,MATCH(D236,Lists!$C$5:$C$29,0)),1)*IF(F236="",1,F236))</f>
        <v/>
      </c>
    </row>
    <row r="237" customFormat="false" ht="15" hidden="false" customHeight="false" outlineLevel="0" collapsed="false">
      <c r="A237" s="31"/>
      <c r="B237" s="21"/>
      <c r="C237" s="21"/>
      <c r="D237" s="21"/>
      <c r="E237" s="32"/>
      <c r="F237" s="40"/>
      <c r="G237" s="41" t="str">
        <f aca="false">IF(E237="","",E237*IFERROR(INDEX(Lists!$D$5:$D$29,MATCH(D237,Lists!$C$5:$C$29,0)),1)*IF(F237="",1,F237))</f>
        <v/>
      </c>
    </row>
    <row r="238" customFormat="false" ht="15" hidden="false" customHeight="false" outlineLevel="0" collapsed="false">
      <c r="A238" s="31"/>
      <c r="B238" s="21"/>
      <c r="C238" s="21"/>
      <c r="D238" s="21"/>
      <c r="E238" s="32"/>
      <c r="F238" s="40"/>
      <c r="G238" s="41" t="str">
        <f aca="false">IF(E238="","",E238*IFERROR(INDEX(Lists!$D$5:$D$29,MATCH(D238,Lists!$C$5:$C$29,0)),1)*IF(F238="",1,F238))</f>
        <v/>
      </c>
    </row>
    <row r="239" customFormat="false" ht="15" hidden="false" customHeight="false" outlineLevel="0" collapsed="false">
      <c r="A239" s="31"/>
      <c r="B239" s="21"/>
      <c r="C239" s="21"/>
      <c r="D239" s="21"/>
      <c r="E239" s="32"/>
      <c r="F239" s="40"/>
      <c r="G239" s="41" t="str">
        <f aca="false">IF(E239="","",E239*IFERROR(INDEX(Lists!$D$5:$D$29,MATCH(D239,Lists!$C$5:$C$29,0)),1)*IF(F239="",1,F239))</f>
        <v/>
      </c>
    </row>
    <row r="240" customFormat="false" ht="15" hidden="false" customHeight="false" outlineLevel="0" collapsed="false">
      <c r="A240" s="31"/>
      <c r="B240" s="21"/>
      <c r="C240" s="21"/>
      <c r="D240" s="21"/>
      <c r="E240" s="32"/>
      <c r="F240" s="40"/>
      <c r="G240" s="41" t="str">
        <f aca="false">IF(E240="","",E240*IFERROR(INDEX(Lists!$D$5:$D$29,MATCH(D240,Lists!$C$5:$C$29,0)),1)*IF(F240="",1,F240))</f>
        <v/>
      </c>
    </row>
    <row r="241" customFormat="false" ht="15" hidden="false" customHeight="false" outlineLevel="0" collapsed="false">
      <c r="A241" s="31"/>
      <c r="B241" s="21"/>
      <c r="C241" s="21"/>
      <c r="D241" s="21"/>
      <c r="E241" s="32"/>
      <c r="F241" s="40"/>
      <c r="G241" s="41" t="str">
        <f aca="false">IF(E241="","",E241*IFERROR(INDEX(Lists!$D$5:$D$29,MATCH(D241,Lists!$C$5:$C$29,0)),1)*IF(F241="",1,F241))</f>
        <v/>
      </c>
    </row>
    <row r="242" customFormat="false" ht="15" hidden="false" customHeight="false" outlineLevel="0" collapsed="false">
      <c r="A242" s="31"/>
      <c r="B242" s="21"/>
      <c r="C242" s="21"/>
      <c r="D242" s="21"/>
      <c r="E242" s="32"/>
      <c r="F242" s="40"/>
      <c r="G242" s="41" t="str">
        <f aca="false">IF(E242="","",E242*IFERROR(INDEX(Lists!$D$5:$D$29,MATCH(D242,Lists!$C$5:$C$29,0)),1)*IF(F242="",1,F242))</f>
        <v/>
      </c>
    </row>
    <row r="243" customFormat="false" ht="15" hidden="false" customHeight="false" outlineLevel="0" collapsed="false">
      <c r="A243" s="31"/>
      <c r="B243" s="21"/>
      <c r="C243" s="21"/>
      <c r="D243" s="21"/>
      <c r="E243" s="32"/>
      <c r="F243" s="40"/>
      <c r="G243" s="41" t="str">
        <f aca="false">IF(E243="","",E243*IFERROR(INDEX(Lists!$D$5:$D$29,MATCH(D243,Lists!$C$5:$C$29,0)),1)*IF(F243="",1,F243))</f>
        <v/>
      </c>
    </row>
    <row r="244" customFormat="false" ht="15" hidden="false" customHeight="false" outlineLevel="0" collapsed="false">
      <c r="A244" s="31"/>
      <c r="B244" s="21"/>
      <c r="C244" s="21"/>
      <c r="D244" s="21"/>
      <c r="E244" s="32"/>
      <c r="F244" s="40"/>
      <c r="G244" s="41" t="str">
        <f aca="false">IF(E244="","",E244*IFERROR(INDEX(Lists!$D$5:$D$29,MATCH(D244,Lists!$C$5:$C$29,0)),1)*IF(F244="",1,F244))</f>
        <v/>
      </c>
    </row>
    <row r="245" customFormat="false" ht="15" hidden="false" customHeight="false" outlineLevel="0" collapsed="false">
      <c r="A245" s="31"/>
      <c r="B245" s="21"/>
      <c r="C245" s="21"/>
      <c r="D245" s="21"/>
      <c r="E245" s="32"/>
      <c r="F245" s="40"/>
      <c r="G245" s="41" t="str">
        <f aca="false">IF(E245="","",E245*IFERROR(INDEX(Lists!$D$5:$D$29,MATCH(D245,Lists!$C$5:$C$29,0)),1)*IF(F245="",1,F245))</f>
        <v/>
      </c>
    </row>
    <row r="246" customFormat="false" ht="15" hidden="false" customHeight="false" outlineLevel="0" collapsed="false">
      <c r="A246" s="31"/>
      <c r="B246" s="21"/>
      <c r="C246" s="21"/>
      <c r="D246" s="21"/>
      <c r="E246" s="32"/>
      <c r="F246" s="40"/>
      <c r="G246" s="41" t="str">
        <f aca="false">IF(E246="","",E246*IFERROR(INDEX(Lists!$D$5:$D$29,MATCH(D246,Lists!$C$5:$C$29,0)),1)*IF(F246="",1,F246))</f>
        <v/>
      </c>
    </row>
    <row r="247" customFormat="false" ht="15" hidden="false" customHeight="false" outlineLevel="0" collapsed="false">
      <c r="A247" s="31"/>
      <c r="B247" s="21"/>
      <c r="C247" s="21"/>
      <c r="D247" s="21"/>
      <c r="E247" s="32"/>
      <c r="F247" s="40"/>
      <c r="G247" s="41" t="str">
        <f aca="false">IF(E247="","",E247*IFERROR(INDEX(Lists!$D$5:$D$29,MATCH(D247,Lists!$C$5:$C$29,0)),1)*IF(F247="",1,F247))</f>
        <v/>
      </c>
    </row>
    <row r="248" customFormat="false" ht="15" hidden="false" customHeight="false" outlineLevel="0" collapsed="false">
      <c r="A248" s="31"/>
      <c r="B248" s="21"/>
      <c r="C248" s="21"/>
      <c r="D248" s="21"/>
      <c r="E248" s="32"/>
      <c r="F248" s="40"/>
      <c r="G248" s="41" t="str">
        <f aca="false">IF(E248="","",E248*IFERROR(INDEX(Lists!$D$5:$D$29,MATCH(D248,Lists!$C$5:$C$29,0)),1)*IF(F248="",1,F248))</f>
        <v/>
      </c>
    </row>
    <row r="249" customFormat="false" ht="15" hidden="false" customHeight="false" outlineLevel="0" collapsed="false">
      <c r="A249" s="31"/>
      <c r="B249" s="21"/>
      <c r="C249" s="21"/>
      <c r="D249" s="21"/>
      <c r="E249" s="32"/>
      <c r="F249" s="40"/>
      <c r="G249" s="41" t="str">
        <f aca="false">IF(E249="","",E249*IFERROR(INDEX(Lists!$D$5:$D$29,MATCH(D249,Lists!$C$5:$C$29,0)),1)*IF(F249="",1,F249))</f>
        <v/>
      </c>
    </row>
    <row r="250" customFormat="false" ht="15" hidden="false" customHeight="false" outlineLevel="0" collapsed="false">
      <c r="A250" s="31"/>
      <c r="B250" s="21"/>
      <c r="C250" s="21"/>
      <c r="D250" s="21"/>
      <c r="E250" s="32"/>
      <c r="F250" s="40"/>
      <c r="G250" s="41" t="str">
        <f aca="false">IF(E250="","",E250*IFERROR(INDEX(Lists!$D$5:$D$29,MATCH(D250,Lists!$C$5:$C$29,0)),1)*IF(F250="",1,F250))</f>
        <v/>
      </c>
    </row>
    <row r="251" customFormat="false" ht="15" hidden="false" customHeight="false" outlineLevel="0" collapsed="false">
      <c r="A251" s="31"/>
      <c r="B251" s="21"/>
      <c r="C251" s="21"/>
      <c r="D251" s="21"/>
      <c r="E251" s="32"/>
      <c r="F251" s="40"/>
      <c r="G251" s="41" t="str">
        <f aca="false">IF(E251="","",E251*IFERROR(INDEX(Lists!$D$5:$D$29,MATCH(D251,Lists!$C$5:$C$29,0)),1)*IF(F251="",1,F251))</f>
        <v/>
      </c>
    </row>
    <row r="252" customFormat="false" ht="15" hidden="false" customHeight="false" outlineLevel="0" collapsed="false">
      <c r="A252" s="31"/>
      <c r="B252" s="21"/>
      <c r="C252" s="21"/>
      <c r="D252" s="21"/>
      <c r="E252" s="32"/>
      <c r="F252" s="40"/>
      <c r="G252" s="41" t="str">
        <f aca="false">IF(E252="","",E252*IFERROR(INDEX(Lists!$D$5:$D$29,MATCH(D252,Lists!$C$5:$C$29,0)),1)*IF(F252="",1,F252))</f>
        <v/>
      </c>
    </row>
    <row r="253" customFormat="false" ht="15" hidden="false" customHeight="false" outlineLevel="0" collapsed="false">
      <c r="A253" s="31"/>
      <c r="B253" s="21"/>
      <c r="C253" s="21"/>
      <c r="D253" s="21"/>
      <c r="E253" s="32"/>
      <c r="F253" s="40"/>
      <c r="G253" s="41" t="str">
        <f aca="false">IF(E253="","",E253*IFERROR(INDEX(Lists!$D$5:$D$29,MATCH(D253,Lists!$C$5:$C$29,0)),1)*IF(F253="",1,F253))</f>
        <v/>
      </c>
    </row>
    <row r="254" customFormat="false" ht="15" hidden="false" customHeight="false" outlineLevel="0" collapsed="false">
      <c r="A254" s="31"/>
      <c r="B254" s="21"/>
      <c r="C254" s="21"/>
      <c r="D254" s="21"/>
      <c r="E254" s="32"/>
      <c r="F254" s="40"/>
      <c r="G254" s="41" t="str">
        <f aca="false">IF(E254="","",E254*IFERROR(INDEX(Lists!$D$5:$D$29,MATCH(D254,Lists!$C$5:$C$29,0)),1)*IF(F254="",1,F254))</f>
        <v/>
      </c>
    </row>
    <row r="255" customFormat="false" ht="15" hidden="false" customHeight="false" outlineLevel="0" collapsed="false">
      <c r="A255" s="31"/>
      <c r="B255" s="21"/>
      <c r="C255" s="21"/>
      <c r="D255" s="21"/>
      <c r="E255" s="32"/>
      <c r="F255" s="40"/>
      <c r="G255" s="41" t="str">
        <f aca="false">IF(E255="","",E255*IFERROR(INDEX(Lists!$D$5:$D$29,MATCH(D255,Lists!$C$5:$C$29,0)),1)*IF(F255="",1,F255))</f>
        <v/>
      </c>
    </row>
    <row r="256" customFormat="false" ht="15" hidden="false" customHeight="false" outlineLevel="0" collapsed="false">
      <c r="A256" s="31"/>
      <c r="B256" s="21"/>
      <c r="C256" s="21"/>
      <c r="D256" s="21"/>
      <c r="E256" s="32"/>
      <c r="F256" s="40"/>
      <c r="G256" s="41" t="str">
        <f aca="false">IF(E256="","",E256*IFERROR(INDEX(Lists!$D$5:$D$29,MATCH(D256,Lists!$C$5:$C$29,0)),1)*IF(F256="",1,F256))</f>
        <v/>
      </c>
    </row>
    <row r="257" customFormat="false" ht="15" hidden="false" customHeight="false" outlineLevel="0" collapsed="false">
      <c r="A257" s="31"/>
      <c r="B257" s="21"/>
      <c r="C257" s="21"/>
      <c r="D257" s="21"/>
      <c r="E257" s="32"/>
      <c r="F257" s="40"/>
      <c r="G257" s="41" t="str">
        <f aca="false">IF(E257="","",E257*IFERROR(INDEX(Lists!$D$5:$D$29,MATCH(D257,Lists!$C$5:$C$29,0)),1)*IF(F257="",1,F257))</f>
        <v/>
      </c>
    </row>
    <row r="258" customFormat="false" ht="15" hidden="false" customHeight="false" outlineLevel="0" collapsed="false">
      <c r="A258" s="31"/>
      <c r="B258" s="21"/>
      <c r="C258" s="21"/>
      <c r="D258" s="21"/>
      <c r="E258" s="32"/>
      <c r="F258" s="40"/>
      <c r="G258" s="41" t="str">
        <f aca="false">IF(E258="","",E258*IFERROR(INDEX(Lists!$D$5:$D$29,MATCH(D258,Lists!$C$5:$C$29,0)),1)*IF(F258="",1,F258))</f>
        <v/>
      </c>
    </row>
    <row r="259" customFormat="false" ht="15" hidden="false" customHeight="false" outlineLevel="0" collapsed="false">
      <c r="A259" s="31"/>
      <c r="B259" s="21"/>
      <c r="C259" s="21"/>
      <c r="D259" s="21"/>
      <c r="E259" s="32"/>
      <c r="F259" s="40"/>
      <c r="G259" s="41" t="str">
        <f aca="false">IF(E259="","",E259*IFERROR(INDEX(Lists!$D$5:$D$29,MATCH(D259,Lists!$C$5:$C$29,0)),1)*IF(F259="",1,F259))</f>
        <v/>
      </c>
    </row>
    <row r="260" customFormat="false" ht="15" hidden="false" customHeight="false" outlineLevel="0" collapsed="false">
      <c r="A260" s="31"/>
      <c r="B260" s="21"/>
      <c r="C260" s="21"/>
      <c r="D260" s="21"/>
      <c r="E260" s="32"/>
      <c r="F260" s="40"/>
      <c r="G260" s="41" t="str">
        <f aca="false">IF(E260="","",E260*IFERROR(INDEX(Lists!$D$5:$D$29,MATCH(D260,Lists!$C$5:$C$29,0)),1)*IF(F260="",1,F260))</f>
        <v/>
      </c>
    </row>
    <row r="261" customFormat="false" ht="15" hidden="false" customHeight="false" outlineLevel="0" collapsed="false">
      <c r="A261" s="31"/>
      <c r="B261" s="21"/>
      <c r="C261" s="21"/>
      <c r="D261" s="21"/>
      <c r="E261" s="32"/>
      <c r="F261" s="40"/>
      <c r="G261" s="41" t="str">
        <f aca="false">IF(E261="","",E261*IFERROR(INDEX(Lists!$D$5:$D$29,MATCH(D261,Lists!$C$5:$C$29,0)),1)*IF(F261="",1,F261))</f>
        <v/>
      </c>
    </row>
    <row r="262" customFormat="false" ht="15" hidden="false" customHeight="false" outlineLevel="0" collapsed="false">
      <c r="A262" s="31"/>
      <c r="B262" s="21"/>
      <c r="C262" s="21"/>
      <c r="D262" s="21"/>
      <c r="E262" s="32"/>
      <c r="F262" s="40"/>
      <c r="G262" s="41" t="str">
        <f aca="false">IF(E262="","",E262*IFERROR(INDEX(Lists!$D$5:$D$29,MATCH(D262,Lists!$C$5:$C$29,0)),1)*IF(F262="",1,F262))</f>
        <v/>
      </c>
    </row>
    <row r="263" customFormat="false" ht="15" hidden="false" customHeight="false" outlineLevel="0" collapsed="false">
      <c r="A263" s="31"/>
      <c r="B263" s="21"/>
      <c r="C263" s="21"/>
      <c r="D263" s="21"/>
      <c r="E263" s="32"/>
      <c r="F263" s="40"/>
      <c r="G263" s="41" t="str">
        <f aca="false">IF(E263="","",E263*IFERROR(INDEX(Lists!$D$5:$D$29,MATCH(D263,Lists!$C$5:$C$29,0)),1)*IF(F263="",1,F263))</f>
        <v/>
      </c>
    </row>
    <row r="264" customFormat="false" ht="15" hidden="false" customHeight="false" outlineLevel="0" collapsed="false">
      <c r="A264" s="31"/>
      <c r="B264" s="21"/>
      <c r="C264" s="21"/>
      <c r="D264" s="21"/>
      <c r="E264" s="32"/>
      <c r="F264" s="40"/>
      <c r="G264" s="41" t="str">
        <f aca="false">IF(E264="","",E264*IFERROR(INDEX(Lists!$D$5:$D$29,MATCH(D264,Lists!$C$5:$C$29,0)),1)*IF(F264="",1,F264))</f>
        <v/>
      </c>
    </row>
    <row r="265" customFormat="false" ht="15" hidden="false" customHeight="false" outlineLevel="0" collapsed="false">
      <c r="A265" s="31"/>
      <c r="B265" s="21"/>
      <c r="C265" s="21"/>
      <c r="D265" s="21"/>
      <c r="E265" s="32"/>
      <c r="F265" s="40"/>
      <c r="G265" s="41" t="str">
        <f aca="false">IF(E265="","",E265*IFERROR(INDEX(Lists!$D$5:$D$29,MATCH(D265,Lists!$C$5:$C$29,0)),1)*IF(F265="",1,F265))</f>
        <v/>
      </c>
    </row>
    <row r="266" customFormat="false" ht="15" hidden="false" customHeight="false" outlineLevel="0" collapsed="false">
      <c r="A266" s="31"/>
      <c r="B266" s="21"/>
      <c r="C266" s="21"/>
      <c r="D266" s="21"/>
      <c r="E266" s="32"/>
      <c r="F266" s="40"/>
      <c r="G266" s="41" t="str">
        <f aca="false">IF(E266="","",E266*IFERROR(INDEX(Lists!$D$5:$D$29,MATCH(D266,Lists!$C$5:$C$29,0)),1)*IF(F266="",1,F266))</f>
        <v/>
      </c>
    </row>
    <row r="267" customFormat="false" ht="15" hidden="false" customHeight="false" outlineLevel="0" collapsed="false">
      <c r="A267" s="31"/>
      <c r="B267" s="21"/>
      <c r="C267" s="21"/>
      <c r="D267" s="21"/>
      <c r="E267" s="32"/>
      <c r="F267" s="40"/>
      <c r="G267" s="41" t="str">
        <f aca="false">IF(E267="","",E267*IFERROR(INDEX(Lists!$D$5:$D$29,MATCH(D267,Lists!$C$5:$C$29,0)),1)*IF(F267="",1,F267))</f>
        <v/>
      </c>
    </row>
    <row r="268" customFormat="false" ht="15" hidden="false" customHeight="false" outlineLevel="0" collapsed="false">
      <c r="A268" s="31"/>
      <c r="B268" s="21"/>
      <c r="C268" s="21"/>
      <c r="D268" s="21"/>
      <c r="E268" s="32"/>
      <c r="F268" s="40"/>
      <c r="G268" s="41" t="str">
        <f aca="false">IF(E268="","",E268*IFERROR(INDEX(Lists!$D$5:$D$29,MATCH(D268,Lists!$C$5:$C$29,0)),1)*IF(F268="",1,F268))</f>
        <v/>
      </c>
    </row>
    <row r="269" customFormat="false" ht="15" hidden="false" customHeight="false" outlineLevel="0" collapsed="false">
      <c r="A269" s="31"/>
      <c r="B269" s="21"/>
      <c r="C269" s="21"/>
      <c r="D269" s="21"/>
      <c r="E269" s="32"/>
      <c r="F269" s="40"/>
      <c r="G269" s="41" t="str">
        <f aca="false">IF(E269="","",E269*IFERROR(INDEX(Lists!$D$5:$D$29,MATCH(D269,Lists!$C$5:$C$29,0)),1)*IF(F269="",1,F269))</f>
        <v/>
      </c>
    </row>
    <row r="270" customFormat="false" ht="15" hidden="false" customHeight="false" outlineLevel="0" collapsed="false">
      <c r="A270" s="31"/>
      <c r="B270" s="21"/>
      <c r="C270" s="21"/>
      <c r="D270" s="21"/>
      <c r="E270" s="32"/>
      <c r="F270" s="40"/>
      <c r="G270" s="41" t="str">
        <f aca="false">IF(E270="","",E270*IFERROR(INDEX(Lists!$D$5:$D$29,MATCH(D270,Lists!$C$5:$C$29,0)),1)*IF(F270="",1,F270))</f>
        <v/>
      </c>
    </row>
    <row r="271" customFormat="false" ht="15" hidden="false" customHeight="false" outlineLevel="0" collapsed="false">
      <c r="A271" s="31"/>
      <c r="B271" s="21"/>
      <c r="C271" s="21"/>
      <c r="D271" s="21"/>
      <c r="E271" s="32"/>
      <c r="F271" s="40"/>
      <c r="G271" s="41" t="str">
        <f aca="false">IF(E271="","",E271*IFERROR(INDEX(Lists!$D$5:$D$29,MATCH(D271,Lists!$C$5:$C$29,0)),1)*IF(F271="",1,F271))</f>
        <v/>
      </c>
    </row>
    <row r="272" customFormat="false" ht="15" hidden="false" customHeight="false" outlineLevel="0" collapsed="false">
      <c r="A272" s="31"/>
      <c r="B272" s="21"/>
      <c r="C272" s="21"/>
      <c r="D272" s="21"/>
      <c r="E272" s="32"/>
      <c r="F272" s="40"/>
      <c r="G272" s="41" t="str">
        <f aca="false">IF(E272="","",E272*IFERROR(INDEX(Lists!$D$5:$D$29,MATCH(D272,Lists!$C$5:$C$29,0)),1)*IF(F272="",1,F272))</f>
        <v/>
      </c>
    </row>
    <row r="273" customFormat="false" ht="15" hidden="false" customHeight="false" outlineLevel="0" collapsed="false">
      <c r="A273" s="31"/>
      <c r="B273" s="21"/>
      <c r="C273" s="21"/>
      <c r="D273" s="21"/>
      <c r="E273" s="32"/>
      <c r="F273" s="40"/>
      <c r="G273" s="41" t="str">
        <f aca="false">IF(E273="","",E273*IFERROR(INDEX(Lists!$D$5:$D$29,MATCH(D273,Lists!$C$5:$C$29,0)),1)*IF(F273="",1,F273))</f>
        <v/>
      </c>
    </row>
    <row r="274" customFormat="false" ht="15" hidden="false" customHeight="false" outlineLevel="0" collapsed="false">
      <c r="A274" s="31"/>
      <c r="B274" s="21"/>
      <c r="C274" s="21"/>
      <c r="D274" s="21"/>
      <c r="E274" s="32"/>
      <c r="F274" s="40"/>
      <c r="G274" s="41" t="str">
        <f aca="false">IF(E274="","",E274*IFERROR(INDEX(Lists!$D$5:$D$29,MATCH(D274,Lists!$C$5:$C$29,0)),1)*IF(F274="",1,F274))</f>
        <v/>
      </c>
    </row>
    <row r="275" customFormat="false" ht="15" hidden="false" customHeight="false" outlineLevel="0" collapsed="false">
      <c r="A275" s="31"/>
      <c r="B275" s="21"/>
      <c r="C275" s="21"/>
      <c r="D275" s="21"/>
      <c r="E275" s="32"/>
      <c r="F275" s="40"/>
      <c r="G275" s="41" t="str">
        <f aca="false">IF(E275="","",E275*IFERROR(INDEX(Lists!$D$5:$D$29,MATCH(D275,Lists!$C$5:$C$29,0)),1)*IF(F275="",1,F275))</f>
        <v/>
      </c>
    </row>
    <row r="276" customFormat="false" ht="15" hidden="false" customHeight="false" outlineLevel="0" collapsed="false">
      <c r="A276" s="31"/>
      <c r="B276" s="21"/>
      <c r="C276" s="21"/>
      <c r="D276" s="21"/>
      <c r="E276" s="32"/>
      <c r="F276" s="40"/>
      <c r="G276" s="41" t="str">
        <f aca="false">IF(E276="","",E276*IFERROR(INDEX(Lists!$D$5:$D$29,MATCH(D276,Lists!$C$5:$C$29,0)),1)*IF(F276="",1,F276))</f>
        <v/>
      </c>
    </row>
    <row r="277" customFormat="false" ht="15" hidden="false" customHeight="false" outlineLevel="0" collapsed="false">
      <c r="A277" s="31"/>
      <c r="B277" s="21"/>
      <c r="C277" s="21"/>
      <c r="D277" s="21"/>
      <c r="E277" s="32"/>
      <c r="F277" s="40"/>
      <c r="G277" s="41" t="str">
        <f aca="false">IF(E277="","",E277*IFERROR(INDEX(Lists!$D$5:$D$29,MATCH(D277,Lists!$C$5:$C$29,0)),1)*IF(F277="",1,F277))</f>
        <v/>
      </c>
    </row>
    <row r="278" customFormat="false" ht="15" hidden="false" customHeight="false" outlineLevel="0" collapsed="false">
      <c r="A278" s="31"/>
      <c r="B278" s="21"/>
      <c r="C278" s="21"/>
      <c r="D278" s="21"/>
      <c r="E278" s="32"/>
      <c r="F278" s="40"/>
      <c r="G278" s="41" t="str">
        <f aca="false">IF(E278="","",E278*IFERROR(INDEX(Lists!$D$5:$D$29,MATCH(D278,Lists!$C$5:$C$29,0)),1)*IF(F278="",1,F278))</f>
        <v/>
      </c>
    </row>
    <row r="279" customFormat="false" ht="15" hidden="false" customHeight="false" outlineLevel="0" collapsed="false">
      <c r="A279" s="31"/>
      <c r="B279" s="21"/>
      <c r="C279" s="21"/>
      <c r="D279" s="21"/>
      <c r="E279" s="32"/>
      <c r="F279" s="40"/>
      <c r="G279" s="41" t="str">
        <f aca="false">IF(E279="","",E279*IFERROR(INDEX(Lists!$D$5:$D$29,MATCH(D279,Lists!$C$5:$C$29,0)),1)*IF(F279="",1,F279))</f>
        <v/>
      </c>
    </row>
    <row r="280" customFormat="false" ht="15" hidden="false" customHeight="false" outlineLevel="0" collapsed="false">
      <c r="A280" s="31"/>
      <c r="B280" s="21"/>
      <c r="C280" s="21"/>
      <c r="D280" s="21"/>
      <c r="E280" s="32"/>
      <c r="F280" s="40"/>
      <c r="G280" s="41" t="str">
        <f aca="false">IF(E280="","",E280*IFERROR(INDEX(Lists!$D$5:$D$29,MATCH(D280,Lists!$C$5:$C$29,0)),1)*IF(F280="",1,F280))</f>
        <v/>
      </c>
    </row>
    <row r="281" customFormat="false" ht="15" hidden="false" customHeight="false" outlineLevel="0" collapsed="false">
      <c r="A281" s="31"/>
      <c r="B281" s="21"/>
      <c r="C281" s="21"/>
      <c r="D281" s="21"/>
      <c r="E281" s="32"/>
      <c r="F281" s="40"/>
      <c r="G281" s="41" t="str">
        <f aca="false">IF(E281="","",E281*IFERROR(INDEX(Lists!$D$5:$D$29,MATCH(D281,Lists!$C$5:$C$29,0)),1)*IF(F281="",1,F281))</f>
        <v/>
      </c>
    </row>
    <row r="282" customFormat="false" ht="15" hidden="false" customHeight="false" outlineLevel="0" collapsed="false">
      <c r="A282" s="31"/>
      <c r="B282" s="21"/>
      <c r="C282" s="21"/>
      <c r="D282" s="21"/>
      <c r="E282" s="32"/>
      <c r="F282" s="40"/>
      <c r="G282" s="41" t="str">
        <f aca="false">IF(E282="","",E282*IFERROR(INDEX(Lists!$D$5:$D$29,MATCH(D282,Lists!$C$5:$C$29,0)),1)*IF(F282="",1,F282))</f>
        <v/>
      </c>
    </row>
    <row r="283" customFormat="false" ht="15" hidden="false" customHeight="false" outlineLevel="0" collapsed="false">
      <c r="A283" s="31"/>
      <c r="B283" s="21"/>
      <c r="C283" s="21"/>
      <c r="D283" s="21"/>
      <c r="E283" s="32"/>
      <c r="F283" s="40"/>
      <c r="G283" s="41" t="str">
        <f aca="false">IF(E283="","",E283*IFERROR(INDEX(Lists!$D$5:$D$29,MATCH(D283,Lists!$C$5:$C$29,0)),1)*IF(F283="",1,F283))</f>
        <v/>
      </c>
    </row>
    <row r="284" customFormat="false" ht="15" hidden="false" customHeight="false" outlineLevel="0" collapsed="false">
      <c r="A284" s="31"/>
      <c r="B284" s="21"/>
      <c r="C284" s="21"/>
      <c r="D284" s="21"/>
      <c r="E284" s="32"/>
      <c r="F284" s="40"/>
      <c r="G284" s="41" t="str">
        <f aca="false">IF(E284="","",E284*IFERROR(INDEX(Lists!$D$5:$D$29,MATCH(D284,Lists!$C$5:$C$29,0)),1)*IF(F284="",1,F284))</f>
        <v/>
      </c>
    </row>
    <row r="285" customFormat="false" ht="15" hidden="false" customHeight="false" outlineLevel="0" collapsed="false">
      <c r="A285" s="31"/>
      <c r="B285" s="21"/>
      <c r="C285" s="21"/>
      <c r="D285" s="21"/>
      <c r="E285" s="32"/>
      <c r="F285" s="40"/>
      <c r="G285" s="41" t="str">
        <f aca="false">IF(E285="","",E285*IFERROR(INDEX(Lists!$D$5:$D$29,MATCH(D285,Lists!$C$5:$C$29,0)),1)*IF(F285="",1,F285))</f>
        <v/>
      </c>
    </row>
    <row r="286" customFormat="false" ht="15" hidden="false" customHeight="false" outlineLevel="0" collapsed="false">
      <c r="A286" s="31"/>
      <c r="B286" s="21"/>
      <c r="C286" s="21"/>
      <c r="D286" s="21"/>
      <c r="E286" s="32"/>
      <c r="F286" s="40"/>
      <c r="G286" s="41" t="str">
        <f aca="false">IF(E286="","",E286*IFERROR(INDEX(Lists!$D$5:$D$29,MATCH(D286,Lists!$C$5:$C$29,0)),1)*IF(F286="",1,F286))</f>
        <v/>
      </c>
    </row>
    <row r="287" customFormat="false" ht="15" hidden="false" customHeight="false" outlineLevel="0" collapsed="false">
      <c r="A287" s="31"/>
      <c r="B287" s="21"/>
      <c r="C287" s="21"/>
      <c r="D287" s="21"/>
      <c r="E287" s="32"/>
      <c r="F287" s="40"/>
      <c r="G287" s="41" t="str">
        <f aca="false">IF(E287="","",E287*IFERROR(INDEX(Lists!$D$5:$D$29,MATCH(D287,Lists!$C$5:$C$29,0)),1)*IF(F287="",1,F287))</f>
        <v/>
      </c>
    </row>
    <row r="288" customFormat="false" ht="15" hidden="false" customHeight="false" outlineLevel="0" collapsed="false">
      <c r="A288" s="31"/>
      <c r="B288" s="21"/>
      <c r="C288" s="21"/>
      <c r="D288" s="21"/>
      <c r="E288" s="32"/>
      <c r="F288" s="40"/>
      <c r="G288" s="41" t="str">
        <f aca="false">IF(E288="","",E288*IFERROR(INDEX(Lists!$D$5:$D$29,MATCH(D288,Lists!$C$5:$C$29,0)),1)*IF(F288="",1,F288))</f>
        <v/>
      </c>
    </row>
    <row r="289" customFormat="false" ht="15" hidden="false" customHeight="false" outlineLevel="0" collapsed="false">
      <c r="A289" s="31"/>
      <c r="B289" s="21"/>
      <c r="C289" s="21"/>
      <c r="D289" s="21"/>
      <c r="E289" s="32"/>
      <c r="F289" s="40"/>
      <c r="G289" s="41" t="str">
        <f aca="false">IF(E289="","",E289*IFERROR(INDEX(Lists!$D$5:$D$29,MATCH(D289,Lists!$C$5:$C$29,0)),1)*IF(F289="",1,F289))</f>
        <v/>
      </c>
    </row>
    <row r="290" customFormat="false" ht="15" hidden="false" customHeight="false" outlineLevel="0" collapsed="false">
      <c r="A290" s="31"/>
      <c r="B290" s="21"/>
      <c r="C290" s="21"/>
      <c r="D290" s="21"/>
      <c r="E290" s="32"/>
      <c r="F290" s="40"/>
      <c r="G290" s="41" t="str">
        <f aca="false">IF(E290="","",E290*IFERROR(INDEX(Lists!$D$5:$D$29,MATCH(D290,Lists!$C$5:$C$29,0)),1)*IF(F290="",1,F290))</f>
        <v/>
      </c>
    </row>
    <row r="291" customFormat="false" ht="15" hidden="false" customHeight="false" outlineLevel="0" collapsed="false">
      <c r="A291" s="31"/>
      <c r="B291" s="21"/>
      <c r="C291" s="21"/>
      <c r="D291" s="21"/>
      <c r="E291" s="32"/>
      <c r="F291" s="40"/>
      <c r="G291" s="41" t="str">
        <f aca="false">IF(E291="","",E291*IFERROR(INDEX(Lists!$D$5:$D$29,MATCH(D291,Lists!$C$5:$C$29,0)),1)*IF(F291="",1,F291))</f>
        <v/>
      </c>
    </row>
    <row r="292" customFormat="false" ht="15" hidden="false" customHeight="false" outlineLevel="0" collapsed="false">
      <c r="A292" s="31"/>
      <c r="B292" s="21"/>
      <c r="C292" s="21"/>
      <c r="D292" s="21"/>
      <c r="E292" s="32"/>
      <c r="F292" s="40"/>
      <c r="G292" s="41" t="str">
        <f aca="false">IF(E292="","",E292*IFERROR(INDEX(Lists!$D$5:$D$29,MATCH(D292,Lists!$C$5:$C$29,0)),1)*IF(F292="",1,F292))</f>
        <v/>
      </c>
    </row>
    <row r="293" customFormat="false" ht="15" hidden="false" customHeight="false" outlineLevel="0" collapsed="false">
      <c r="A293" s="31"/>
      <c r="B293" s="21"/>
      <c r="C293" s="21"/>
      <c r="D293" s="21"/>
      <c r="E293" s="32"/>
      <c r="F293" s="40"/>
      <c r="G293" s="41" t="str">
        <f aca="false">IF(E293="","",E293*IFERROR(INDEX(Lists!$D$5:$D$29,MATCH(D293,Lists!$C$5:$C$29,0)),1)*IF(F293="",1,F293))</f>
        <v/>
      </c>
    </row>
    <row r="294" customFormat="false" ht="15" hidden="false" customHeight="false" outlineLevel="0" collapsed="false">
      <c r="A294" s="31"/>
      <c r="B294" s="21"/>
      <c r="C294" s="21"/>
      <c r="D294" s="21"/>
      <c r="E294" s="32"/>
      <c r="F294" s="40"/>
      <c r="G294" s="41" t="str">
        <f aca="false">IF(E294="","",E294*IFERROR(INDEX(Lists!$D$5:$D$29,MATCH(D294,Lists!$C$5:$C$29,0)),1)*IF(F294="",1,F294))</f>
        <v/>
      </c>
    </row>
    <row r="295" customFormat="false" ht="15" hidden="false" customHeight="false" outlineLevel="0" collapsed="false">
      <c r="A295" s="31"/>
      <c r="B295" s="21"/>
      <c r="C295" s="21"/>
      <c r="D295" s="21"/>
      <c r="E295" s="32"/>
      <c r="F295" s="40"/>
      <c r="G295" s="41" t="str">
        <f aca="false">IF(E295="","",E295*IFERROR(INDEX(Lists!$D$5:$D$29,MATCH(D295,Lists!$C$5:$C$29,0)),1)*IF(F295="",1,F295))</f>
        <v/>
      </c>
    </row>
    <row r="296" customFormat="false" ht="15" hidden="false" customHeight="false" outlineLevel="0" collapsed="false">
      <c r="A296" s="31"/>
      <c r="B296" s="21"/>
      <c r="C296" s="21"/>
      <c r="D296" s="21"/>
      <c r="E296" s="32"/>
      <c r="F296" s="40"/>
      <c r="G296" s="41" t="str">
        <f aca="false">IF(E296="","",E296*IFERROR(INDEX(Lists!$D$5:$D$29,MATCH(D296,Lists!$C$5:$C$29,0)),1)*IF(F296="",1,F296))</f>
        <v/>
      </c>
    </row>
    <row r="297" customFormat="false" ht="15" hidden="false" customHeight="false" outlineLevel="0" collapsed="false">
      <c r="A297" s="31"/>
      <c r="B297" s="21"/>
      <c r="C297" s="21"/>
      <c r="D297" s="21"/>
      <c r="E297" s="32"/>
      <c r="F297" s="40"/>
      <c r="G297" s="41" t="str">
        <f aca="false">IF(E297="","",E297*IFERROR(INDEX(Lists!$D$5:$D$29,MATCH(D297,Lists!$C$5:$C$29,0)),1)*IF(F297="",1,F297))</f>
        <v/>
      </c>
    </row>
    <row r="298" customFormat="false" ht="15" hidden="false" customHeight="false" outlineLevel="0" collapsed="false">
      <c r="A298" s="31"/>
      <c r="B298" s="21"/>
      <c r="C298" s="21"/>
      <c r="D298" s="21"/>
      <c r="E298" s="32"/>
      <c r="F298" s="40"/>
      <c r="G298" s="41" t="str">
        <f aca="false">IF(E298="","",E298*IFERROR(INDEX(Lists!$D$5:$D$29,MATCH(D298,Lists!$C$5:$C$29,0)),1)*IF(F298="",1,F298))</f>
        <v/>
      </c>
    </row>
    <row r="299" customFormat="false" ht="15" hidden="false" customHeight="false" outlineLevel="0" collapsed="false">
      <c r="A299" s="31"/>
      <c r="B299" s="21"/>
      <c r="C299" s="21"/>
      <c r="D299" s="21"/>
      <c r="E299" s="32"/>
      <c r="F299" s="40"/>
      <c r="G299" s="41" t="str">
        <f aca="false">IF(E299="","",E299*IFERROR(INDEX(Lists!$D$5:$D$29,MATCH(D299,Lists!$C$5:$C$29,0)),1)*IF(F299="",1,F299))</f>
        <v/>
      </c>
    </row>
    <row r="300" customFormat="false" ht="15" hidden="false" customHeight="false" outlineLevel="0" collapsed="false">
      <c r="A300" s="31"/>
      <c r="B300" s="21"/>
      <c r="C300" s="21"/>
      <c r="D300" s="21"/>
      <c r="E300" s="32"/>
      <c r="F300" s="40"/>
      <c r="G300" s="41" t="str">
        <f aca="false">IF(E300="","",E300*IFERROR(INDEX(Lists!$D$5:$D$29,MATCH(D300,Lists!$C$5:$C$29,0)),1)*IF(F300="",1,F300))</f>
        <v/>
      </c>
    </row>
    <row r="301" customFormat="false" ht="15" hidden="false" customHeight="false" outlineLevel="0" collapsed="false">
      <c r="A301" s="31"/>
      <c r="B301" s="21"/>
      <c r="C301" s="21"/>
      <c r="D301" s="21"/>
      <c r="E301" s="32"/>
      <c r="F301" s="40"/>
      <c r="G301" s="41" t="str">
        <f aca="false">IF(E301="","",E301*IFERROR(INDEX(Lists!$D$5:$D$29,MATCH(D301,Lists!$C$5:$C$29,0)),1)*IF(F301="",1,F301))</f>
        <v/>
      </c>
    </row>
    <row r="302" customFormat="false" ht="15" hidden="false" customHeight="false" outlineLevel="0" collapsed="false">
      <c r="A302" s="31"/>
      <c r="B302" s="21"/>
      <c r="C302" s="21"/>
      <c r="D302" s="21"/>
      <c r="E302" s="32"/>
      <c r="F302" s="40"/>
      <c r="G302" s="41" t="str">
        <f aca="false">IF(E302="","",E302*IFERROR(INDEX(Lists!$D$5:$D$29,MATCH(D302,Lists!$C$5:$C$29,0)),1)*IF(F302="",1,F302))</f>
        <v/>
      </c>
    </row>
    <row r="303" customFormat="false" ht="15" hidden="false" customHeight="false" outlineLevel="0" collapsed="false">
      <c r="A303" s="31"/>
      <c r="B303" s="21"/>
      <c r="C303" s="21"/>
      <c r="D303" s="21"/>
      <c r="E303" s="32"/>
      <c r="F303" s="40"/>
      <c r="G303" s="41" t="str">
        <f aca="false">IF(E303="","",E303*IFERROR(INDEX(Lists!$D$5:$D$29,MATCH(D303,Lists!$C$5:$C$29,0)),1)*IF(F303="",1,F303))</f>
        <v/>
      </c>
    </row>
    <row r="304" customFormat="false" ht="15" hidden="false" customHeight="false" outlineLevel="0" collapsed="false">
      <c r="A304" s="31"/>
      <c r="B304" s="21"/>
      <c r="C304" s="21"/>
      <c r="D304" s="21"/>
      <c r="E304" s="32"/>
      <c r="F304" s="40"/>
      <c r="G304" s="41" t="str">
        <f aca="false">IF(E304="","",E304*IFERROR(INDEX(Lists!$D$5:$D$29,MATCH(D304,Lists!$C$5:$C$29,0)),1)*IF(F304="",1,F304))</f>
        <v/>
      </c>
    </row>
    <row r="305" customFormat="false" ht="15" hidden="false" customHeight="false" outlineLevel="0" collapsed="false">
      <c r="A305" s="31"/>
      <c r="B305" s="21"/>
      <c r="C305" s="21"/>
      <c r="D305" s="21"/>
      <c r="E305" s="32"/>
      <c r="F305" s="40"/>
      <c r="G305" s="41" t="str">
        <f aca="false">IF(E305="","",E305*IFERROR(INDEX(Lists!$D$5:$D$29,MATCH(D305,Lists!$C$5:$C$29,0)),1)*IF(F305="",1,F305))</f>
        <v/>
      </c>
    </row>
    <row r="306" customFormat="false" ht="15" hidden="false" customHeight="false" outlineLevel="0" collapsed="false">
      <c r="A306" s="31"/>
      <c r="B306" s="21"/>
      <c r="C306" s="21"/>
      <c r="D306" s="21"/>
      <c r="E306" s="32"/>
      <c r="F306" s="40"/>
      <c r="G306" s="41" t="str">
        <f aca="false">IF(E306="","",E306*IFERROR(INDEX(Lists!$D$5:$D$29,MATCH(D306,Lists!$C$5:$C$29,0)),1)*IF(F306="",1,F306))</f>
        <v/>
      </c>
    </row>
    <row r="307" customFormat="false" ht="15" hidden="false" customHeight="false" outlineLevel="0" collapsed="false">
      <c r="A307" s="31"/>
      <c r="B307" s="21"/>
      <c r="C307" s="21"/>
      <c r="D307" s="21"/>
      <c r="E307" s="32"/>
      <c r="F307" s="40"/>
      <c r="G307" s="41" t="str">
        <f aca="false">IF(E307="","",E307*IFERROR(INDEX(Lists!$D$5:$D$29,MATCH(D307,Lists!$C$5:$C$29,0)),1)*IF(F307="",1,F307))</f>
        <v/>
      </c>
    </row>
    <row r="308" customFormat="false" ht="15" hidden="false" customHeight="false" outlineLevel="0" collapsed="false">
      <c r="A308" s="31"/>
      <c r="B308" s="21"/>
      <c r="C308" s="21"/>
      <c r="D308" s="21"/>
      <c r="E308" s="32"/>
      <c r="F308" s="40"/>
      <c r="G308" s="41" t="str">
        <f aca="false">IF(E308="","",E308*IFERROR(INDEX(Lists!$D$5:$D$29,MATCH(D308,Lists!$C$5:$C$29,0)),1)*IF(F308="",1,F308))</f>
        <v/>
      </c>
    </row>
    <row r="309" customFormat="false" ht="15" hidden="false" customHeight="false" outlineLevel="0" collapsed="false">
      <c r="A309" s="31"/>
      <c r="B309" s="21"/>
      <c r="C309" s="21"/>
      <c r="D309" s="21"/>
      <c r="E309" s="32"/>
      <c r="F309" s="40"/>
      <c r="G309" s="41" t="str">
        <f aca="false">IF(E309="","",E309*IFERROR(INDEX(Lists!$D$5:$D$29,MATCH(D309,Lists!$C$5:$C$29,0)),1)*IF(F309="",1,F309))</f>
        <v/>
      </c>
    </row>
    <row r="310" customFormat="false" ht="15" hidden="false" customHeight="false" outlineLevel="0" collapsed="false">
      <c r="A310" s="31"/>
      <c r="B310" s="21"/>
      <c r="C310" s="21"/>
      <c r="D310" s="21"/>
      <c r="E310" s="32"/>
      <c r="F310" s="40"/>
      <c r="G310" s="41" t="str">
        <f aca="false">IF(E310="","",E310*IFERROR(INDEX(Lists!$D$5:$D$29,MATCH(D310,Lists!$C$5:$C$29,0)),1)*IF(F310="",1,F310))</f>
        <v/>
      </c>
    </row>
    <row r="311" customFormat="false" ht="15" hidden="false" customHeight="false" outlineLevel="0" collapsed="false">
      <c r="A311" s="31"/>
      <c r="B311" s="21"/>
      <c r="C311" s="21"/>
      <c r="D311" s="21"/>
      <c r="E311" s="32"/>
      <c r="F311" s="40"/>
      <c r="G311" s="41" t="str">
        <f aca="false">IF(E311="","",E311*IFERROR(INDEX(Lists!$D$5:$D$29,MATCH(D311,Lists!$C$5:$C$29,0)),1)*IF(F311="",1,F311))</f>
        <v/>
      </c>
    </row>
    <row r="312" customFormat="false" ht="15" hidden="false" customHeight="false" outlineLevel="0" collapsed="false">
      <c r="A312" s="31"/>
      <c r="B312" s="21"/>
      <c r="C312" s="21"/>
      <c r="D312" s="21"/>
      <c r="E312" s="32"/>
      <c r="F312" s="40"/>
      <c r="G312" s="41" t="str">
        <f aca="false">IF(E312="","",E312*IFERROR(INDEX(Lists!$D$5:$D$29,MATCH(D312,Lists!$C$5:$C$29,0)),1)*IF(F312="",1,F312))</f>
        <v/>
      </c>
    </row>
    <row r="313" customFormat="false" ht="15" hidden="false" customHeight="false" outlineLevel="0" collapsed="false">
      <c r="A313" s="31"/>
      <c r="B313" s="21"/>
      <c r="C313" s="21"/>
      <c r="D313" s="21"/>
      <c r="E313" s="32"/>
      <c r="F313" s="40"/>
      <c r="G313" s="41" t="str">
        <f aca="false">IF(E313="","",E313*IFERROR(INDEX(Lists!$D$5:$D$29,MATCH(D313,Lists!$C$5:$C$29,0)),1)*IF(F313="",1,F313))</f>
        <v/>
      </c>
    </row>
    <row r="314" customFormat="false" ht="15" hidden="false" customHeight="false" outlineLevel="0" collapsed="false">
      <c r="A314" s="31"/>
      <c r="B314" s="21"/>
      <c r="C314" s="21"/>
      <c r="D314" s="21"/>
      <c r="E314" s="32"/>
      <c r="F314" s="40"/>
      <c r="G314" s="41" t="str">
        <f aca="false">IF(E314="","",E314*IFERROR(INDEX(Lists!$D$5:$D$29,MATCH(D314,Lists!$C$5:$C$29,0)),1)*IF(F314="",1,F314))</f>
        <v/>
      </c>
    </row>
    <row r="315" customFormat="false" ht="15" hidden="false" customHeight="false" outlineLevel="0" collapsed="false">
      <c r="A315" s="31"/>
      <c r="B315" s="21"/>
      <c r="C315" s="21"/>
      <c r="D315" s="21"/>
      <c r="E315" s="32"/>
      <c r="F315" s="40"/>
      <c r="G315" s="41" t="str">
        <f aca="false">IF(E315="","",E315*IFERROR(INDEX(Lists!$D$5:$D$29,MATCH(D315,Lists!$C$5:$C$29,0)),1)*IF(F315="",1,F315))</f>
        <v/>
      </c>
    </row>
    <row r="316" customFormat="false" ht="15" hidden="false" customHeight="false" outlineLevel="0" collapsed="false">
      <c r="A316" s="31"/>
      <c r="B316" s="21"/>
      <c r="C316" s="21"/>
      <c r="D316" s="21"/>
      <c r="E316" s="32"/>
      <c r="F316" s="40"/>
      <c r="G316" s="41" t="str">
        <f aca="false">IF(E316="","",E316*IFERROR(INDEX(Lists!$D$5:$D$29,MATCH(D316,Lists!$C$5:$C$29,0)),1)*IF(F316="",1,F316))</f>
        <v/>
      </c>
    </row>
    <row r="317" customFormat="false" ht="15" hidden="false" customHeight="false" outlineLevel="0" collapsed="false">
      <c r="A317" s="31"/>
      <c r="B317" s="21"/>
      <c r="C317" s="21"/>
      <c r="D317" s="21"/>
      <c r="E317" s="32"/>
      <c r="F317" s="40"/>
      <c r="G317" s="41" t="str">
        <f aca="false">IF(E317="","",E317*IFERROR(INDEX(Lists!$D$5:$D$29,MATCH(D317,Lists!$C$5:$C$29,0)),1)*IF(F317="",1,F317))</f>
        <v/>
      </c>
    </row>
    <row r="318" customFormat="false" ht="15" hidden="false" customHeight="false" outlineLevel="0" collapsed="false">
      <c r="A318" s="31"/>
      <c r="B318" s="21"/>
      <c r="C318" s="21"/>
      <c r="D318" s="21"/>
      <c r="E318" s="32"/>
      <c r="F318" s="40"/>
      <c r="G318" s="41" t="str">
        <f aca="false">IF(E318="","",E318*IFERROR(INDEX(Lists!$D$5:$D$29,MATCH(D318,Lists!$C$5:$C$29,0)),1)*IF(F318="",1,F318))</f>
        <v/>
      </c>
    </row>
    <row r="319" customFormat="false" ht="15" hidden="false" customHeight="false" outlineLevel="0" collapsed="false">
      <c r="A319" s="31"/>
      <c r="B319" s="21"/>
      <c r="C319" s="21"/>
      <c r="D319" s="21"/>
      <c r="E319" s="32"/>
      <c r="F319" s="40"/>
      <c r="G319" s="41" t="str">
        <f aca="false">IF(E319="","",E319*IFERROR(INDEX(Lists!$D$5:$D$29,MATCH(D319,Lists!$C$5:$C$29,0)),1)*IF(F319="",1,F319))</f>
        <v/>
      </c>
    </row>
    <row r="320" customFormat="false" ht="15" hidden="false" customHeight="false" outlineLevel="0" collapsed="false">
      <c r="A320" s="31"/>
      <c r="B320" s="21"/>
      <c r="C320" s="21"/>
      <c r="D320" s="21"/>
      <c r="E320" s="32"/>
      <c r="F320" s="40"/>
      <c r="G320" s="41" t="str">
        <f aca="false">IF(E320="","",E320*IFERROR(INDEX(Lists!$D$5:$D$29,MATCH(D320,Lists!$C$5:$C$29,0)),1)*IF(F320="",1,F320))</f>
        <v/>
      </c>
    </row>
    <row r="321" customFormat="false" ht="15" hidden="false" customHeight="false" outlineLevel="0" collapsed="false">
      <c r="A321" s="31"/>
      <c r="B321" s="21"/>
      <c r="C321" s="21"/>
      <c r="D321" s="21"/>
      <c r="E321" s="32"/>
      <c r="F321" s="40"/>
      <c r="G321" s="41" t="str">
        <f aca="false">IF(E321="","",E321*IFERROR(INDEX(Lists!$D$5:$D$29,MATCH(D321,Lists!$C$5:$C$29,0)),1)*IF(F321="",1,F321))</f>
        <v/>
      </c>
    </row>
    <row r="322" customFormat="false" ht="15" hidden="false" customHeight="false" outlineLevel="0" collapsed="false">
      <c r="A322" s="31"/>
      <c r="B322" s="21"/>
      <c r="C322" s="21"/>
      <c r="D322" s="21"/>
      <c r="E322" s="32"/>
      <c r="F322" s="40"/>
      <c r="G322" s="41" t="str">
        <f aca="false">IF(E322="","",E322*IFERROR(INDEX(Lists!$D$5:$D$29,MATCH(D322,Lists!$C$5:$C$29,0)),1)*IF(F322="",1,F322))</f>
        <v/>
      </c>
    </row>
    <row r="323" customFormat="false" ht="15" hidden="false" customHeight="false" outlineLevel="0" collapsed="false">
      <c r="A323" s="31"/>
      <c r="B323" s="21"/>
      <c r="C323" s="21"/>
      <c r="D323" s="21"/>
      <c r="E323" s="32"/>
      <c r="F323" s="40"/>
      <c r="G323" s="41" t="str">
        <f aca="false">IF(E323="","",E323*IFERROR(INDEX(Lists!$D$5:$D$29,MATCH(D323,Lists!$C$5:$C$29,0)),1)*IF(F323="",1,F323))</f>
        <v/>
      </c>
    </row>
    <row r="324" customFormat="false" ht="15" hidden="false" customHeight="false" outlineLevel="0" collapsed="false">
      <c r="A324" s="31"/>
      <c r="B324" s="21"/>
      <c r="C324" s="21"/>
      <c r="D324" s="21"/>
      <c r="E324" s="32"/>
      <c r="F324" s="40"/>
      <c r="G324" s="41" t="str">
        <f aca="false">IF(E324="","",E324*IFERROR(INDEX(Lists!$D$5:$D$29,MATCH(D324,Lists!$C$5:$C$29,0)),1)*IF(F324="",1,F324))</f>
        <v/>
      </c>
    </row>
    <row r="325" customFormat="false" ht="15" hidden="false" customHeight="false" outlineLevel="0" collapsed="false">
      <c r="A325" s="31"/>
      <c r="B325" s="21"/>
      <c r="C325" s="21"/>
      <c r="D325" s="21"/>
      <c r="E325" s="32"/>
      <c r="F325" s="40"/>
      <c r="G325" s="41" t="str">
        <f aca="false">IF(E325="","",E325*IFERROR(INDEX(Lists!$D$5:$D$29,MATCH(D325,Lists!$C$5:$C$29,0)),1)*IF(F325="",1,F325))</f>
        <v/>
      </c>
    </row>
    <row r="326" customFormat="false" ht="15" hidden="false" customHeight="false" outlineLevel="0" collapsed="false">
      <c r="A326" s="31"/>
      <c r="B326" s="21"/>
      <c r="C326" s="21"/>
      <c r="D326" s="21"/>
      <c r="E326" s="32"/>
      <c r="F326" s="40"/>
      <c r="G326" s="41" t="str">
        <f aca="false">IF(E326="","",E326*IFERROR(INDEX(Lists!$D$5:$D$29,MATCH(D326,Lists!$C$5:$C$29,0)),1)*IF(F326="",1,F326))</f>
        <v/>
      </c>
    </row>
    <row r="327" customFormat="false" ht="15" hidden="false" customHeight="false" outlineLevel="0" collapsed="false">
      <c r="A327" s="31"/>
      <c r="B327" s="21"/>
      <c r="C327" s="21"/>
      <c r="D327" s="21"/>
      <c r="E327" s="32"/>
      <c r="F327" s="40"/>
      <c r="G327" s="41" t="str">
        <f aca="false">IF(E327="","",E327*IFERROR(INDEX(Lists!$D$5:$D$29,MATCH(D327,Lists!$C$5:$C$29,0)),1)*IF(F327="",1,F327))</f>
        <v/>
      </c>
    </row>
    <row r="328" customFormat="false" ht="15" hidden="false" customHeight="false" outlineLevel="0" collapsed="false">
      <c r="A328" s="31"/>
      <c r="B328" s="21"/>
      <c r="C328" s="21"/>
      <c r="D328" s="21"/>
      <c r="E328" s="32"/>
      <c r="F328" s="40"/>
      <c r="G328" s="41" t="str">
        <f aca="false">IF(E328="","",E328*IFERROR(INDEX(Lists!$D$5:$D$29,MATCH(D328,Lists!$C$5:$C$29,0)),1)*IF(F328="",1,F328))</f>
        <v/>
      </c>
    </row>
    <row r="329" customFormat="false" ht="15" hidden="false" customHeight="false" outlineLevel="0" collapsed="false">
      <c r="A329" s="31"/>
      <c r="B329" s="21"/>
      <c r="C329" s="21"/>
      <c r="D329" s="21"/>
      <c r="E329" s="32"/>
      <c r="F329" s="40"/>
      <c r="G329" s="41" t="str">
        <f aca="false">IF(E329="","",E329*IFERROR(INDEX(Lists!$D$5:$D$29,MATCH(D329,Lists!$C$5:$C$29,0)),1)*IF(F329="",1,F329))</f>
        <v/>
      </c>
    </row>
    <row r="330" customFormat="false" ht="15" hidden="false" customHeight="false" outlineLevel="0" collapsed="false">
      <c r="A330" s="31"/>
      <c r="B330" s="21"/>
      <c r="C330" s="21"/>
      <c r="D330" s="21"/>
      <c r="E330" s="32"/>
      <c r="F330" s="40"/>
      <c r="G330" s="41" t="str">
        <f aca="false">IF(E330="","",E330*IFERROR(INDEX(Lists!$D$5:$D$29,MATCH(D330,Lists!$C$5:$C$29,0)),1)*IF(F330="",1,F330))</f>
        <v/>
      </c>
    </row>
    <row r="331" customFormat="false" ht="15" hidden="false" customHeight="false" outlineLevel="0" collapsed="false">
      <c r="A331" s="31"/>
      <c r="B331" s="21"/>
      <c r="C331" s="21"/>
      <c r="D331" s="21"/>
      <c r="E331" s="32"/>
      <c r="F331" s="40"/>
      <c r="G331" s="41" t="str">
        <f aca="false">IF(E331="","",E331*IFERROR(INDEX(Lists!$D$5:$D$29,MATCH(D331,Lists!$C$5:$C$29,0)),1)*IF(F331="",1,F331))</f>
        <v/>
      </c>
    </row>
    <row r="332" customFormat="false" ht="15" hidden="false" customHeight="false" outlineLevel="0" collapsed="false">
      <c r="A332" s="31"/>
      <c r="B332" s="21"/>
      <c r="C332" s="21"/>
      <c r="D332" s="21"/>
      <c r="E332" s="32"/>
      <c r="F332" s="40"/>
      <c r="G332" s="41" t="str">
        <f aca="false">IF(E332="","",E332*IFERROR(INDEX(Lists!$D$5:$D$29,MATCH(D332,Lists!$C$5:$C$29,0)),1)*IF(F332="",1,F332))</f>
        <v/>
      </c>
    </row>
    <row r="333" customFormat="false" ht="15" hidden="false" customHeight="false" outlineLevel="0" collapsed="false">
      <c r="A333" s="31"/>
      <c r="B333" s="21"/>
      <c r="C333" s="21"/>
      <c r="D333" s="21"/>
      <c r="E333" s="32"/>
      <c r="F333" s="40"/>
      <c r="G333" s="41" t="str">
        <f aca="false">IF(E333="","",E333*IFERROR(INDEX(Lists!$D$5:$D$29,MATCH(D333,Lists!$C$5:$C$29,0)),1)*IF(F333="",1,F333))</f>
        <v/>
      </c>
    </row>
    <row r="334" customFormat="false" ht="15" hidden="false" customHeight="false" outlineLevel="0" collapsed="false">
      <c r="A334" s="31"/>
      <c r="B334" s="21"/>
      <c r="C334" s="21"/>
      <c r="D334" s="21"/>
      <c r="E334" s="32"/>
      <c r="F334" s="40"/>
      <c r="G334" s="41" t="str">
        <f aca="false">IF(E334="","",E334*IFERROR(INDEX(Lists!$D$5:$D$29,MATCH(D334,Lists!$C$5:$C$29,0)),1)*IF(F334="",1,F334))</f>
        <v/>
      </c>
    </row>
    <row r="335" customFormat="false" ht="15" hidden="false" customHeight="false" outlineLevel="0" collapsed="false">
      <c r="A335" s="31"/>
      <c r="B335" s="21"/>
      <c r="C335" s="21"/>
      <c r="D335" s="21"/>
      <c r="E335" s="32"/>
      <c r="F335" s="40"/>
      <c r="G335" s="41" t="str">
        <f aca="false">IF(E335="","",E335*IFERROR(INDEX(Lists!$D$5:$D$29,MATCH(D335,Lists!$C$5:$C$29,0)),1)*IF(F335="",1,F335))</f>
        <v/>
      </c>
    </row>
    <row r="336" customFormat="false" ht="15" hidden="false" customHeight="false" outlineLevel="0" collapsed="false">
      <c r="A336" s="31"/>
      <c r="B336" s="21"/>
      <c r="C336" s="21"/>
      <c r="D336" s="21"/>
      <c r="E336" s="32"/>
      <c r="F336" s="40"/>
      <c r="G336" s="41" t="str">
        <f aca="false">IF(E336="","",E336*IFERROR(INDEX(Lists!$D$5:$D$29,MATCH(D336,Lists!$C$5:$C$29,0)),1)*IF(F336="",1,F336))</f>
        <v/>
      </c>
    </row>
    <row r="337" customFormat="false" ht="15" hidden="false" customHeight="false" outlineLevel="0" collapsed="false">
      <c r="A337" s="31"/>
      <c r="B337" s="21"/>
      <c r="C337" s="21"/>
      <c r="D337" s="21"/>
      <c r="E337" s="32"/>
      <c r="F337" s="40"/>
      <c r="G337" s="41" t="str">
        <f aca="false">IF(E337="","",E337*IFERROR(INDEX(Lists!$D$5:$D$29,MATCH(D337,Lists!$C$5:$C$29,0)),1)*IF(F337="",1,F337))</f>
        <v/>
      </c>
    </row>
    <row r="338" customFormat="false" ht="15" hidden="false" customHeight="false" outlineLevel="0" collapsed="false">
      <c r="A338" s="31"/>
      <c r="B338" s="21"/>
      <c r="C338" s="21"/>
      <c r="D338" s="21"/>
      <c r="E338" s="32"/>
      <c r="F338" s="40"/>
      <c r="G338" s="41" t="str">
        <f aca="false">IF(E338="","",E338*IFERROR(INDEX(Lists!$D$5:$D$29,MATCH(D338,Lists!$C$5:$C$29,0)),1)*IF(F338="",1,F338))</f>
        <v/>
      </c>
    </row>
    <row r="339" customFormat="false" ht="15" hidden="false" customHeight="false" outlineLevel="0" collapsed="false">
      <c r="A339" s="31"/>
      <c r="B339" s="21"/>
      <c r="C339" s="21"/>
      <c r="D339" s="21"/>
      <c r="E339" s="32"/>
      <c r="F339" s="40"/>
      <c r="G339" s="41" t="str">
        <f aca="false">IF(E339="","",E339*IFERROR(INDEX(Lists!$D$5:$D$29,MATCH(D339,Lists!$C$5:$C$29,0)),1)*IF(F339="",1,F339))</f>
        <v/>
      </c>
    </row>
    <row r="340" customFormat="false" ht="15" hidden="false" customHeight="false" outlineLevel="0" collapsed="false">
      <c r="A340" s="31"/>
      <c r="B340" s="21"/>
      <c r="C340" s="21"/>
      <c r="D340" s="21"/>
      <c r="E340" s="32"/>
      <c r="F340" s="40"/>
      <c r="G340" s="41" t="str">
        <f aca="false">IF(E340="","",E340*IFERROR(INDEX(Lists!$D$5:$D$29,MATCH(D340,Lists!$C$5:$C$29,0)),1)*IF(F340="",1,F340))</f>
        <v/>
      </c>
    </row>
    <row r="341" customFormat="false" ht="15" hidden="false" customHeight="false" outlineLevel="0" collapsed="false">
      <c r="A341" s="31"/>
      <c r="B341" s="21"/>
      <c r="C341" s="21"/>
      <c r="D341" s="21"/>
      <c r="E341" s="32"/>
      <c r="F341" s="40"/>
      <c r="G341" s="41" t="str">
        <f aca="false">IF(E341="","",E341*IFERROR(INDEX(Lists!$D$5:$D$29,MATCH(D341,Lists!$C$5:$C$29,0)),1)*IF(F341="",1,F341))</f>
        <v/>
      </c>
    </row>
    <row r="342" customFormat="false" ht="15" hidden="false" customHeight="false" outlineLevel="0" collapsed="false">
      <c r="A342" s="31"/>
      <c r="B342" s="21"/>
      <c r="C342" s="21"/>
      <c r="D342" s="21"/>
      <c r="E342" s="32"/>
      <c r="F342" s="40"/>
      <c r="G342" s="41" t="str">
        <f aca="false">IF(E342="","",E342*IFERROR(INDEX(Lists!$D$5:$D$29,MATCH(D342,Lists!$C$5:$C$29,0)),1)*IF(F342="",1,F342))</f>
        <v/>
      </c>
    </row>
    <row r="343" customFormat="false" ht="15" hidden="false" customHeight="false" outlineLevel="0" collapsed="false">
      <c r="A343" s="31"/>
      <c r="B343" s="21"/>
      <c r="C343" s="21"/>
      <c r="D343" s="21"/>
      <c r="E343" s="32"/>
      <c r="F343" s="40"/>
      <c r="G343" s="41" t="str">
        <f aca="false">IF(E343="","",E343*IFERROR(INDEX(Lists!$D$5:$D$29,MATCH(D343,Lists!$C$5:$C$29,0)),1)*IF(F343="",1,F343))</f>
        <v/>
      </c>
    </row>
    <row r="344" customFormat="false" ht="15" hidden="false" customHeight="false" outlineLevel="0" collapsed="false">
      <c r="A344" s="31"/>
      <c r="B344" s="21"/>
      <c r="C344" s="21"/>
      <c r="D344" s="21"/>
      <c r="E344" s="32"/>
      <c r="F344" s="40"/>
      <c r="G344" s="41" t="str">
        <f aca="false">IF(E344="","",E344*IFERROR(INDEX(Lists!$D$5:$D$29,MATCH(D344,Lists!$C$5:$C$29,0)),1)*IF(F344="",1,F344))</f>
        <v/>
      </c>
    </row>
    <row r="345" customFormat="false" ht="15" hidden="false" customHeight="false" outlineLevel="0" collapsed="false">
      <c r="A345" s="31"/>
      <c r="B345" s="21"/>
      <c r="C345" s="21"/>
      <c r="D345" s="21"/>
      <c r="E345" s="32"/>
      <c r="F345" s="40"/>
      <c r="G345" s="41" t="str">
        <f aca="false">IF(E345="","",E345*IFERROR(INDEX(Lists!$D$5:$D$29,MATCH(D345,Lists!$C$5:$C$29,0)),1)*IF(F345="",1,F345))</f>
        <v/>
      </c>
    </row>
    <row r="346" customFormat="false" ht="15" hidden="false" customHeight="false" outlineLevel="0" collapsed="false">
      <c r="A346" s="31"/>
      <c r="B346" s="21"/>
      <c r="C346" s="21"/>
      <c r="D346" s="21"/>
      <c r="E346" s="32"/>
      <c r="F346" s="40"/>
      <c r="G346" s="41" t="str">
        <f aca="false">IF(E346="","",E346*IFERROR(INDEX(Lists!$D$5:$D$29,MATCH(D346,Lists!$C$5:$C$29,0)),1)*IF(F346="",1,F346))</f>
        <v/>
      </c>
    </row>
    <row r="347" customFormat="false" ht="15" hidden="false" customHeight="false" outlineLevel="0" collapsed="false">
      <c r="A347" s="31"/>
      <c r="B347" s="21"/>
      <c r="C347" s="21"/>
      <c r="D347" s="21"/>
      <c r="E347" s="32"/>
      <c r="F347" s="40"/>
      <c r="G347" s="41" t="str">
        <f aca="false">IF(E347="","",E347*IFERROR(INDEX(Lists!$D$5:$D$29,MATCH(D347,Lists!$C$5:$C$29,0)),1)*IF(F347="",1,F347))</f>
        <v/>
      </c>
    </row>
    <row r="348" customFormat="false" ht="15" hidden="false" customHeight="false" outlineLevel="0" collapsed="false">
      <c r="A348" s="31"/>
      <c r="B348" s="21"/>
      <c r="C348" s="21"/>
      <c r="D348" s="21"/>
      <c r="E348" s="32"/>
      <c r="F348" s="40"/>
      <c r="G348" s="41" t="str">
        <f aca="false">IF(E348="","",E348*IFERROR(INDEX(Lists!$D$5:$D$29,MATCH(D348,Lists!$C$5:$C$29,0)),1)*IF(F348="",1,F348))</f>
        <v/>
      </c>
    </row>
    <row r="349" customFormat="false" ht="15" hidden="false" customHeight="false" outlineLevel="0" collapsed="false">
      <c r="A349" s="31"/>
      <c r="B349" s="21"/>
      <c r="C349" s="21"/>
      <c r="D349" s="21"/>
      <c r="E349" s="32"/>
      <c r="F349" s="40"/>
      <c r="G349" s="41" t="str">
        <f aca="false">IF(E349="","",E349*IFERROR(INDEX(Lists!$D$5:$D$29,MATCH(D349,Lists!$C$5:$C$29,0)),1)*IF(F349="",1,F349))</f>
        <v/>
      </c>
    </row>
    <row r="350" customFormat="false" ht="15" hidden="false" customHeight="false" outlineLevel="0" collapsed="false">
      <c r="A350" s="31"/>
      <c r="B350" s="21"/>
      <c r="C350" s="21"/>
      <c r="D350" s="21"/>
      <c r="E350" s="32"/>
      <c r="F350" s="40"/>
      <c r="G350" s="41" t="str">
        <f aca="false">IF(E350="","",E350*IFERROR(INDEX(Lists!$D$5:$D$29,MATCH(D350,Lists!$C$5:$C$29,0)),1)*IF(F350="",1,F350))</f>
        <v/>
      </c>
    </row>
    <row r="351" customFormat="false" ht="15" hidden="false" customHeight="false" outlineLevel="0" collapsed="false">
      <c r="A351" s="31"/>
      <c r="B351" s="21"/>
      <c r="C351" s="21"/>
      <c r="D351" s="21"/>
      <c r="E351" s="32"/>
      <c r="F351" s="40"/>
      <c r="G351" s="41" t="str">
        <f aca="false">IF(E351="","",E351*IFERROR(INDEX(Lists!$D$5:$D$29,MATCH(D351,Lists!$C$5:$C$29,0)),1)*IF(F351="",1,F351))</f>
        <v/>
      </c>
    </row>
    <row r="352" customFormat="false" ht="15" hidden="false" customHeight="false" outlineLevel="0" collapsed="false">
      <c r="A352" s="31"/>
      <c r="B352" s="21"/>
      <c r="C352" s="21"/>
      <c r="D352" s="21"/>
      <c r="E352" s="32"/>
      <c r="F352" s="40"/>
      <c r="G352" s="41" t="str">
        <f aca="false">IF(E352="","",E352*IFERROR(INDEX(Lists!$D$5:$D$29,MATCH(D352,Lists!$C$5:$C$29,0)),1)*IF(F352="",1,F352))</f>
        <v/>
      </c>
    </row>
    <row r="353" customFormat="false" ht="15" hidden="false" customHeight="false" outlineLevel="0" collapsed="false">
      <c r="A353" s="31"/>
      <c r="B353" s="21"/>
      <c r="C353" s="21"/>
      <c r="D353" s="21"/>
      <c r="E353" s="32"/>
      <c r="F353" s="40"/>
      <c r="G353" s="41" t="str">
        <f aca="false">IF(E353="","",E353*IFERROR(INDEX(Lists!$D$5:$D$29,MATCH(D353,Lists!$C$5:$C$29,0)),1)*IF(F353="",1,F353))</f>
        <v/>
      </c>
    </row>
    <row r="354" customFormat="false" ht="15" hidden="false" customHeight="false" outlineLevel="0" collapsed="false">
      <c r="A354" s="31"/>
      <c r="B354" s="21"/>
      <c r="C354" s="21"/>
      <c r="D354" s="21"/>
      <c r="E354" s="32"/>
      <c r="F354" s="40"/>
      <c r="G354" s="41" t="str">
        <f aca="false">IF(E354="","",E354*IFERROR(INDEX(Lists!$D$5:$D$29,MATCH(D354,Lists!$C$5:$C$29,0)),1)*IF(F354="",1,F354))</f>
        <v/>
      </c>
    </row>
    <row r="355" customFormat="false" ht="15" hidden="false" customHeight="false" outlineLevel="0" collapsed="false">
      <c r="A355" s="31"/>
      <c r="B355" s="21"/>
      <c r="C355" s="21"/>
      <c r="D355" s="21"/>
      <c r="E355" s="32"/>
      <c r="F355" s="40"/>
      <c r="G355" s="41" t="str">
        <f aca="false">IF(E355="","",E355*IFERROR(INDEX(Lists!$D$5:$D$29,MATCH(D355,Lists!$C$5:$C$29,0)),1)*IF(F355="",1,F355))</f>
        <v/>
      </c>
    </row>
    <row r="356" customFormat="false" ht="15" hidden="false" customHeight="false" outlineLevel="0" collapsed="false">
      <c r="A356" s="31"/>
      <c r="B356" s="21"/>
      <c r="C356" s="21"/>
      <c r="D356" s="21"/>
      <c r="E356" s="32"/>
      <c r="F356" s="40"/>
      <c r="G356" s="41" t="str">
        <f aca="false">IF(E356="","",E356*IFERROR(INDEX(Lists!$D$5:$D$29,MATCH(D356,Lists!$C$5:$C$29,0)),1)*IF(F356="",1,F356))</f>
        <v/>
      </c>
    </row>
    <row r="357" customFormat="false" ht="15" hidden="false" customHeight="false" outlineLevel="0" collapsed="false">
      <c r="A357" s="31"/>
      <c r="B357" s="21"/>
      <c r="C357" s="21"/>
      <c r="D357" s="21"/>
      <c r="E357" s="32"/>
      <c r="F357" s="40"/>
      <c r="G357" s="41" t="str">
        <f aca="false">IF(E357="","",E357*IFERROR(INDEX(Lists!$D$5:$D$29,MATCH(D357,Lists!$C$5:$C$29,0)),1)*IF(F357="",1,F357))</f>
        <v/>
      </c>
    </row>
    <row r="358" customFormat="false" ht="15" hidden="false" customHeight="false" outlineLevel="0" collapsed="false">
      <c r="A358" s="31"/>
      <c r="B358" s="21"/>
      <c r="C358" s="21"/>
      <c r="D358" s="21"/>
      <c r="E358" s="32"/>
      <c r="F358" s="40"/>
      <c r="G358" s="41" t="str">
        <f aca="false">IF(E358="","",E358*IFERROR(INDEX(Lists!$D$5:$D$29,MATCH(D358,Lists!$C$5:$C$29,0)),1)*IF(F358="",1,F358))</f>
        <v/>
      </c>
    </row>
    <row r="359" customFormat="false" ht="15" hidden="false" customHeight="false" outlineLevel="0" collapsed="false">
      <c r="A359" s="31"/>
      <c r="B359" s="21"/>
      <c r="C359" s="21"/>
      <c r="D359" s="21"/>
      <c r="E359" s="32"/>
      <c r="F359" s="40"/>
      <c r="G359" s="41" t="str">
        <f aca="false">IF(E359="","",E359*IFERROR(INDEX(Lists!$D$5:$D$29,MATCH(D359,Lists!$C$5:$C$29,0)),1)*IF(F359="",1,F359))</f>
        <v/>
      </c>
    </row>
    <row r="360" customFormat="false" ht="15" hidden="false" customHeight="false" outlineLevel="0" collapsed="false">
      <c r="A360" s="31"/>
      <c r="B360" s="21"/>
      <c r="C360" s="21"/>
      <c r="D360" s="21"/>
      <c r="E360" s="32"/>
      <c r="F360" s="40"/>
      <c r="G360" s="41" t="str">
        <f aca="false">IF(E360="","",E360*IFERROR(INDEX(Lists!$D$5:$D$29,MATCH(D360,Lists!$C$5:$C$29,0)),1)*IF(F360="",1,F360))</f>
        <v/>
      </c>
    </row>
    <row r="361" customFormat="false" ht="15" hidden="false" customHeight="false" outlineLevel="0" collapsed="false">
      <c r="A361" s="31"/>
      <c r="B361" s="21"/>
      <c r="C361" s="21"/>
      <c r="D361" s="21"/>
      <c r="E361" s="32"/>
      <c r="F361" s="40"/>
      <c r="G361" s="41" t="str">
        <f aca="false">IF(E361="","",E361*IFERROR(INDEX(Lists!$D$5:$D$29,MATCH(D361,Lists!$C$5:$C$29,0)),1)*IF(F361="",1,F361))</f>
        <v/>
      </c>
    </row>
    <row r="362" customFormat="false" ht="15" hidden="false" customHeight="false" outlineLevel="0" collapsed="false">
      <c r="A362" s="31"/>
      <c r="B362" s="21"/>
      <c r="C362" s="21"/>
      <c r="D362" s="21"/>
      <c r="E362" s="32"/>
      <c r="F362" s="40"/>
      <c r="G362" s="41" t="str">
        <f aca="false">IF(E362="","",E362*IFERROR(INDEX(Lists!$D$5:$D$29,MATCH(D362,Lists!$C$5:$C$29,0)),1)*IF(F362="",1,F362))</f>
        <v/>
      </c>
    </row>
    <row r="363" customFormat="false" ht="15" hidden="false" customHeight="false" outlineLevel="0" collapsed="false">
      <c r="A363" s="31"/>
      <c r="B363" s="21"/>
      <c r="C363" s="21"/>
      <c r="D363" s="21"/>
      <c r="E363" s="32"/>
      <c r="F363" s="40"/>
      <c r="G363" s="41" t="str">
        <f aca="false">IF(E363="","",E363*IFERROR(INDEX(Lists!$D$5:$D$29,MATCH(D363,Lists!$C$5:$C$29,0)),1)*IF(F363="",1,F363))</f>
        <v/>
      </c>
    </row>
    <row r="364" customFormat="false" ht="15" hidden="false" customHeight="false" outlineLevel="0" collapsed="false">
      <c r="A364" s="31"/>
      <c r="B364" s="21"/>
      <c r="C364" s="21"/>
      <c r="D364" s="21"/>
      <c r="E364" s="32"/>
      <c r="F364" s="40"/>
      <c r="G364" s="41" t="str">
        <f aca="false">IF(E364="","",E364*IFERROR(INDEX(Lists!$D$5:$D$29,MATCH(D364,Lists!$C$5:$C$29,0)),1)*IF(F364="",1,F364))</f>
        <v/>
      </c>
    </row>
    <row r="365" customFormat="false" ht="15" hidden="false" customHeight="false" outlineLevel="0" collapsed="false">
      <c r="A365" s="31"/>
      <c r="B365" s="21"/>
      <c r="C365" s="21"/>
      <c r="D365" s="21"/>
      <c r="E365" s="32"/>
      <c r="F365" s="40"/>
      <c r="G365" s="41" t="str">
        <f aca="false">IF(E365="","",E365*IFERROR(INDEX(Lists!$D$5:$D$29,MATCH(D365,Lists!$C$5:$C$29,0)),1)*IF(F365="",1,F365))</f>
        <v/>
      </c>
    </row>
    <row r="366" customFormat="false" ht="15" hidden="false" customHeight="false" outlineLevel="0" collapsed="false">
      <c r="A366" s="31"/>
      <c r="B366" s="21"/>
      <c r="C366" s="21"/>
      <c r="D366" s="21"/>
      <c r="E366" s="32"/>
      <c r="F366" s="40"/>
      <c r="G366" s="41" t="str">
        <f aca="false">IF(E366="","",E366*IFERROR(INDEX(Lists!$D$5:$D$29,MATCH(D366,Lists!$C$5:$C$29,0)),1)*IF(F366="",1,F366))</f>
        <v/>
      </c>
    </row>
    <row r="367" customFormat="false" ht="15" hidden="false" customHeight="false" outlineLevel="0" collapsed="false">
      <c r="A367" s="31"/>
      <c r="B367" s="21"/>
      <c r="C367" s="21"/>
      <c r="D367" s="21"/>
      <c r="E367" s="32"/>
      <c r="F367" s="40"/>
      <c r="G367" s="41" t="str">
        <f aca="false">IF(E367="","",E367*IFERROR(INDEX(Lists!$D$5:$D$29,MATCH(D367,Lists!$C$5:$C$29,0)),1)*IF(F367="",1,F367))</f>
        <v/>
      </c>
    </row>
    <row r="368" customFormat="false" ht="15" hidden="false" customHeight="false" outlineLevel="0" collapsed="false">
      <c r="A368" s="31"/>
      <c r="B368" s="21"/>
      <c r="C368" s="21"/>
      <c r="D368" s="21"/>
      <c r="E368" s="32"/>
      <c r="F368" s="40"/>
      <c r="G368" s="41" t="str">
        <f aca="false">IF(E368="","",E368*IFERROR(INDEX(Lists!$D$5:$D$29,MATCH(D368,Lists!$C$5:$C$29,0)),1)*IF(F368="",1,F368))</f>
        <v/>
      </c>
    </row>
    <row r="369" customFormat="false" ht="15" hidden="false" customHeight="false" outlineLevel="0" collapsed="false">
      <c r="A369" s="31"/>
      <c r="B369" s="21"/>
      <c r="C369" s="21"/>
      <c r="D369" s="21"/>
      <c r="E369" s="32"/>
      <c r="F369" s="40"/>
      <c r="G369" s="41" t="str">
        <f aca="false">IF(E369="","",E369*IFERROR(INDEX(Lists!$D$5:$D$29,MATCH(D369,Lists!$C$5:$C$29,0)),1)*IF(F369="",1,F369))</f>
        <v/>
      </c>
    </row>
    <row r="370" customFormat="false" ht="15" hidden="false" customHeight="false" outlineLevel="0" collapsed="false">
      <c r="A370" s="31"/>
      <c r="B370" s="21"/>
      <c r="C370" s="21"/>
      <c r="D370" s="21"/>
      <c r="E370" s="32"/>
      <c r="F370" s="40"/>
      <c r="G370" s="41" t="str">
        <f aca="false">IF(E370="","",E370*IFERROR(INDEX(Lists!$D$5:$D$29,MATCH(D370,Lists!$C$5:$C$29,0)),1)*IF(F370="",1,F370))</f>
        <v/>
      </c>
    </row>
    <row r="371" customFormat="false" ht="15" hidden="false" customHeight="false" outlineLevel="0" collapsed="false">
      <c r="A371" s="31"/>
      <c r="B371" s="21"/>
      <c r="C371" s="21"/>
      <c r="D371" s="21"/>
      <c r="E371" s="32"/>
      <c r="F371" s="40"/>
      <c r="G371" s="41" t="str">
        <f aca="false">IF(E371="","",E371*IFERROR(INDEX(Lists!$D$5:$D$29,MATCH(D371,Lists!$C$5:$C$29,0)),1)*IF(F371="",1,F371))</f>
        <v/>
      </c>
    </row>
    <row r="372" customFormat="false" ht="15" hidden="false" customHeight="false" outlineLevel="0" collapsed="false">
      <c r="A372" s="31"/>
      <c r="B372" s="21"/>
      <c r="C372" s="21"/>
      <c r="D372" s="21"/>
      <c r="E372" s="32"/>
      <c r="F372" s="40"/>
      <c r="G372" s="41" t="str">
        <f aca="false">IF(E372="","",E372*IFERROR(INDEX(Lists!$D$5:$D$29,MATCH(D372,Lists!$C$5:$C$29,0)),1)*IF(F372="",1,F372))</f>
        <v/>
      </c>
    </row>
    <row r="373" customFormat="false" ht="15" hidden="false" customHeight="false" outlineLevel="0" collapsed="false">
      <c r="A373" s="31"/>
      <c r="B373" s="21"/>
      <c r="C373" s="21"/>
      <c r="D373" s="21"/>
      <c r="E373" s="32"/>
      <c r="F373" s="40"/>
      <c r="G373" s="41" t="str">
        <f aca="false">IF(E373="","",E373*IFERROR(INDEX(Lists!$D$5:$D$29,MATCH(D373,Lists!$C$5:$C$29,0)),1)*IF(F373="",1,F373))</f>
        <v/>
      </c>
    </row>
    <row r="374" customFormat="false" ht="15" hidden="false" customHeight="false" outlineLevel="0" collapsed="false">
      <c r="A374" s="31"/>
      <c r="B374" s="21"/>
      <c r="C374" s="21"/>
      <c r="D374" s="21"/>
      <c r="E374" s="32"/>
      <c r="F374" s="40"/>
      <c r="G374" s="41" t="str">
        <f aca="false">IF(E374="","",E374*IFERROR(INDEX(Lists!$D$5:$D$29,MATCH(D374,Lists!$C$5:$C$29,0)),1)*IF(F374="",1,F374))</f>
        <v/>
      </c>
    </row>
    <row r="375" customFormat="false" ht="15" hidden="false" customHeight="false" outlineLevel="0" collapsed="false">
      <c r="A375" s="31"/>
      <c r="B375" s="21"/>
      <c r="C375" s="21"/>
      <c r="D375" s="21"/>
      <c r="E375" s="32"/>
      <c r="F375" s="40"/>
      <c r="G375" s="41" t="str">
        <f aca="false">IF(E375="","",E375*IFERROR(INDEX(Lists!$D$5:$D$29,MATCH(D375,Lists!$C$5:$C$29,0)),1)*IF(F375="",1,F375))</f>
        <v/>
      </c>
    </row>
    <row r="376" customFormat="false" ht="15" hidden="false" customHeight="false" outlineLevel="0" collapsed="false">
      <c r="A376" s="31"/>
      <c r="B376" s="21"/>
      <c r="C376" s="21"/>
      <c r="D376" s="21"/>
      <c r="E376" s="32"/>
      <c r="F376" s="40"/>
      <c r="G376" s="41" t="str">
        <f aca="false">IF(E376="","",E376*IFERROR(INDEX(Lists!$D$5:$D$29,MATCH(D376,Lists!$C$5:$C$29,0)),1)*IF(F376="",1,F376))</f>
        <v/>
      </c>
    </row>
    <row r="377" customFormat="false" ht="15" hidden="false" customHeight="false" outlineLevel="0" collapsed="false">
      <c r="A377" s="31"/>
      <c r="B377" s="21"/>
      <c r="C377" s="21"/>
      <c r="D377" s="21"/>
      <c r="E377" s="32"/>
      <c r="F377" s="40"/>
      <c r="G377" s="41" t="str">
        <f aca="false">IF(E377="","",E377*IFERROR(INDEX(Lists!$D$5:$D$29,MATCH(D377,Lists!$C$5:$C$29,0)),1)*IF(F377="",1,F377))</f>
        <v/>
      </c>
    </row>
    <row r="378" customFormat="false" ht="15" hidden="false" customHeight="false" outlineLevel="0" collapsed="false">
      <c r="A378" s="31"/>
      <c r="B378" s="21"/>
      <c r="C378" s="21"/>
      <c r="D378" s="21"/>
      <c r="E378" s="32"/>
      <c r="F378" s="40"/>
      <c r="G378" s="41" t="str">
        <f aca="false">IF(E378="","",E378*IFERROR(INDEX(Lists!$D$5:$D$29,MATCH(D378,Lists!$C$5:$C$29,0)),1)*IF(F378="",1,F378))</f>
        <v/>
      </c>
    </row>
    <row r="379" customFormat="false" ht="15" hidden="false" customHeight="false" outlineLevel="0" collapsed="false">
      <c r="A379" s="31"/>
      <c r="B379" s="21"/>
      <c r="C379" s="21"/>
      <c r="D379" s="21"/>
      <c r="E379" s="32"/>
      <c r="F379" s="40"/>
      <c r="G379" s="41" t="str">
        <f aca="false">IF(E379="","",E379*IFERROR(INDEX(Lists!$D$5:$D$29,MATCH(D379,Lists!$C$5:$C$29,0)),1)*IF(F379="",1,F379))</f>
        <v/>
      </c>
    </row>
    <row r="380" customFormat="false" ht="15" hidden="false" customHeight="false" outlineLevel="0" collapsed="false">
      <c r="A380" s="31"/>
      <c r="B380" s="21"/>
      <c r="C380" s="21"/>
      <c r="D380" s="21"/>
      <c r="E380" s="32"/>
      <c r="F380" s="40"/>
      <c r="G380" s="41" t="str">
        <f aca="false">IF(E380="","",E380*IFERROR(INDEX(Lists!$D$5:$D$29,MATCH(D380,Lists!$C$5:$C$29,0)),1)*IF(F380="",1,F380))</f>
        <v/>
      </c>
    </row>
    <row r="381" customFormat="false" ht="15" hidden="false" customHeight="false" outlineLevel="0" collapsed="false">
      <c r="A381" s="31"/>
      <c r="B381" s="21"/>
      <c r="C381" s="21"/>
      <c r="D381" s="21"/>
      <c r="E381" s="32"/>
      <c r="F381" s="40"/>
      <c r="G381" s="41" t="str">
        <f aca="false">IF(E381="","",E381*IFERROR(INDEX(Lists!$D$5:$D$29,MATCH(D381,Lists!$C$5:$C$29,0)),1)*IF(F381="",1,F381))</f>
        <v/>
      </c>
    </row>
    <row r="382" customFormat="false" ht="15" hidden="false" customHeight="false" outlineLevel="0" collapsed="false">
      <c r="A382" s="31"/>
      <c r="B382" s="21"/>
      <c r="C382" s="21"/>
      <c r="D382" s="21"/>
      <c r="E382" s="32"/>
      <c r="F382" s="40"/>
      <c r="G382" s="41" t="str">
        <f aca="false">IF(E382="","",E382*IFERROR(INDEX(Lists!$D$5:$D$29,MATCH(D382,Lists!$C$5:$C$29,0)),1)*IF(F382="",1,F382))</f>
        <v/>
      </c>
    </row>
    <row r="383" customFormat="false" ht="15" hidden="false" customHeight="false" outlineLevel="0" collapsed="false">
      <c r="A383" s="31"/>
      <c r="B383" s="21"/>
      <c r="C383" s="21"/>
      <c r="D383" s="21"/>
      <c r="E383" s="32"/>
      <c r="F383" s="40"/>
      <c r="G383" s="41" t="str">
        <f aca="false">IF(E383="","",E383*IFERROR(INDEX(Lists!$D$5:$D$29,MATCH(D383,Lists!$C$5:$C$29,0)),1)*IF(F383="",1,F383))</f>
        <v/>
      </c>
    </row>
    <row r="384" customFormat="false" ht="15" hidden="false" customHeight="false" outlineLevel="0" collapsed="false">
      <c r="A384" s="31"/>
      <c r="B384" s="21"/>
      <c r="C384" s="21"/>
      <c r="D384" s="21"/>
      <c r="E384" s="32"/>
      <c r="F384" s="40"/>
      <c r="G384" s="41" t="str">
        <f aca="false">IF(E384="","",E384*IFERROR(INDEX(Lists!$D$5:$D$29,MATCH(D384,Lists!$C$5:$C$29,0)),1)*IF(F384="",1,F384))</f>
        <v/>
      </c>
    </row>
    <row r="385" customFormat="false" ht="15" hidden="false" customHeight="false" outlineLevel="0" collapsed="false">
      <c r="A385" s="31"/>
      <c r="B385" s="21"/>
      <c r="C385" s="21"/>
      <c r="D385" s="21"/>
      <c r="E385" s="32"/>
      <c r="F385" s="40"/>
      <c r="G385" s="41" t="str">
        <f aca="false">IF(E385="","",E385*IFERROR(INDEX(Lists!$D$5:$D$29,MATCH(D385,Lists!$C$5:$C$29,0)),1)*IF(F385="",1,F385))</f>
        <v/>
      </c>
    </row>
    <row r="386" customFormat="false" ht="15" hidden="false" customHeight="false" outlineLevel="0" collapsed="false">
      <c r="A386" s="31"/>
      <c r="B386" s="21"/>
      <c r="C386" s="21"/>
      <c r="D386" s="21"/>
      <c r="E386" s="32"/>
      <c r="F386" s="40"/>
      <c r="G386" s="41" t="str">
        <f aca="false">IF(E386="","",E386*IFERROR(INDEX(Lists!$D$5:$D$29,MATCH(D386,Lists!$C$5:$C$29,0)),1)*IF(F386="",1,F386))</f>
        <v/>
      </c>
    </row>
    <row r="387" customFormat="false" ht="15" hidden="false" customHeight="false" outlineLevel="0" collapsed="false">
      <c r="A387" s="31"/>
      <c r="B387" s="21"/>
      <c r="C387" s="21"/>
      <c r="D387" s="21"/>
      <c r="E387" s="32"/>
      <c r="F387" s="40"/>
      <c r="G387" s="41" t="str">
        <f aca="false">IF(E387="","",E387*IFERROR(INDEX(Lists!$D$5:$D$29,MATCH(D387,Lists!$C$5:$C$29,0)),1)*IF(F387="",1,F387))</f>
        <v/>
      </c>
    </row>
    <row r="388" customFormat="false" ht="15" hidden="false" customHeight="false" outlineLevel="0" collapsed="false">
      <c r="A388" s="31"/>
      <c r="B388" s="21"/>
      <c r="C388" s="21"/>
      <c r="D388" s="21"/>
      <c r="E388" s="32"/>
      <c r="F388" s="40"/>
      <c r="G388" s="41" t="str">
        <f aca="false">IF(E388="","",E388*IFERROR(INDEX(Lists!$D$5:$D$29,MATCH(D388,Lists!$C$5:$C$29,0)),1)*IF(F388="",1,F388))</f>
        <v/>
      </c>
    </row>
    <row r="389" customFormat="false" ht="15" hidden="false" customHeight="false" outlineLevel="0" collapsed="false">
      <c r="A389" s="31"/>
      <c r="B389" s="21"/>
      <c r="C389" s="21"/>
      <c r="D389" s="21"/>
      <c r="E389" s="32"/>
      <c r="F389" s="40"/>
      <c r="G389" s="41" t="str">
        <f aca="false">IF(E389="","",E389*IFERROR(INDEX(Lists!$D$5:$D$29,MATCH(D389,Lists!$C$5:$C$29,0)),1)*IF(F389="",1,F389))</f>
        <v/>
      </c>
    </row>
    <row r="390" customFormat="false" ht="15" hidden="false" customHeight="false" outlineLevel="0" collapsed="false">
      <c r="A390" s="31"/>
      <c r="B390" s="21"/>
      <c r="C390" s="21"/>
      <c r="D390" s="21"/>
      <c r="E390" s="32"/>
      <c r="F390" s="40"/>
      <c r="G390" s="41" t="str">
        <f aca="false">IF(E390="","",E390*IFERROR(INDEX(Lists!$D$5:$D$29,MATCH(D390,Lists!$C$5:$C$29,0)),1)*IF(F390="",1,F390))</f>
        <v/>
      </c>
    </row>
    <row r="391" customFormat="false" ht="15" hidden="false" customHeight="false" outlineLevel="0" collapsed="false">
      <c r="A391" s="31"/>
      <c r="B391" s="21"/>
      <c r="C391" s="21"/>
      <c r="D391" s="21"/>
      <c r="E391" s="32"/>
      <c r="F391" s="40"/>
      <c r="G391" s="41" t="str">
        <f aca="false">IF(E391="","",E391*IFERROR(INDEX(Lists!$D$5:$D$29,MATCH(D391,Lists!$C$5:$C$29,0)),1)*IF(F391="",1,F391))</f>
        <v/>
      </c>
    </row>
    <row r="392" customFormat="false" ht="15" hidden="false" customHeight="false" outlineLevel="0" collapsed="false">
      <c r="A392" s="31"/>
      <c r="B392" s="21"/>
      <c r="C392" s="21"/>
      <c r="D392" s="21"/>
      <c r="E392" s="32"/>
      <c r="F392" s="40"/>
      <c r="G392" s="41" t="str">
        <f aca="false">IF(E392="","",E392*IFERROR(INDEX(Lists!$D$5:$D$29,MATCH(D392,Lists!$C$5:$C$29,0)),1)*IF(F392="",1,F392))</f>
        <v/>
      </c>
    </row>
    <row r="393" customFormat="false" ht="15" hidden="false" customHeight="false" outlineLevel="0" collapsed="false">
      <c r="A393" s="31"/>
      <c r="B393" s="21"/>
      <c r="C393" s="21"/>
      <c r="D393" s="21"/>
      <c r="E393" s="32"/>
      <c r="F393" s="40"/>
      <c r="G393" s="41" t="str">
        <f aca="false">IF(E393="","",E393*IFERROR(INDEX(Lists!$D$5:$D$29,MATCH(D393,Lists!$C$5:$C$29,0)),1)*IF(F393="",1,F393))</f>
        <v/>
      </c>
    </row>
    <row r="394" customFormat="false" ht="15" hidden="false" customHeight="false" outlineLevel="0" collapsed="false">
      <c r="A394" s="31"/>
      <c r="B394" s="21"/>
      <c r="C394" s="21"/>
      <c r="D394" s="21"/>
      <c r="E394" s="32"/>
      <c r="F394" s="40"/>
      <c r="G394" s="41" t="str">
        <f aca="false">IF(E394="","",E394*IFERROR(INDEX(Lists!$D$5:$D$29,MATCH(D394,Lists!$C$5:$C$29,0)),1)*IF(F394="",1,F394))</f>
        <v/>
      </c>
    </row>
    <row r="395" customFormat="false" ht="15" hidden="false" customHeight="false" outlineLevel="0" collapsed="false">
      <c r="A395" s="31"/>
      <c r="B395" s="21"/>
      <c r="C395" s="21"/>
      <c r="D395" s="21"/>
      <c r="E395" s="32"/>
      <c r="F395" s="40"/>
      <c r="G395" s="41" t="str">
        <f aca="false">IF(E395="","",E395*IFERROR(INDEX(Lists!$D$5:$D$29,MATCH(D395,Lists!$C$5:$C$29,0)),1)*IF(F395="",1,F395))</f>
        <v/>
      </c>
    </row>
    <row r="396" customFormat="false" ht="15" hidden="false" customHeight="false" outlineLevel="0" collapsed="false">
      <c r="A396" s="31"/>
      <c r="B396" s="21"/>
      <c r="C396" s="21"/>
      <c r="D396" s="21"/>
      <c r="E396" s="32"/>
      <c r="F396" s="40"/>
      <c r="G396" s="41" t="str">
        <f aca="false">IF(E396="","",E396*IFERROR(INDEX(Lists!$D$5:$D$29,MATCH(D396,Lists!$C$5:$C$29,0)),1)*IF(F396="",1,F396))</f>
        <v/>
      </c>
    </row>
    <row r="397" customFormat="false" ht="15" hidden="false" customHeight="false" outlineLevel="0" collapsed="false">
      <c r="A397" s="31"/>
      <c r="B397" s="21"/>
      <c r="C397" s="21"/>
      <c r="D397" s="21"/>
      <c r="E397" s="32"/>
      <c r="F397" s="40"/>
      <c r="G397" s="41" t="str">
        <f aca="false">IF(E397="","",E397*IFERROR(INDEX(Lists!$D$5:$D$29,MATCH(D397,Lists!$C$5:$C$29,0)),1)*IF(F397="",1,F397))</f>
        <v/>
      </c>
    </row>
    <row r="398" customFormat="false" ht="15" hidden="false" customHeight="false" outlineLevel="0" collapsed="false">
      <c r="A398" s="31"/>
      <c r="B398" s="21"/>
      <c r="C398" s="21"/>
      <c r="D398" s="21"/>
      <c r="E398" s="32"/>
      <c r="F398" s="40"/>
      <c r="G398" s="41" t="str">
        <f aca="false">IF(E398="","",E398*IFERROR(INDEX(Lists!$D$5:$D$29,MATCH(D398,Lists!$C$5:$C$29,0)),1)*IF(F398="",1,F398))</f>
        <v/>
      </c>
    </row>
    <row r="399" customFormat="false" ht="15" hidden="false" customHeight="false" outlineLevel="0" collapsed="false">
      <c r="A399" s="31"/>
      <c r="B399" s="21"/>
      <c r="C399" s="21"/>
      <c r="D399" s="21"/>
      <c r="E399" s="32"/>
      <c r="F399" s="40"/>
      <c r="G399" s="41" t="str">
        <f aca="false">IF(E399="","",E399*IFERROR(INDEX(Lists!$D$5:$D$29,MATCH(D399,Lists!$C$5:$C$29,0)),1)*IF(F399="",1,F399))</f>
        <v/>
      </c>
    </row>
    <row r="400" customFormat="false" ht="15" hidden="false" customHeight="false" outlineLevel="0" collapsed="false">
      <c r="A400" s="31"/>
      <c r="B400" s="21"/>
      <c r="C400" s="21"/>
      <c r="D400" s="21"/>
      <c r="E400" s="32"/>
      <c r="F400" s="40"/>
      <c r="G400" s="41" t="str">
        <f aca="false">IF(E400="","",E400*IFERROR(INDEX(Lists!$D$5:$D$29,MATCH(D400,Lists!$C$5:$C$29,0)),1)*IF(F400="",1,F400))</f>
        <v/>
      </c>
    </row>
    <row r="401" customFormat="false" ht="15" hidden="false" customHeight="false" outlineLevel="0" collapsed="false">
      <c r="A401" s="31"/>
      <c r="B401" s="21"/>
      <c r="C401" s="21"/>
      <c r="D401" s="21"/>
      <c r="E401" s="32"/>
      <c r="F401" s="40"/>
      <c r="G401" s="41" t="str">
        <f aca="false">IF(E401="","",E401*IFERROR(INDEX(Lists!$D$5:$D$29,MATCH(D401,Lists!$C$5:$C$29,0)),1)*IF(F401="",1,F401))</f>
        <v/>
      </c>
    </row>
    <row r="402" customFormat="false" ht="15" hidden="false" customHeight="false" outlineLevel="0" collapsed="false">
      <c r="A402" s="31"/>
      <c r="B402" s="21"/>
      <c r="C402" s="21"/>
      <c r="D402" s="21"/>
      <c r="E402" s="32"/>
      <c r="F402" s="40"/>
      <c r="G402" s="41" t="str">
        <f aca="false">IF(E402="","",E402*IFERROR(INDEX(Lists!$D$5:$D$29,MATCH(D402,Lists!$C$5:$C$29,0)),1)*IF(F402="",1,F402))</f>
        <v/>
      </c>
    </row>
    <row r="403" customFormat="false" ht="15" hidden="false" customHeight="false" outlineLevel="0" collapsed="false">
      <c r="A403" s="31"/>
      <c r="B403" s="21"/>
      <c r="C403" s="21"/>
      <c r="D403" s="21"/>
      <c r="E403" s="32"/>
      <c r="F403" s="40"/>
      <c r="G403" s="41" t="str">
        <f aca="false">IF(E403="","",E403*IFERROR(INDEX(Lists!$D$5:$D$29,MATCH(D403,Lists!$C$5:$C$29,0)),1)*IF(F403="",1,F403))</f>
        <v/>
      </c>
    </row>
    <row r="404" customFormat="false" ht="15" hidden="false" customHeight="false" outlineLevel="0" collapsed="false">
      <c r="A404" s="31"/>
      <c r="B404" s="21"/>
      <c r="C404" s="21"/>
      <c r="D404" s="21"/>
      <c r="E404" s="32"/>
      <c r="F404" s="40"/>
      <c r="G404" s="41" t="str">
        <f aca="false">IF(E404="","",E404*IFERROR(INDEX(Lists!$D$5:$D$29,MATCH(D404,Lists!$C$5:$C$29,0)),1)*IF(F404="",1,F404))</f>
        <v/>
      </c>
    </row>
    <row r="405" customFormat="false" ht="15" hidden="false" customHeight="false" outlineLevel="0" collapsed="false">
      <c r="A405" s="31"/>
      <c r="B405" s="21"/>
      <c r="C405" s="21"/>
      <c r="D405" s="21"/>
      <c r="E405" s="32"/>
      <c r="F405" s="40"/>
      <c r="G405" s="41" t="str">
        <f aca="false">IF(E405="","",E405*IFERROR(INDEX(Lists!$D$5:$D$29,MATCH(D405,Lists!$C$5:$C$29,0)),1)*IF(F405="",1,F405))</f>
        <v/>
      </c>
    </row>
    <row r="406" customFormat="false" ht="15" hidden="false" customHeight="false" outlineLevel="0" collapsed="false">
      <c r="A406" s="31"/>
      <c r="B406" s="21"/>
      <c r="C406" s="21"/>
      <c r="D406" s="21"/>
      <c r="E406" s="32"/>
      <c r="F406" s="40"/>
      <c r="G406" s="41" t="str">
        <f aca="false">IF(E406="","",E406*IFERROR(INDEX(Lists!$D$5:$D$29,MATCH(D406,Lists!$C$5:$C$29,0)),1)*IF(F406="",1,F406))</f>
        <v/>
      </c>
    </row>
    <row r="407" customFormat="false" ht="15" hidden="false" customHeight="false" outlineLevel="0" collapsed="false">
      <c r="A407" s="31"/>
      <c r="B407" s="21"/>
      <c r="C407" s="21"/>
      <c r="D407" s="21"/>
      <c r="E407" s="32"/>
      <c r="F407" s="40"/>
      <c r="G407" s="41" t="str">
        <f aca="false">IF(E407="","",E407*IFERROR(INDEX(Lists!$D$5:$D$29,MATCH(D407,Lists!$C$5:$C$29,0)),1)*IF(F407="",1,F407))</f>
        <v/>
      </c>
    </row>
    <row r="408" customFormat="false" ht="15" hidden="false" customHeight="false" outlineLevel="0" collapsed="false">
      <c r="A408" s="31"/>
      <c r="B408" s="21"/>
      <c r="C408" s="21"/>
      <c r="D408" s="21"/>
      <c r="E408" s="32"/>
      <c r="F408" s="40"/>
      <c r="G408" s="41" t="str">
        <f aca="false">IF(E408="","",E408*IFERROR(INDEX(Lists!$D$5:$D$29,MATCH(D408,Lists!$C$5:$C$29,0)),1)*IF(F408="",1,F408))</f>
        <v/>
      </c>
    </row>
    <row r="409" customFormat="false" ht="15" hidden="false" customHeight="false" outlineLevel="0" collapsed="false">
      <c r="A409" s="31"/>
      <c r="B409" s="21"/>
      <c r="C409" s="21"/>
      <c r="D409" s="21"/>
      <c r="E409" s="32"/>
      <c r="F409" s="40"/>
      <c r="G409" s="41" t="str">
        <f aca="false">IF(E409="","",E409*IFERROR(INDEX(Lists!$D$5:$D$29,MATCH(D409,Lists!$C$5:$C$29,0)),1)*IF(F409="",1,F409))</f>
        <v/>
      </c>
    </row>
    <row r="410" customFormat="false" ht="15" hidden="false" customHeight="false" outlineLevel="0" collapsed="false">
      <c r="A410" s="31"/>
      <c r="B410" s="21"/>
      <c r="C410" s="21"/>
      <c r="D410" s="21"/>
      <c r="E410" s="32"/>
      <c r="F410" s="40"/>
      <c r="G410" s="41" t="str">
        <f aca="false">IF(E410="","",E410*IFERROR(INDEX(Lists!$D$5:$D$29,MATCH(D410,Lists!$C$5:$C$29,0)),1)*IF(F410="",1,F410))</f>
        <v/>
      </c>
    </row>
    <row r="411" customFormat="false" ht="15" hidden="false" customHeight="false" outlineLevel="0" collapsed="false">
      <c r="A411" s="31"/>
      <c r="B411" s="21"/>
      <c r="C411" s="21"/>
      <c r="D411" s="21"/>
      <c r="E411" s="32"/>
      <c r="F411" s="40"/>
      <c r="G411" s="41" t="str">
        <f aca="false">IF(E411="","",E411*IFERROR(INDEX(Lists!$D$5:$D$29,MATCH(D411,Lists!$C$5:$C$29,0)),1)*IF(F411="",1,F411))</f>
        <v/>
      </c>
    </row>
    <row r="412" customFormat="false" ht="15" hidden="false" customHeight="false" outlineLevel="0" collapsed="false">
      <c r="A412" s="31"/>
      <c r="B412" s="21"/>
      <c r="C412" s="21"/>
      <c r="D412" s="21"/>
      <c r="E412" s="32"/>
      <c r="F412" s="40"/>
      <c r="G412" s="41" t="str">
        <f aca="false">IF(E412="","",E412*IFERROR(INDEX(Lists!$D$5:$D$29,MATCH(D412,Lists!$C$5:$C$29,0)),1)*IF(F412="",1,F412))</f>
        <v/>
      </c>
    </row>
    <row r="413" customFormat="false" ht="15" hidden="false" customHeight="false" outlineLevel="0" collapsed="false">
      <c r="A413" s="31"/>
      <c r="B413" s="21"/>
      <c r="C413" s="21"/>
      <c r="D413" s="21"/>
      <c r="E413" s="32"/>
      <c r="F413" s="40"/>
      <c r="G413" s="41" t="str">
        <f aca="false">IF(E413="","",E413*IFERROR(INDEX(Lists!$D$5:$D$29,MATCH(D413,Lists!$C$5:$C$29,0)),1)*IF(F413="",1,F413))</f>
        <v/>
      </c>
    </row>
    <row r="414" customFormat="false" ht="15" hidden="false" customHeight="false" outlineLevel="0" collapsed="false">
      <c r="A414" s="31"/>
      <c r="B414" s="21"/>
      <c r="C414" s="21"/>
      <c r="D414" s="21"/>
      <c r="E414" s="32"/>
      <c r="F414" s="40"/>
      <c r="G414" s="41" t="str">
        <f aca="false">IF(E414="","",E414*IFERROR(INDEX(Lists!$D$5:$D$29,MATCH(D414,Lists!$C$5:$C$29,0)),1)*IF(F414="",1,F414))</f>
        <v/>
      </c>
    </row>
    <row r="415" customFormat="false" ht="15" hidden="false" customHeight="false" outlineLevel="0" collapsed="false">
      <c r="A415" s="31"/>
      <c r="B415" s="21"/>
      <c r="C415" s="21"/>
      <c r="D415" s="21"/>
      <c r="E415" s="32"/>
      <c r="F415" s="40"/>
      <c r="G415" s="41" t="str">
        <f aca="false">IF(E415="","",E415*IFERROR(INDEX(Lists!$D$5:$D$29,MATCH(D415,Lists!$C$5:$C$29,0)),1)*IF(F415="",1,F415))</f>
        <v/>
      </c>
    </row>
    <row r="416" customFormat="false" ht="15" hidden="false" customHeight="false" outlineLevel="0" collapsed="false">
      <c r="A416" s="31"/>
      <c r="B416" s="21"/>
      <c r="C416" s="21"/>
      <c r="D416" s="21"/>
      <c r="E416" s="32"/>
      <c r="F416" s="40"/>
      <c r="G416" s="41" t="str">
        <f aca="false">IF(E416="","",E416*IFERROR(INDEX(Lists!$D$5:$D$29,MATCH(D416,Lists!$C$5:$C$29,0)),1)*IF(F416="",1,F416))</f>
        <v/>
      </c>
    </row>
    <row r="417" customFormat="false" ht="15" hidden="false" customHeight="false" outlineLevel="0" collapsed="false">
      <c r="A417" s="31"/>
      <c r="B417" s="21"/>
      <c r="C417" s="21"/>
      <c r="D417" s="21"/>
      <c r="E417" s="32"/>
      <c r="F417" s="40"/>
      <c r="G417" s="41" t="str">
        <f aca="false">IF(E417="","",E417*IFERROR(INDEX(Lists!$D$5:$D$29,MATCH(D417,Lists!$C$5:$C$29,0)),1)*IF(F417="",1,F417))</f>
        <v/>
      </c>
    </row>
    <row r="418" customFormat="false" ht="15" hidden="false" customHeight="false" outlineLevel="0" collapsed="false">
      <c r="A418" s="31"/>
      <c r="B418" s="21"/>
      <c r="C418" s="21"/>
      <c r="D418" s="21"/>
      <c r="E418" s="32"/>
      <c r="F418" s="40"/>
      <c r="G418" s="41" t="str">
        <f aca="false">IF(E418="","",E418*IFERROR(INDEX(Lists!$D$5:$D$29,MATCH(D418,Lists!$C$5:$C$29,0)),1)*IF(F418="",1,F418))</f>
        <v/>
      </c>
    </row>
    <row r="419" customFormat="false" ht="15" hidden="false" customHeight="false" outlineLevel="0" collapsed="false">
      <c r="A419" s="31"/>
      <c r="B419" s="21"/>
      <c r="C419" s="21"/>
      <c r="D419" s="21"/>
      <c r="E419" s="32"/>
      <c r="F419" s="40"/>
      <c r="G419" s="41" t="str">
        <f aca="false">IF(E419="","",E419*IFERROR(INDEX(Lists!$D$5:$D$29,MATCH(D419,Lists!$C$5:$C$29,0)),1)*IF(F419="",1,F419))</f>
        <v/>
      </c>
    </row>
    <row r="420" customFormat="false" ht="15" hidden="false" customHeight="false" outlineLevel="0" collapsed="false">
      <c r="A420" s="31"/>
      <c r="B420" s="21"/>
      <c r="C420" s="21"/>
      <c r="D420" s="21"/>
      <c r="E420" s="32"/>
      <c r="F420" s="40"/>
      <c r="G420" s="41" t="str">
        <f aca="false">IF(E420="","",E420*IFERROR(INDEX(Lists!$D$5:$D$29,MATCH(D420,Lists!$C$5:$C$29,0)),1)*IF(F420="",1,F420))</f>
        <v/>
      </c>
    </row>
    <row r="421" customFormat="false" ht="15" hidden="false" customHeight="false" outlineLevel="0" collapsed="false">
      <c r="A421" s="31"/>
      <c r="B421" s="21"/>
      <c r="C421" s="21"/>
      <c r="D421" s="21"/>
      <c r="E421" s="32"/>
      <c r="F421" s="40"/>
      <c r="G421" s="41" t="str">
        <f aca="false">IF(E421="","",E421*IFERROR(INDEX(Lists!$D$5:$D$29,MATCH(D421,Lists!$C$5:$C$29,0)),1)*IF(F421="",1,F421))</f>
        <v/>
      </c>
    </row>
    <row r="422" customFormat="false" ht="15" hidden="false" customHeight="false" outlineLevel="0" collapsed="false">
      <c r="A422" s="31"/>
      <c r="B422" s="21"/>
      <c r="C422" s="21"/>
      <c r="D422" s="21"/>
      <c r="E422" s="32"/>
      <c r="F422" s="40"/>
      <c r="G422" s="41" t="str">
        <f aca="false">IF(E422="","",E422*IFERROR(INDEX(Lists!$D$5:$D$29,MATCH(D422,Lists!$C$5:$C$29,0)),1)*IF(F422="",1,F422))</f>
        <v/>
      </c>
    </row>
    <row r="423" customFormat="false" ht="15" hidden="false" customHeight="false" outlineLevel="0" collapsed="false">
      <c r="A423" s="31"/>
      <c r="B423" s="21"/>
      <c r="C423" s="21"/>
      <c r="D423" s="21"/>
      <c r="E423" s="32"/>
      <c r="F423" s="40"/>
      <c r="G423" s="41" t="str">
        <f aca="false">IF(E423="","",E423*IFERROR(INDEX(Lists!$D$5:$D$29,MATCH(D423,Lists!$C$5:$C$29,0)),1)*IF(F423="",1,F423))</f>
        <v/>
      </c>
    </row>
    <row r="424" customFormat="false" ht="15" hidden="false" customHeight="false" outlineLevel="0" collapsed="false">
      <c r="A424" s="31"/>
      <c r="B424" s="21"/>
      <c r="C424" s="21"/>
      <c r="D424" s="21"/>
      <c r="E424" s="32"/>
      <c r="F424" s="40"/>
      <c r="G424" s="41" t="str">
        <f aca="false">IF(E424="","",E424*IFERROR(INDEX(Lists!$D$5:$D$29,MATCH(D424,Lists!$C$5:$C$29,0)),1)*IF(F424="",1,F424))</f>
        <v/>
      </c>
    </row>
    <row r="425" customFormat="false" ht="15" hidden="false" customHeight="false" outlineLevel="0" collapsed="false">
      <c r="A425" s="31"/>
      <c r="B425" s="21"/>
      <c r="C425" s="21"/>
      <c r="D425" s="21"/>
      <c r="E425" s="32"/>
      <c r="F425" s="40"/>
      <c r="G425" s="41" t="str">
        <f aca="false">IF(E425="","",E425*IFERROR(INDEX(Lists!$D$5:$D$29,MATCH(D425,Lists!$C$5:$C$29,0)),1)*IF(F425="",1,F425))</f>
        <v/>
      </c>
    </row>
    <row r="426" customFormat="false" ht="15" hidden="false" customHeight="false" outlineLevel="0" collapsed="false">
      <c r="A426" s="31"/>
      <c r="B426" s="21"/>
      <c r="C426" s="21"/>
      <c r="D426" s="21"/>
      <c r="E426" s="32"/>
      <c r="F426" s="40"/>
      <c r="G426" s="41" t="str">
        <f aca="false">IF(E426="","",E426*IFERROR(INDEX(Lists!$D$5:$D$29,MATCH(D426,Lists!$C$5:$C$29,0)),1)*IF(F426="",1,F426))</f>
        <v/>
      </c>
    </row>
    <row r="427" customFormat="false" ht="15" hidden="false" customHeight="false" outlineLevel="0" collapsed="false">
      <c r="A427" s="31"/>
      <c r="B427" s="21"/>
      <c r="C427" s="21"/>
      <c r="D427" s="21"/>
      <c r="E427" s="32"/>
      <c r="F427" s="40"/>
      <c r="G427" s="41" t="str">
        <f aca="false">IF(E427="","",E427*IFERROR(INDEX(Lists!$D$5:$D$29,MATCH(D427,Lists!$C$5:$C$29,0)),1)*IF(F427="",1,F427))</f>
        <v/>
      </c>
    </row>
    <row r="428" customFormat="false" ht="15" hidden="false" customHeight="false" outlineLevel="0" collapsed="false">
      <c r="A428" s="31"/>
      <c r="B428" s="21"/>
      <c r="C428" s="21"/>
      <c r="D428" s="21"/>
      <c r="E428" s="32"/>
      <c r="F428" s="40"/>
      <c r="G428" s="41" t="str">
        <f aca="false">IF(E428="","",E428*IFERROR(INDEX(Lists!$D$5:$D$29,MATCH(D428,Lists!$C$5:$C$29,0)),1)*IF(F428="",1,F428))</f>
        <v/>
      </c>
    </row>
    <row r="429" customFormat="false" ht="15" hidden="false" customHeight="false" outlineLevel="0" collapsed="false">
      <c r="A429" s="31"/>
      <c r="B429" s="21"/>
      <c r="C429" s="21"/>
      <c r="D429" s="21"/>
      <c r="E429" s="32"/>
      <c r="F429" s="40"/>
      <c r="G429" s="41" t="str">
        <f aca="false">IF(E429="","",E429*IFERROR(INDEX(Lists!$D$5:$D$29,MATCH(D429,Lists!$C$5:$C$29,0)),1)*IF(F429="",1,F429))</f>
        <v/>
      </c>
    </row>
    <row r="430" customFormat="false" ht="15" hidden="false" customHeight="false" outlineLevel="0" collapsed="false">
      <c r="A430" s="31"/>
      <c r="B430" s="21"/>
      <c r="C430" s="21"/>
      <c r="D430" s="21"/>
      <c r="E430" s="32"/>
      <c r="F430" s="40"/>
      <c r="G430" s="41" t="str">
        <f aca="false">IF(E430="","",E430*IFERROR(INDEX(Lists!$D$5:$D$29,MATCH(D430,Lists!$C$5:$C$29,0)),1)*IF(F430="",1,F430))</f>
        <v/>
      </c>
    </row>
    <row r="431" customFormat="false" ht="15" hidden="false" customHeight="false" outlineLevel="0" collapsed="false">
      <c r="A431" s="31"/>
      <c r="B431" s="21"/>
      <c r="C431" s="21"/>
      <c r="D431" s="21"/>
      <c r="E431" s="32"/>
      <c r="F431" s="40"/>
      <c r="G431" s="41" t="str">
        <f aca="false">IF(E431="","",E431*IFERROR(INDEX(Lists!$D$5:$D$29,MATCH(D431,Lists!$C$5:$C$29,0)),1)*IF(F431="",1,F431))</f>
        <v/>
      </c>
    </row>
    <row r="432" customFormat="false" ht="15" hidden="false" customHeight="false" outlineLevel="0" collapsed="false">
      <c r="A432" s="31"/>
      <c r="B432" s="21"/>
      <c r="C432" s="21"/>
      <c r="D432" s="21"/>
      <c r="E432" s="32"/>
      <c r="F432" s="40"/>
      <c r="G432" s="41" t="str">
        <f aca="false">IF(E432="","",E432*IFERROR(INDEX(Lists!$D$5:$D$29,MATCH(D432,Lists!$C$5:$C$29,0)),1)*IF(F432="",1,F432))</f>
        <v/>
      </c>
    </row>
    <row r="433" customFormat="false" ht="15" hidden="false" customHeight="false" outlineLevel="0" collapsed="false">
      <c r="A433" s="31"/>
      <c r="B433" s="21"/>
      <c r="C433" s="21"/>
      <c r="D433" s="21"/>
      <c r="E433" s="32"/>
      <c r="F433" s="40"/>
      <c r="G433" s="41" t="str">
        <f aca="false">IF(E433="","",E433*IFERROR(INDEX(Lists!$D$5:$D$29,MATCH(D433,Lists!$C$5:$C$29,0)),1)*IF(F433="",1,F433))</f>
        <v/>
      </c>
    </row>
    <row r="434" customFormat="false" ht="15" hidden="false" customHeight="false" outlineLevel="0" collapsed="false">
      <c r="A434" s="31"/>
      <c r="B434" s="21"/>
      <c r="C434" s="21"/>
      <c r="D434" s="21"/>
      <c r="E434" s="32"/>
      <c r="F434" s="40"/>
      <c r="G434" s="41" t="str">
        <f aca="false">IF(E434="","",E434*IFERROR(INDEX(Lists!$D$5:$D$29,MATCH(D434,Lists!$C$5:$C$29,0)),1)*IF(F434="",1,F434))</f>
        <v/>
      </c>
    </row>
    <row r="435" customFormat="false" ht="15" hidden="false" customHeight="false" outlineLevel="0" collapsed="false">
      <c r="A435" s="31"/>
      <c r="B435" s="21"/>
      <c r="C435" s="21"/>
      <c r="D435" s="21"/>
      <c r="E435" s="32"/>
      <c r="F435" s="40"/>
      <c r="G435" s="41" t="str">
        <f aca="false">IF(E435="","",E435*IFERROR(INDEX(Lists!$D$5:$D$29,MATCH(D435,Lists!$C$5:$C$29,0)),1)*IF(F435="",1,F435))</f>
        <v/>
      </c>
    </row>
    <row r="436" customFormat="false" ht="15" hidden="false" customHeight="false" outlineLevel="0" collapsed="false">
      <c r="A436" s="31"/>
      <c r="B436" s="21"/>
      <c r="C436" s="21"/>
      <c r="D436" s="21"/>
      <c r="E436" s="32"/>
      <c r="F436" s="40"/>
      <c r="G436" s="41" t="str">
        <f aca="false">IF(E436="","",E436*IFERROR(INDEX(Lists!$D$5:$D$29,MATCH(D436,Lists!$C$5:$C$29,0)),1)*IF(F436="",1,F436))</f>
        <v/>
      </c>
    </row>
    <row r="437" customFormat="false" ht="15" hidden="false" customHeight="false" outlineLevel="0" collapsed="false">
      <c r="A437" s="31"/>
      <c r="B437" s="21"/>
      <c r="C437" s="21"/>
      <c r="D437" s="21"/>
      <c r="E437" s="32"/>
      <c r="F437" s="40"/>
      <c r="G437" s="41" t="str">
        <f aca="false">IF(E437="","",E437*IFERROR(INDEX(Lists!$D$5:$D$29,MATCH(D437,Lists!$C$5:$C$29,0)),1)*IF(F437="",1,F437))</f>
        <v/>
      </c>
    </row>
    <row r="438" customFormat="false" ht="15" hidden="false" customHeight="false" outlineLevel="0" collapsed="false">
      <c r="A438" s="31"/>
      <c r="B438" s="21"/>
      <c r="C438" s="21"/>
      <c r="D438" s="21"/>
      <c r="E438" s="32"/>
      <c r="F438" s="40"/>
      <c r="G438" s="41" t="str">
        <f aca="false">IF(E438="","",E438*IFERROR(INDEX(Lists!$D$5:$D$29,MATCH(D438,Lists!$C$5:$C$29,0)),1)*IF(F438="",1,F438))</f>
        <v/>
      </c>
    </row>
    <row r="439" customFormat="false" ht="15" hidden="false" customHeight="false" outlineLevel="0" collapsed="false">
      <c r="A439" s="31"/>
      <c r="B439" s="21"/>
      <c r="C439" s="21"/>
      <c r="D439" s="21"/>
      <c r="E439" s="32"/>
      <c r="F439" s="40"/>
      <c r="G439" s="41" t="str">
        <f aca="false">IF(E439="","",E439*IFERROR(INDEX(Lists!$D$5:$D$29,MATCH(D439,Lists!$C$5:$C$29,0)),1)*IF(F439="",1,F439))</f>
        <v/>
      </c>
    </row>
    <row r="440" customFormat="false" ht="15" hidden="false" customHeight="false" outlineLevel="0" collapsed="false">
      <c r="A440" s="31"/>
      <c r="B440" s="21"/>
      <c r="C440" s="21"/>
      <c r="D440" s="21"/>
      <c r="E440" s="32"/>
      <c r="F440" s="40"/>
      <c r="G440" s="41" t="str">
        <f aca="false">IF(E440="","",E440*IFERROR(INDEX(Lists!$D$5:$D$29,MATCH(D440,Lists!$C$5:$C$29,0)),1)*IF(F440="",1,F440))</f>
        <v/>
      </c>
    </row>
    <row r="441" customFormat="false" ht="15" hidden="false" customHeight="false" outlineLevel="0" collapsed="false">
      <c r="A441" s="31"/>
      <c r="B441" s="21"/>
      <c r="C441" s="21"/>
      <c r="D441" s="21"/>
      <c r="E441" s="32"/>
      <c r="F441" s="40"/>
      <c r="G441" s="41" t="str">
        <f aca="false">IF(E441="","",E441*IFERROR(INDEX(Lists!$D$5:$D$29,MATCH(D441,Lists!$C$5:$C$29,0)),1)*IF(F441="",1,F441))</f>
        <v/>
      </c>
    </row>
    <row r="442" customFormat="false" ht="15" hidden="false" customHeight="false" outlineLevel="0" collapsed="false">
      <c r="A442" s="31"/>
      <c r="B442" s="21"/>
      <c r="C442" s="21"/>
      <c r="D442" s="21"/>
      <c r="E442" s="32"/>
      <c r="F442" s="40"/>
      <c r="G442" s="41" t="str">
        <f aca="false">IF(E442="","",E442*IFERROR(INDEX(Lists!$D$5:$D$29,MATCH(D442,Lists!$C$5:$C$29,0)),1)*IF(F442="",1,F442))</f>
        <v/>
      </c>
    </row>
    <row r="443" customFormat="false" ht="15" hidden="false" customHeight="false" outlineLevel="0" collapsed="false">
      <c r="A443" s="31"/>
      <c r="B443" s="21"/>
      <c r="C443" s="21"/>
      <c r="D443" s="21"/>
      <c r="E443" s="32"/>
      <c r="F443" s="40"/>
      <c r="G443" s="41" t="str">
        <f aca="false">IF(E443="","",E443*IFERROR(INDEX(Lists!$D$5:$D$29,MATCH(D443,Lists!$C$5:$C$29,0)),1)*IF(F443="",1,F443))</f>
        <v/>
      </c>
    </row>
    <row r="444" customFormat="false" ht="15" hidden="false" customHeight="false" outlineLevel="0" collapsed="false">
      <c r="A444" s="31"/>
      <c r="B444" s="21"/>
      <c r="C444" s="21"/>
      <c r="D444" s="21"/>
      <c r="E444" s="32"/>
      <c r="F444" s="40"/>
      <c r="G444" s="41" t="str">
        <f aca="false">IF(E444="","",E444*IFERROR(INDEX(Lists!$D$5:$D$29,MATCH(D444,Lists!$C$5:$C$29,0)),1)*IF(F444="",1,F444))</f>
        <v/>
      </c>
    </row>
    <row r="445" customFormat="false" ht="15" hidden="false" customHeight="false" outlineLevel="0" collapsed="false">
      <c r="A445" s="31"/>
      <c r="B445" s="21"/>
      <c r="C445" s="21"/>
      <c r="D445" s="21"/>
      <c r="E445" s="32"/>
      <c r="F445" s="40"/>
      <c r="G445" s="41" t="str">
        <f aca="false">IF(E445="","",E445*IFERROR(INDEX(Lists!$D$5:$D$29,MATCH(D445,Lists!$C$5:$C$29,0)),1)*IF(F445="",1,F445))</f>
        <v/>
      </c>
    </row>
    <row r="446" customFormat="false" ht="15" hidden="false" customHeight="false" outlineLevel="0" collapsed="false">
      <c r="A446" s="31"/>
      <c r="B446" s="21"/>
      <c r="C446" s="21"/>
      <c r="D446" s="21"/>
      <c r="E446" s="32"/>
      <c r="F446" s="40"/>
      <c r="G446" s="41" t="str">
        <f aca="false">IF(E446="","",E446*IFERROR(INDEX(Lists!$D$5:$D$29,MATCH(D446,Lists!$C$5:$C$29,0)),1)*IF(F446="",1,F446))</f>
        <v/>
      </c>
    </row>
    <row r="447" customFormat="false" ht="15" hidden="false" customHeight="false" outlineLevel="0" collapsed="false">
      <c r="A447" s="31"/>
      <c r="B447" s="21"/>
      <c r="C447" s="21"/>
      <c r="D447" s="21"/>
      <c r="E447" s="32"/>
      <c r="F447" s="40"/>
      <c r="G447" s="41" t="str">
        <f aca="false">IF(E447="","",E447*IFERROR(INDEX(Lists!$D$5:$D$29,MATCH(D447,Lists!$C$5:$C$29,0)),1)*IF(F447="",1,F447))</f>
        <v/>
      </c>
    </row>
    <row r="448" customFormat="false" ht="15" hidden="false" customHeight="false" outlineLevel="0" collapsed="false">
      <c r="A448" s="31"/>
      <c r="B448" s="21"/>
      <c r="C448" s="21"/>
      <c r="D448" s="21"/>
      <c r="E448" s="32"/>
      <c r="F448" s="40"/>
      <c r="G448" s="41" t="str">
        <f aca="false">IF(E448="","",E448*IFERROR(INDEX(Lists!$D$5:$D$29,MATCH(D448,Lists!$C$5:$C$29,0)),1)*IF(F448="",1,F448))</f>
        <v/>
      </c>
    </row>
    <row r="449" customFormat="false" ht="15" hidden="false" customHeight="false" outlineLevel="0" collapsed="false">
      <c r="A449" s="31"/>
      <c r="B449" s="21"/>
      <c r="C449" s="21"/>
      <c r="D449" s="21"/>
      <c r="E449" s="32"/>
      <c r="F449" s="40"/>
      <c r="G449" s="41" t="str">
        <f aca="false">IF(E449="","",E449*IFERROR(INDEX(Lists!$D$5:$D$29,MATCH(D449,Lists!$C$5:$C$29,0)),1)*IF(F449="",1,F449))</f>
        <v/>
      </c>
    </row>
    <row r="450" customFormat="false" ht="15" hidden="false" customHeight="false" outlineLevel="0" collapsed="false">
      <c r="A450" s="31"/>
      <c r="B450" s="21"/>
      <c r="C450" s="21"/>
      <c r="D450" s="21"/>
      <c r="E450" s="32"/>
      <c r="F450" s="40"/>
      <c r="G450" s="41" t="str">
        <f aca="false">IF(E450="","",E450*IFERROR(INDEX(Lists!$D$5:$D$29,MATCH(D450,Lists!$C$5:$C$29,0)),1)*IF(F450="",1,F450))</f>
        <v/>
      </c>
    </row>
    <row r="451" customFormat="false" ht="15" hidden="false" customHeight="false" outlineLevel="0" collapsed="false">
      <c r="A451" s="31"/>
      <c r="B451" s="21"/>
      <c r="C451" s="21"/>
      <c r="D451" s="21"/>
      <c r="E451" s="32"/>
      <c r="F451" s="40"/>
      <c r="G451" s="41" t="str">
        <f aca="false">IF(E451="","",E451*IFERROR(INDEX(Lists!$D$5:$D$29,MATCH(D451,Lists!$C$5:$C$29,0)),1)*IF(F451="",1,F451))</f>
        <v/>
      </c>
    </row>
    <row r="452" customFormat="false" ht="15" hidden="false" customHeight="false" outlineLevel="0" collapsed="false">
      <c r="A452" s="31"/>
      <c r="B452" s="21"/>
      <c r="C452" s="21"/>
      <c r="D452" s="21"/>
      <c r="E452" s="32"/>
      <c r="F452" s="40"/>
      <c r="G452" s="41" t="str">
        <f aca="false">IF(E452="","",E452*IFERROR(INDEX(Lists!$D$5:$D$29,MATCH(D452,Lists!$C$5:$C$29,0)),1)*IF(F452="",1,F452))</f>
        <v/>
      </c>
    </row>
    <row r="453" customFormat="false" ht="15" hidden="false" customHeight="false" outlineLevel="0" collapsed="false">
      <c r="A453" s="31"/>
      <c r="B453" s="21"/>
      <c r="C453" s="21"/>
      <c r="D453" s="21"/>
      <c r="E453" s="32"/>
      <c r="F453" s="40"/>
      <c r="G453" s="41" t="str">
        <f aca="false">IF(E453="","",E453*IFERROR(INDEX(Lists!$D$5:$D$29,MATCH(D453,Lists!$C$5:$C$29,0)),1)*IF(F453="",1,F453))</f>
        <v/>
      </c>
    </row>
    <row r="454" customFormat="false" ht="15" hidden="false" customHeight="false" outlineLevel="0" collapsed="false">
      <c r="A454" s="31"/>
      <c r="B454" s="21"/>
      <c r="C454" s="21"/>
      <c r="D454" s="21"/>
      <c r="E454" s="32"/>
      <c r="F454" s="40"/>
      <c r="G454" s="41" t="str">
        <f aca="false">IF(E454="","",E454*IFERROR(INDEX(Lists!$D$5:$D$29,MATCH(D454,Lists!$C$5:$C$29,0)),1)*IF(F454="",1,F454))</f>
        <v/>
      </c>
    </row>
    <row r="455" customFormat="false" ht="15" hidden="false" customHeight="false" outlineLevel="0" collapsed="false">
      <c r="A455" s="31"/>
      <c r="B455" s="21"/>
      <c r="C455" s="21"/>
      <c r="D455" s="21"/>
      <c r="E455" s="32"/>
      <c r="F455" s="40"/>
      <c r="G455" s="41" t="str">
        <f aca="false">IF(E455="","",E455*IFERROR(INDEX(Lists!$D$5:$D$29,MATCH(D455,Lists!$C$5:$C$29,0)),1)*IF(F455="",1,F455))</f>
        <v/>
      </c>
    </row>
    <row r="456" customFormat="false" ht="15" hidden="false" customHeight="false" outlineLevel="0" collapsed="false">
      <c r="A456" s="31"/>
      <c r="B456" s="21"/>
      <c r="C456" s="21"/>
      <c r="D456" s="21"/>
      <c r="E456" s="32"/>
      <c r="F456" s="40"/>
      <c r="G456" s="41" t="str">
        <f aca="false">IF(E456="","",E456*IFERROR(INDEX(Lists!$D$5:$D$29,MATCH(D456,Lists!$C$5:$C$29,0)),1)*IF(F456="",1,F456))</f>
        <v/>
      </c>
    </row>
    <row r="457" customFormat="false" ht="15" hidden="false" customHeight="false" outlineLevel="0" collapsed="false">
      <c r="A457" s="31"/>
      <c r="B457" s="21"/>
      <c r="C457" s="21"/>
      <c r="D457" s="21"/>
      <c r="E457" s="32"/>
      <c r="F457" s="40"/>
      <c r="G457" s="41" t="str">
        <f aca="false">IF(E457="","",E457*IFERROR(INDEX(Lists!$D$5:$D$29,MATCH(D457,Lists!$C$5:$C$29,0)),1)*IF(F457="",1,F457))</f>
        <v/>
      </c>
    </row>
    <row r="458" customFormat="false" ht="15" hidden="false" customHeight="false" outlineLevel="0" collapsed="false">
      <c r="A458" s="31"/>
      <c r="B458" s="21"/>
      <c r="C458" s="21"/>
      <c r="D458" s="21"/>
      <c r="E458" s="32"/>
      <c r="F458" s="40"/>
      <c r="G458" s="41" t="str">
        <f aca="false">IF(E458="","",E458*IFERROR(INDEX(Lists!$D$5:$D$29,MATCH(D458,Lists!$C$5:$C$29,0)),1)*IF(F458="",1,F458))</f>
        <v/>
      </c>
    </row>
    <row r="459" customFormat="false" ht="15" hidden="false" customHeight="false" outlineLevel="0" collapsed="false">
      <c r="A459" s="31"/>
      <c r="B459" s="21"/>
      <c r="C459" s="21"/>
      <c r="D459" s="21"/>
      <c r="E459" s="32"/>
      <c r="F459" s="40"/>
      <c r="G459" s="41" t="str">
        <f aca="false">IF(E459="","",E459*IFERROR(INDEX(Lists!$D$5:$D$29,MATCH(D459,Lists!$C$5:$C$29,0)),1)*IF(F459="",1,F459))</f>
        <v/>
      </c>
    </row>
    <row r="460" customFormat="false" ht="15" hidden="false" customHeight="false" outlineLevel="0" collapsed="false">
      <c r="A460" s="31"/>
      <c r="B460" s="21"/>
      <c r="C460" s="21"/>
      <c r="D460" s="21"/>
      <c r="E460" s="32"/>
      <c r="F460" s="40"/>
      <c r="G460" s="41" t="str">
        <f aca="false">IF(E460="","",E460*IFERROR(INDEX(Lists!$D$5:$D$29,MATCH(D460,Lists!$C$5:$C$29,0)),1)*IF(F460="",1,F460))</f>
        <v/>
      </c>
    </row>
    <row r="461" customFormat="false" ht="15" hidden="false" customHeight="false" outlineLevel="0" collapsed="false">
      <c r="A461" s="31"/>
      <c r="B461" s="21"/>
      <c r="C461" s="21"/>
      <c r="D461" s="21"/>
      <c r="E461" s="32"/>
      <c r="F461" s="40"/>
      <c r="G461" s="41" t="str">
        <f aca="false">IF(E461="","",E461*IFERROR(INDEX(Lists!$D$5:$D$29,MATCH(D461,Lists!$C$5:$C$29,0)),1)*IF(F461="",1,F461))</f>
        <v/>
      </c>
    </row>
    <row r="462" customFormat="false" ht="15" hidden="false" customHeight="false" outlineLevel="0" collapsed="false">
      <c r="A462" s="31"/>
      <c r="B462" s="21"/>
      <c r="C462" s="21"/>
      <c r="D462" s="21"/>
      <c r="E462" s="32"/>
      <c r="F462" s="40"/>
      <c r="G462" s="41" t="str">
        <f aca="false">IF(E462="","",E462*IFERROR(INDEX(Lists!$D$5:$D$29,MATCH(D462,Lists!$C$5:$C$29,0)),1)*IF(F462="",1,F462))</f>
        <v/>
      </c>
    </row>
    <row r="463" customFormat="false" ht="15" hidden="false" customHeight="false" outlineLevel="0" collapsed="false">
      <c r="A463" s="31"/>
      <c r="B463" s="21"/>
      <c r="C463" s="21"/>
      <c r="D463" s="21"/>
      <c r="E463" s="32"/>
      <c r="F463" s="40"/>
      <c r="G463" s="41" t="str">
        <f aca="false">IF(E463="","",E463*IFERROR(INDEX(Lists!$D$5:$D$29,MATCH(D463,Lists!$C$5:$C$29,0)),1)*IF(F463="",1,F463))</f>
        <v/>
      </c>
    </row>
    <row r="464" customFormat="false" ht="15" hidden="false" customHeight="false" outlineLevel="0" collapsed="false">
      <c r="A464" s="31"/>
      <c r="B464" s="21"/>
      <c r="C464" s="21"/>
      <c r="D464" s="21"/>
      <c r="E464" s="32"/>
      <c r="F464" s="40"/>
      <c r="G464" s="41" t="str">
        <f aca="false">IF(E464="","",E464*IFERROR(INDEX(Lists!$D$5:$D$29,MATCH(D464,Lists!$C$5:$C$29,0)),1)*IF(F464="",1,F464))</f>
        <v/>
      </c>
    </row>
    <row r="465" customFormat="false" ht="15" hidden="false" customHeight="false" outlineLevel="0" collapsed="false">
      <c r="A465" s="31"/>
      <c r="B465" s="21"/>
      <c r="C465" s="21"/>
      <c r="D465" s="21"/>
      <c r="E465" s="32"/>
      <c r="F465" s="40"/>
      <c r="G465" s="41" t="str">
        <f aca="false">IF(E465="","",E465*IFERROR(INDEX(Lists!$D$5:$D$29,MATCH(D465,Lists!$C$5:$C$29,0)),1)*IF(F465="",1,F465))</f>
        <v/>
      </c>
    </row>
    <row r="466" customFormat="false" ht="15" hidden="false" customHeight="false" outlineLevel="0" collapsed="false">
      <c r="A466" s="31"/>
      <c r="B466" s="21"/>
      <c r="C466" s="21"/>
      <c r="D466" s="21"/>
      <c r="E466" s="32"/>
      <c r="F466" s="40"/>
      <c r="G466" s="41" t="str">
        <f aca="false">IF(E466="","",E466*IFERROR(INDEX(Lists!$D$5:$D$29,MATCH(D466,Lists!$C$5:$C$29,0)),1)*IF(F466="",1,F466))</f>
        <v/>
      </c>
    </row>
    <row r="467" customFormat="false" ht="15" hidden="false" customHeight="false" outlineLevel="0" collapsed="false">
      <c r="A467" s="31"/>
      <c r="B467" s="21"/>
      <c r="C467" s="21"/>
      <c r="D467" s="21"/>
      <c r="E467" s="32"/>
      <c r="F467" s="40"/>
      <c r="G467" s="41" t="str">
        <f aca="false">IF(E467="","",E467*IFERROR(INDEX(Lists!$D$5:$D$29,MATCH(D467,Lists!$C$5:$C$29,0)),1)*IF(F467="",1,F467))</f>
        <v/>
      </c>
    </row>
    <row r="468" customFormat="false" ht="15" hidden="false" customHeight="false" outlineLevel="0" collapsed="false">
      <c r="A468" s="31"/>
      <c r="B468" s="21"/>
      <c r="C468" s="21"/>
      <c r="D468" s="21"/>
      <c r="E468" s="32"/>
      <c r="F468" s="40"/>
      <c r="G468" s="41" t="str">
        <f aca="false">IF(E468="","",E468*IFERROR(INDEX(Lists!$D$5:$D$29,MATCH(D468,Lists!$C$5:$C$29,0)),1)*IF(F468="",1,F468))</f>
        <v/>
      </c>
    </row>
    <row r="469" customFormat="false" ht="15" hidden="false" customHeight="false" outlineLevel="0" collapsed="false">
      <c r="A469" s="31"/>
      <c r="B469" s="21"/>
      <c r="C469" s="21"/>
      <c r="D469" s="21"/>
      <c r="E469" s="32"/>
      <c r="F469" s="40"/>
      <c r="G469" s="41" t="str">
        <f aca="false">IF(E469="","",E469*IFERROR(INDEX(Lists!$D$5:$D$29,MATCH(D469,Lists!$C$5:$C$29,0)),1)*IF(F469="",1,F469))</f>
        <v/>
      </c>
    </row>
    <row r="470" customFormat="false" ht="15" hidden="false" customHeight="false" outlineLevel="0" collapsed="false">
      <c r="A470" s="31"/>
      <c r="B470" s="21"/>
      <c r="C470" s="21"/>
      <c r="D470" s="21"/>
      <c r="E470" s="32"/>
      <c r="F470" s="40"/>
      <c r="G470" s="41" t="str">
        <f aca="false">IF(E470="","",E470*IFERROR(INDEX(Lists!$D$5:$D$29,MATCH(D470,Lists!$C$5:$C$29,0)),1)*IF(F470="",1,F470))</f>
        <v/>
      </c>
    </row>
    <row r="471" customFormat="false" ht="15" hidden="false" customHeight="false" outlineLevel="0" collapsed="false">
      <c r="A471" s="31"/>
      <c r="B471" s="21"/>
      <c r="C471" s="21"/>
      <c r="D471" s="21"/>
      <c r="E471" s="32"/>
      <c r="F471" s="40"/>
      <c r="G471" s="41" t="str">
        <f aca="false">IF(E471="","",E471*IFERROR(INDEX(Lists!$D$5:$D$29,MATCH(D471,Lists!$C$5:$C$29,0)),1)*IF(F471="",1,F471))</f>
        <v/>
      </c>
    </row>
    <row r="472" customFormat="false" ht="15" hidden="false" customHeight="false" outlineLevel="0" collapsed="false">
      <c r="A472" s="31"/>
      <c r="B472" s="21"/>
      <c r="C472" s="21"/>
      <c r="D472" s="21"/>
      <c r="E472" s="32"/>
      <c r="F472" s="40"/>
      <c r="G472" s="41" t="str">
        <f aca="false">IF(E472="","",E472*IFERROR(INDEX(Lists!$D$5:$D$29,MATCH(D472,Lists!$C$5:$C$29,0)),1)*IF(F472="",1,F472))</f>
        <v/>
      </c>
    </row>
    <row r="473" customFormat="false" ht="15" hidden="false" customHeight="false" outlineLevel="0" collapsed="false">
      <c r="A473" s="31"/>
      <c r="B473" s="21"/>
      <c r="C473" s="21"/>
      <c r="D473" s="21"/>
      <c r="E473" s="32"/>
      <c r="F473" s="40"/>
      <c r="G473" s="41" t="str">
        <f aca="false">IF(E473="","",E473*IFERROR(INDEX(Lists!$D$5:$D$29,MATCH(D473,Lists!$C$5:$C$29,0)),1)*IF(F473="",1,F473))</f>
        <v/>
      </c>
    </row>
    <row r="474" customFormat="false" ht="15" hidden="false" customHeight="false" outlineLevel="0" collapsed="false">
      <c r="A474" s="31"/>
      <c r="B474" s="21"/>
      <c r="C474" s="21"/>
      <c r="D474" s="21"/>
      <c r="E474" s="32"/>
      <c r="F474" s="40"/>
      <c r="G474" s="41" t="str">
        <f aca="false">IF(E474="","",E474*IFERROR(INDEX(Lists!$D$5:$D$29,MATCH(D474,Lists!$C$5:$C$29,0)),1)*IF(F474="",1,F474))</f>
        <v/>
      </c>
    </row>
    <row r="475" customFormat="false" ht="15" hidden="false" customHeight="false" outlineLevel="0" collapsed="false">
      <c r="A475" s="31"/>
      <c r="B475" s="21"/>
      <c r="C475" s="21"/>
      <c r="D475" s="21"/>
      <c r="E475" s="32"/>
      <c r="F475" s="40"/>
      <c r="G475" s="41" t="str">
        <f aca="false">IF(E475="","",E475*IFERROR(INDEX(Lists!$D$5:$D$29,MATCH(D475,Lists!$C$5:$C$29,0)),1)*IF(F475="",1,F475))</f>
        <v/>
      </c>
    </row>
    <row r="476" customFormat="false" ht="15" hidden="false" customHeight="false" outlineLevel="0" collapsed="false">
      <c r="A476" s="31"/>
      <c r="B476" s="21"/>
      <c r="C476" s="21"/>
      <c r="D476" s="21"/>
      <c r="E476" s="32"/>
      <c r="F476" s="40"/>
      <c r="G476" s="41" t="str">
        <f aca="false">IF(E476="","",E476*IFERROR(INDEX(Lists!$D$5:$D$29,MATCH(D476,Lists!$C$5:$C$29,0)),1)*IF(F476="",1,F476))</f>
        <v/>
      </c>
    </row>
    <row r="477" customFormat="false" ht="15" hidden="false" customHeight="false" outlineLevel="0" collapsed="false">
      <c r="A477" s="31"/>
      <c r="B477" s="21"/>
      <c r="C477" s="21"/>
      <c r="D477" s="21"/>
      <c r="E477" s="32"/>
      <c r="F477" s="40"/>
      <c r="G477" s="41" t="str">
        <f aca="false">IF(E477="","",E477*IFERROR(INDEX(Lists!$D$5:$D$29,MATCH(D477,Lists!$C$5:$C$29,0)),1)*IF(F477="",1,F477))</f>
        <v/>
      </c>
    </row>
    <row r="478" customFormat="false" ht="15" hidden="false" customHeight="false" outlineLevel="0" collapsed="false">
      <c r="A478" s="31"/>
      <c r="B478" s="21"/>
      <c r="C478" s="21"/>
      <c r="D478" s="21"/>
      <c r="E478" s="32"/>
      <c r="F478" s="40"/>
      <c r="G478" s="41" t="str">
        <f aca="false">IF(E478="","",E478*IFERROR(INDEX(Lists!$D$5:$D$29,MATCH(D478,Lists!$C$5:$C$29,0)),1)*IF(F478="",1,F478))</f>
        <v/>
      </c>
    </row>
    <row r="479" customFormat="false" ht="15" hidden="false" customHeight="false" outlineLevel="0" collapsed="false">
      <c r="A479" s="31"/>
      <c r="B479" s="21"/>
      <c r="C479" s="21"/>
      <c r="D479" s="21"/>
      <c r="E479" s="32"/>
      <c r="F479" s="40"/>
      <c r="G479" s="41" t="str">
        <f aca="false">IF(E479="","",E479*IFERROR(INDEX(Lists!$D$5:$D$29,MATCH(D479,Lists!$C$5:$C$29,0)),1)*IF(F479="",1,F479))</f>
        <v/>
      </c>
    </row>
    <row r="480" customFormat="false" ht="15" hidden="false" customHeight="false" outlineLevel="0" collapsed="false">
      <c r="A480" s="31"/>
      <c r="B480" s="21"/>
      <c r="C480" s="21"/>
      <c r="D480" s="21"/>
      <c r="E480" s="32"/>
      <c r="F480" s="40"/>
      <c r="G480" s="41" t="str">
        <f aca="false">IF(E480="","",E480*IFERROR(INDEX(Lists!$D$5:$D$29,MATCH(D480,Lists!$C$5:$C$29,0)),1)*IF(F480="",1,F480))</f>
        <v/>
      </c>
    </row>
    <row r="481" customFormat="false" ht="15" hidden="false" customHeight="false" outlineLevel="0" collapsed="false">
      <c r="A481" s="31"/>
      <c r="B481" s="21"/>
      <c r="C481" s="21"/>
      <c r="D481" s="21"/>
      <c r="E481" s="32"/>
      <c r="F481" s="40"/>
      <c r="G481" s="41" t="str">
        <f aca="false">IF(E481="","",E481*IFERROR(INDEX(Lists!$D$5:$D$29,MATCH(D481,Lists!$C$5:$C$29,0)),1)*IF(F481="",1,F481))</f>
        <v/>
      </c>
    </row>
    <row r="482" customFormat="false" ht="15" hidden="false" customHeight="false" outlineLevel="0" collapsed="false">
      <c r="A482" s="31"/>
      <c r="B482" s="21"/>
      <c r="C482" s="21"/>
      <c r="D482" s="21"/>
      <c r="E482" s="32"/>
      <c r="F482" s="40"/>
      <c r="G482" s="41" t="str">
        <f aca="false">IF(E482="","",E482*IFERROR(INDEX(Lists!$D$5:$D$29,MATCH(D482,Lists!$C$5:$C$29,0)),1)*IF(F482="",1,F482))</f>
        <v/>
      </c>
    </row>
    <row r="483" customFormat="false" ht="15" hidden="false" customHeight="false" outlineLevel="0" collapsed="false">
      <c r="A483" s="31"/>
      <c r="B483" s="21"/>
      <c r="C483" s="21"/>
      <c r="D483" s="21"/>
      <c r="E483" s="32"/>
      <c r="F483" s="40"/>
      <c r="G483" s="41" t="str">
        <f aca="false">IF(E483="","",E483*IFERROR(INDEX(Lists!$D$5:$D$29,MATCH(D483,Lists!$C$5:$C$29,0)),1)*IF(F483="",1,F483))</f>
        <v/>
      </c>
    </row>
    <row r="484" customFormat="false" ht="15" hidden="false" customHeight="false" outlineLevel="0" collapsed="false">
      <c r="A484" s="31"/>
      <c r="B484" s="21"/>
      <c r="C484" s="21"/>
      <c r="D484" s="21"/>
      <c r="E484" s="32"/>
      <c r="F484" s="40"/>
      <c r="G484" s="41" t="str">
        <f aca="false">IF(E484="","",E484*IFERROR(INDEX(Lists!$D$5:$D$29,MATCH(D484,Lists!$C$5:$C$29,0)),1)*IF(F484="",1,F484))</f>
        <v/>
      </c>
    </row>
    <row r="485" customFormat="false" ht="15" hidden="false" customHeight="false" outlineLevel="0" collapsed="false">
      <c r="A485" s="31"/>
      <c r="B485" s="21"/>
      <c r="C485" s="21"/>
      <c r="D485" s="21"/>
      <c r="E485" s="32"/>
      <c r="F485" s="40"/>
      <c r="G485" s="41" t="str">
        <f aca="false">IF(E485="","",E485*IFERROR(INDEX(Lists!$D$5:$D$29,MATCH(D485,Lists!$C$5:$C$29,0)),1)*IF(F485="",1,F485))</f>
        <v/>
      </c>
    </row>
    <row r="486" customFormat="false" ht="15" hidden="false" customHeight="false" outlineLevel="0" collapsed="false">
      <c r="A486" s="31"/>
      <c r="B486" s="21"/>
      <c r="C486" s="21"/>
      <c r="D486" s="21"/>
      <c r="E486" s="32"/>
      <c r="F486" s="40"/>
      <c r="G486" s="41" t="str">
        <f aca="false">IF(E486="","",E486*IFERROR(INDEX(Lists!$D$5:$D$29,MATCH(D486,Lists!$C$5:$C$29,0)),1)*IF(F486="",1,F486))</f>
        <v/>
      </c>
    </row>
    <row r="487" customFormat="false" ht="15" hidden="false" customHeight="false" outlineLevel="0" collapsed="false">
      <c r="A487" s="31"/>
      <c r="B487" s="21"/>
      <c r="C487" s="21"/>
      <c r="D487" s="21"/>
      <c r="E487" s="32"/>
      <c r="F487" s="40"/>
      <c r="G487" s="41" t="str">
        <f aca="false">IF(E487="","",E487*IFERROR(INDEX(Lists!$D$5:$D$29,MATCH(D487,Lists!$C$5:$C$29,0)),1)*IF(F487="",1,F487))</f>
        <v/>
      </c>
    </row>
    <row r="488" customFormat="false" ht="15" hidden="false" customHeight="false" outlineLevel="0" collapsed="false">
      <c r="A488" s="31"/>
      <c r="B488" s="21"/>
      <c r="C488" s="21"/>
      <c r="D488" s="21"/>
      <c r="E488" s="32"/>
      <c r="F488" s="40"/>
      <c r="G488" s="41" t="str">
        <f aca="false">IF(E488="","",E488*IFERROR(INDEX(Lists!$D$5:$D$29,MATCH(D488,Lists!$C$5:$C$29,0)),1)*IF(F488="",1,F488))</f>
        <v/>
      </c>
    </row>
    <row r="489" customFormat="false" ht="15" hidden="false" customHeight="false" outlineLevel="0" collapsed="false">
      <c r="A489" s="31"/>
      <c r="B489" s="21"/>
      <c r="C489" s="21"/>
      <c r="D489" s="21"/>
      <c r="E489" s="32"/>
      <c r="F489" s="40"/>
      <c r="G489" s="41" t="str">
        <f aca="false">IF(E489="","",E489*IFERROR(INDEX(Lists!$D$5:$D$29,MATCH(D489,Lists!$C$5:$C$29,0)),1)*IF(F489="",1,F489))</f>
        <v/>
      </c>
    </row>
    <row r="490" customFormat="false" ht="15" hidden="false" customHeight="false" outlineLevel="0" collapsed="false">
      <c r="A490" s="31"/>
      <c r="B490" s="21"/>
      <c r="C490" s="21"/>
      <c r="D490" s="21"/>
      <c r="E490" s="32"/>
      <c r="F490" s="40"/>
      <c r="G490" s="41" t="str">
        <f aca="false">IF(E490="","",E490*IFERROR(INDEX(Lists!$D$5:$D$29,MATCH(D490,Lists!$C$5:$C$29,0)),1)*IF(F490="",1,F490))</f>
        <v/>
      </c>
    </row>
    <row r="491" customFormat="false" ht="15" hidden="false" customHeight="false" outlineLevel="0" collapsed="false">
      <c r="A491" s="31"/>
      <c r="B491" s="21"/>
      <c r="C491" s="21"/>
      <c r="D491" s="21"/>
      <c r="E491" s="32"/>
      <c r="F491" s="40"/>
      <c r="G491" s="41" t="str">
        <f aca="false">IF(E491="","",E491*IFERROR(INDEX(Lists!$D$5:$D$29,MATCH(D491,Lists!$C$5:$C$29,0)),1)*IF(F491="",1,F491))</f>
        <v/>
      </c>
    </row>
    <row r="492" customFormat="false" ht="15" hidden="false" customHeight="false" outlineLevel="0" collapsed="false">
      <c r="A492" s="31"/>
      <c r="B492" s="21"/>
      <c r="C492" s="21"/>
      <c r="D492" s="21"/>
      <c r="E492" s="32"/>
      <c r="F492" s="40"/>
      <c r="G492" s="41" t="str">
        <f aca="false">IF(E492="","",E492*IFERROR(INDEX(Lists!$D$5:$D$29,MATCH(D492,Lists!$C$5:$C$29,0)),1)*IF(F492="",1,F492))</f>
        <v/>
      </c>
    </row>
    <row r="493" customFormat="false" ht="15" hidden="false" customHeight="false" outlineLevel="0" collapsed="false">
      <c r="A493" s="31"/>
      <c r="B493" s="21"/>
      <c r="C493" s="21"/>
      <c r="D493" s="21"/>
      <c r="E493" s="32"/>
      <c r="F493" s="40"/>
      <c r="G493" s="41" t="str">
        <f aca="false">IF(E493="","",E493*IFERROR(INDEX(Lists!$D$5:$D$29,MATCH(D493,Lists!$C$5:$C$29,0)),1)*IF(F493="",1,F493))</f>
        <v/>
      </c>
    </row>
    <row r="494" customFormat="false" ht="15" hidden="false" customHeight="false" outlineLevel="0" collapsed="false">
      <c r="A494" s="31"/>
      <c r="B494" s="21"/>
      <c r="C494" s="21"/>
      <c r="D494" s="21"/>
      <c r="E494" s="32"/>
      <c r="F494" s="40"/>
      <c r="G494" s="41" t="str">
        <f aca="false">IF(E494="","",E494*IFERROR(INDEX(Lists!$D$5:$D$29,MATCH(D494,Lists!$C$5:$C$29,0)),1)*IF(F494="",1,F494))</f>
        <v/>
      </c>
    </row>
    <row r="495" customFormat="false" ht="15" hidden="false" customHeight="false" outlineLevel="0" collapsed="false">
      <c r="A495" s="31"/>
      <c r="B495" s="21"/>
      <c r="C495" s="21"/>
      <c r="D495" s="21"/>
      <c r="E495" s="32"/>
      <c r="F495" s="40"/>
      <c r="G495" s="41" t="str">
        <f aca="false">IF(E495="","",E495*IFERROR(INDEX(Lists!$D$5:$D$29,MATCH(D495,Lists!$C$5:$C$29,0)),1)*IF(F495="",1,F495))</f>
        <v/>
      </c>
    </row>
    <row r="496" customFormat="false" ht="15" hidden="false" customHeight="false" outlineLevel="0" collapsed="false">
      <c r="A496" s="31"/>
      <c r="B496" s="21"/>
      <c r="C496" s="21"/>
      <c r="D496" s="21"/>
      <c r="E496" s="32"/>
      <c r="F496" s="40"/>
      <c r="G496" s="41" t="str">
        <f aca="false">IF(E496="","",E496*IFERROR(INDEX(Lists!$D$5:$D$29,MATCH(D496,Lists!$C$5:$C$29,0)),1)*IF(F496="",1,F496))</f>
        <v/>
      </c>
    </row>
    <row r="497" customFormat="false" ht="15" hidden="false" customHeight="false" outlineLevel="0" collapsed="false">
      <c r="A497" s="31"/>
      <c r="B497" s="21"/>
      <c r="C497" s="21"/>
      <c r="D497" s="21"/>
      <c r="E497" s="32"/>
      <c r="F497" s="40"/>
      <c r="G497" s="41" t="str">
        <f aca="false">IF(E497="","",E497*IFERROR(INDEX(Lists!$D$5:$D$29,MATCH(D497,Lists!$C$5:$C$29,0)),1)*IF(F497="",1,F497))</f>
        <v/>
      </c>
    </row>
    <row r="498" customFormat="false" ht="15" hidden="false" customHeight="false" outlineLevel="0" collapsed="false">
      <c r="A498" s="31"/>
      <c r="B498" s="21"/>
      <c r="C498" s="21"/>
      <c r="D498" s="21"/>
      <c r="E498" s="32"/>
      <c r="F498" s="40"/>
      <c r="G498" s="41" t="str">
        <f aca="false">IF(E498="","",E498*IFERROR(INDEX(Lists!$D$5:$D$29,MATCH(D498,Lists!$C$5:$C$29,0)),1)*IF(F498="",1,F498))</f>
        <v/>
      </c>
    </row>
    <row r="499" customFormat="false" ht="15" hidden="false" customHeight="false" outlineLevel="0" collapsed="false">
      <c r="A499" s="31"/>
      <c r="B499" s="21"/>
      <c r="C499" s="21"/>
      <c r="D499" s="21"/>
      <c r="E499" s="32"/>
      <c r="F499" s="40"/>
      <c r="G499" s="41" t="str">
        <f aca="false">IF(E499="","",E499*IFERROR(INDEX(Lists!$D$5:$D$29,MATCH(D499,Lists!$C$5:$C$29,0)),1)*IF(F499="",1,F499))</f>
        <v/>
      </c>
    </row>
    <row r="500" customFormat="false" ht="15" hidden="false" customHeight="false" outlineLevel="0" collapsed="false">
      <c r="A500" s="31"/>
      <c r="B500" s="21"/>
      <c r="C500" s="21"/>
      <c r="D500" s="21"/>
      <c r="E500" s="32"/>
      <c r="F500" s="40"/>
      <c r="G500" s="41" t="str">
        <f aca="false">IF(E500="","",E500*IFERROR(INDEX(Lists!$D$5:$D$29,MATCH(D500,Lists!$C$5:$C$29,0)),1)*IF(F500="",1,F500))</f>
        <v/>
      </c>
    </row>
    <row r="501" customFormat="false" ht="15" hidden="false" customHeight="false" outlineLevel="0" collapsed="false">
      <c r="A501" s="31"/>
      <c r="B501" s="21"/>
      <c r="C501" s="21"/>
      <c r="D501" s="21"/>
      <c r="E501" s="32"/>
      <c r="F501" s="40"/>
      <c r="G501" s="41" t="str">
        <f aca="false">IF(E501="","",E501*IFERROR(INDEX(Lists!$D$5:$D$29,MATCH(D501,Lists!$C$5:$C$29,0)),1)*IF(F501="",1,F501))</f>
        <v/>
      </c>
    </row>
    <row r="502" customFormat="false" ht="15" hidden="false" customHeight="false" outlineLevel="0" collapsed="false">
      <c r="A502" s="31"/>
      <c r="B502" s="21"/>
      <c r="C502" s="21"/>
      <c r="D502" s="21"/>
      <c r="E502" s="32"/>
      <c r="F502" s="40"/>
      <c r="G502" s="41" t="str">
        <f aca="false">IF(E502="","",E502*IFERROR(INDEX(Lists!$D$5:$D$29,MATCH(D502,Lists!$C$5:$C$29,0)),1)*IF(F502="",1,F502))</f>
        <v/>
      </c>
    </row>
    <row r="503" customFormat="false" ht="15" hidden="false" customHeight="false" outlineLevel="0" collapsed="false">
      <c r="A503" s="31"/>
      <c r="B503" s="21"/>
      <c r="C503" s="21"/>
      <c r="D503" s="21"/>
      <c r="E503" s="32"/>
      <c r="F503" s="40"/>
      <c r="G503" s="41" t="str">
        <f aca="false">IF(E503="","",E503*IFERROR(INDEX(Lists!$D$5:$D$29,MATCH(D503,Lists!$C$5:$C$29,0)),1)*IF(F503="",1,F503))</f>
        <v/>
      </c>
    </row>
    <row r="504" customFormat="false" ht="15" hidden="false" customHeight="false" outlineLevel="0" collapsed="false">
      <c r="A504" s="31"/>
      <c r="B504" s="21"/>
      <c r="C504" s="21"/>
      <c r="D504" s="21"/>
      <c r="E504" s="32"/>
      <c r="F504" s="40"/>
      <c r="G504" s="41" t="str">
        <f aca="false">IF(E504="","",E504*IFERROR(INDEX(Lists!$D$5:$D$29,MATCH(D504,Lists!$C$5:$C$29,0)),1)*IF(F504="",1,F504))</f>
        <v/>
      </c>
    </row>
  </sheetData>
  <autoFilter ref="A4:G504"/>
  <dataValidations count="1">
    <dataValidation allowBlank="true" errorStyle="stop" operator="between" showDropDown="false" showErrorMessage="false" showInputMessage="false" sqref="D5:D504" type="list">
      <formula1>Lists!$C$5:$C$29</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3" min="2" style="0" width="22"/>
    <col collapsed="false" customWidth="true" hidden="false" outlineLevel="0" max="4" min="4" style="0" width="30"/>
    <col collapsed="false" customWidth="true" hidden="false" outlineLevel="0" max="5" min="5" style="0" width="12"/>
    <col collapsed="false" customWidth="true" hidden="false" outlineLevel="0" max="6" min="6" style="0" width="16"/>
  </cols>
  <sheetData>
    <row r="1" customFormat="false" ht="24.45" hidden="false" customHeight="false" outlineLevel="0" collapsed="false">
      <c r="A1" s="1" t="s">
        <v>112</v>
      </c>
    </row>
    <row r="2" customFormat="false" ht="15" hidden="false" customHeight="false" outlineLevel="0" collapsed="false">
      <c r="A2" s="2" t="s">
        <v>113</v>
      </c>
    </row>
    <row r="3" customFormat="false" ht="15" hidden="false" customHeight="false" outlineLevel="0" collapsed="false">
      <c r="A3" s="15" t="s">
        <v>105</v>
      </c>
      <c r="E3" s="42" t="n">
        <f aca="false">SUM(E5:E504)</f>
        <v>18.4</v>
      </c>
      <c r="F3" s="34" t="n">
        <f aca="false">SUM(F5:F504)</f>
        <v>12.88</v>
      </c>
    </row>
    <row r="4" customFormat="false" ht="30" hidden="false" customHeight="true" outlineLevel="0" collapsed="false">
      <c r="A4" s="17" t="s">
        <v>95</v>
      </c>
      <c r="B4" s="17" t="s">
        <v>114</v>
      </c>
      <c r="C4" s="17" t="s">
        <v>115</v>
      </c>
      <c r="D4" s="17" t="s">
        <v>116</v>
      </c>
      <c r="E4" s="17" t="s">
        <v>117</v>
      </c>
      <c r="F4" s="17" t="s">
        <v>118</v>
      </c>
    </row>
    <row r="5" customFormat="false" ht="15" hidden="false" customHeight="false" outlineLevel="0" collapsed="false">
      <c r="A5" s="35" t="n">
        <v>46042</v>
      </c>
      <c r="B5" s="36" t="s">
        <v>119</v>
      </c>
      <c r="C5" s="36" t="s">
        <v>120</v>
      </c>
      <c r="D5" s="36" t="s">
        <v>121</v>
      </c>
      <c r="E5" s="43" t="n">
        <v>18.4</v>
      </c>
      <c r="F5" s="39" t="n">
        <f aca="false">IF(E5="","",E5*'Start Here'!$C$12)</f>
        <v>12.88</v>
      </c>
    </row>
    <row r="6" customFormat="false" ht="15" hidden="false" customHeight="false" outlineLevel="0" collapsed="false">
      <c r="A6" s="31"/>
      <c r="B6" s="21"/>
      <c r="C6" s="21"/>
      <c r="D6" s="21"/>
      <c r="E6" s="44"/>
      <c r="F6" s="41" t="str">
        <f aca="false">IF(E6="","",E6*'Start Here'!$C$12)</f>
        <v/>
      </c>
    </row>
    <row r="7" customFormat="false" ht="15" hidden="false" customHeight="false" outlineLevel="0" collapsed="false">
      <c r="A7" s="31"/>
      <c r="B7" s="21"/>
      <c r="C7" s="21"/>
      <c r="D7" s="21"/>
      <c r="E7" s="44"/>
      <c r="F7" s="41" t="str">
        <f aca="false">IF(E7="","",E7*'Start Here'!$C$12)</f>
        <v/>
      </c>
    </row>
    <row r="8" customFormat="false" ht="15" hidden="false" customHeight="false" outlineLevel="0" collapsed="false">
      <c r="A8" s="31"/>
      <c r="B8" s="21"/>
      <c r="C8" s="21"/>
      <c r="D8" s="21"/>
      <c r="E8" s="44"/>
      <c r="F8" s="41" t="str">
        <f aca="false">IF(E8="","",E8*'Start Here'!$C$12)</f>
        <v/>
      </c>
    </row>
    <row r="9" customFormat="false" ht="15" hidden="false" customHeight="false" outlineLevel="0" collapsed="false">
      <c r="A9" s="31"/>
      <c r="B9" s="21"/>
      <c r="C9" s="21"/>
      <c r="D9" s="21"/>
      <c r="E9" s="44"/>
      <c r="F9" s="41" t="str">
        <f aca="false">IF(E9="","",E9*'Start Here'!$C$12)</f>
        <v/>
      </c>
    </row>
    <row r="10" customFormat="false" ht="15" hidden="false" customHeight="false" outlineLevel="0" collapsed="false">
      <c r="A10" s="31"/>
      <c r="B10" s="21"/>
      <c r="C10" s="21"/>
      <c r="D10" s="21"/>
      <c r="E10" s="44"/>
      <c r="F10" s="41" t="str">
        <f aca="false">IF(E10="","",E10*'Start Here'!$C$12)</f>
        <v/>
      </c>
    </row>
    <row r="11" customFormat="false" ht="15" hidden="false" customHeight="false" outlineLevel="0" collapsed="false">
      <c r="A11" s="31"/>
      <c r="B11" s="21"/>
      <c r="C11" s="21"/>
      <c r="D11" s="21"/>
      <c r="E11" s="44"/>
      <c r="F11" s="41" t="str">
        <f aca="false">IF(E11="","",E11*'Start Here'!$C$12)</f>
        <v/>
      </c>
    </row>
    <row r="12" customFormat="false" ht="15" hidden="false" customHeight="false" outlineLevel="0" collapsed="false">
      <c r="A12" s="31"/>
      <c r="B12" s="21"/>
      <c r="C12" s="21"/>
      <c r="D12" s="21"/>
      <c r="E12" s="44"/>
      <c r="F12" s="41" t="str">
        <f aca="false">IF(E12="","",E12*'Start Here'!$C$12)</f>
        <v/>
      </c>
    </row>
    <row r="13" customFormat="false" ht="15" hidden="false" customHeight="false" outlineLevel="0" collapsed="false">
      <c r="A13" s="31"/>
      <c r="B13" s="21"/>
      <c r="C13" s="21"/>
      <c r="D13" s="21"/>
      <c r="E13" s="44"/>
      <c r="F13" s="41" t="str">
        <f aca="false">IF(E13="","",E13*'Start Here'!$C$12)</f>
        <v/>
      </c>
    </row>
    <row r="14" customFormat="false" ht="15" hidden="false" customHeight="false" outlineLevel="0" collapsed="false">
      <c r="A14" s="31"/>
      <c r="B14" s="21"/>
      <c r="C14" s="21"/>
      <c r="D14" s="21"/>
      <c r="E14" s="44"/>
      <c r="F14" s="41" t="str">
        <f aca="false">IF(E14="","",E14*'Start Here'!$C$12)</f>
        <v/>
      </c>
    </row>
    <row r="15" customFormat="false" ht="15" hidden="false" customHeight="false" outlineLevel="0" collapsed="false">
      <c r="A15" s="31"/>
      <c r="B15" s="21"/>
      <c r="C15" s="21"/>
      <c r="D15" s="21"/>
      <c r="E15" s="44"/>
      <c r="F15" s="41" t="str">
        <f aca="false">IF(E15="","",E15*'Start Here'!$C$12)</f>
        <v/>
      </c>
    </row>
    <row r="16" customFormat="false" ht="15" hidden="false" customHeight="false" outlineLevel="0" collapsed="false">
      <c r="A16" s="31"/>
      <c r="B16" s="21"/>
      <c r="C16" s="21"/>
      <c r="D16" s="21"/>
      <c r="E16" s="44"/>
      <c r="F16" s="41" t="str">
        <f aca="false">IF(E16="","",E16*'Start Here'!$C$12)</f>
        <v/>
      </c>
    </row>
    <row r="17" customFormat="false" ht="15" hidden="false" customHeight="false" outlineLevel="0" collapsed="false">
      <c r="A17" s="31"/>
      <c r="B17" s="21"/>
      <c r="C17" s="21"/>
      <c r="D17" s="21"/>
      <c r="E17" s="44"/>
      <c r="F17" s="41" t="str">
        <f aca="false">IF(E17="","",E17*'Start Here'!$C$12)</f>
        <v/>
      </c>
    </row>
    <row r="18" customFormat="false" ht="15" hidden="false" customHeight="false" outlineLevel="0" collapsed="false">
      <c r="A18" s="31"/>
      <c r="B18" s="21"/>
      <c r="C18" s="21"/>
      <c r="D18" s="21"/>
      <c r="E18" s="44"/>
      <c r="F18" s="41" t="str">
        <f aca="false">IF(E18="","",E18*'Start Here'!$C$12)</f>
        <v/>
      </c>
    </row>
    <row r="19" customFormat="false" ht="15" hidden="false" customHeight="false" outlineLevel="0" collapsed="false">
      <c r="A19" s="31"/>
      <c r="B19" s="21"/>
      <c r="C19" s="21"/>
      <c r="D19" s="21"/>
      <c r="E19" s="44"/>
      <c r="F19" s="41" t="str">
        <f aca="false">IF(E19="","",E19*'Start Here'!$C$12)</f>
        <v/>
      </c>
    </row>
    <row r="20" customFormat="false" ht="15" hidden="false" customHeight="false" outlineLevel="0" collapsed="false">
      <c r="A20" s="31"/>
      <c r="B20" s="21"/>
      <c r="C20" s="21"/>
      <c r="D20" s="21"/>
      <c r="E20" s="44"/>
      <c r="F20" s="41" t="str">
        <f aca="false">IF(E20="","",E20*'Start Here'!$C$12)</f>
        <v/>
      </c>
    </row>
    <row r="21" customFormat="false" ht="15" hidden="false" customHeight="false" outlineLevel="0" collapsed="false">
      <c r="A21" s="31"/>
      <c r="B21" s="21"/>
      <c r="C21" s="21"/>
      <c r="D21" s="21"/>
      <c r="E21" s="44"/>
      <c r="F21" s="41" t="str">
        <f aca="false">IF(E21="","",E21*'Start Here'!$C$12)</f>
        <v/>
      </c>
    </row>
    <row r="22" customFormat="false" ht="15" hidden="false" customHeight="false" outlineLevel="0" collapsed="false">
      <c r="A22" s="31"/>
      <c r="B22" s="21"/>
      <c r="C22" s="21"/>
      <c r="D22" s="21"/>
      <c r="E22" s="44"/>
      <c r="F22" s="41" t="str">
        <f aca="false">IF(E22="","",E22*'Start Here'!$C$12)</f>
        <v/>
      </c>
    </row>
    <row r="23" customFormat="false" ht="15" hidden="false" customHeight="false" outlineLevel="0" collapsed="false">
      <c r="A23" s="31"/>
      <c r="B23" s="21"/>
      <c r="C23" s="21"/>
      <c r="D23" s="21"/>
      <c r="E23" s="44"/>
      <c r="F23" s="41" t="str">
        <f aca="false">IF(E23="","",E23*'Start Here'!$C$12)</f>
        <v/>
      </c>
    </row>
    <row r="24" customFormat="false" ht="15" hidden="false" customHeight="false" outlineLevel="0" collapsed="false">
      <c r="A24" s="31"/>
      <c r="B24" s="21"/>
      <c r="C24" s="21"/>
      <c r="D24" s="21"/>
      <c r="E24" s="44"/>
      <c r="F24" s="41" t="str">
        <f aca="false">IF(E24="","",E24*'Start Here'!$C$12)</f>
        <v/>
      </c>
    </row>
    <row r="25" customFormat="false" ht="15" hidden="false" customHeight="false" outlineLevel="0" collapsed="false">
      <c r="A25" s="31"/>
      <c r="B25" s="21"/>
      <c r="C25" s="21"/>
      <c r="D25" s="21"/>
      <c r="E25" s="44"/>
      <c r="F25" s="41" t="str">
        <f aca="false">IF(E25="","",E25*'Start Here'!$C$12)</f>
        <v/>
      </c>
    </row>
    <row r="26" customFormat="false" ht="15" hidden="false" customHeight="false" outlineLevel="0" collapsed="false">
      <c r="A26" s="31"/>
      <c r="B26" s="21"/>
      <c r="C26" s="21"/>
      <c r="D26" s="21"/>
      <c r="E26" s="44"/>
      <c r="F26" s="41" t="str">
        <f aca="false">IF(E26="","",E26*'Start Here'!$C$12)</f>
        <v/>
      </c>
    </row>
    <row r="27" customFormat="false" ht="15" hidden="false" customHeight="false" outlineLevel="0" collapsed="false">
      <c r="A27" s="31"/>
      <c r="B27" s="21"/>
      <c r="C27" s="21"/>
      <c r="D27" s="21"/>
      <c r="E27" s="44"/>
      <c r="F27" s="41" t="str">
        <f aca="false">IF(E27="","",E27*'Start Here'!$C$12)</f>
        <v/>
      </c>
    </row>
    <row r="28" customFormat="false" ht="15" hidden="false" customHeight="false" outlineLevel="0" collapsed="false">
      <c r="A28" s="31"/>
      <c r="B28" s="21"/>
      <c r="C28" s="21"/>
      <c r="D28" s="21"/>
      <c r="E28" s="44"/>
      <c r="F28" s="41" t="str">
        <f aca="false">IF(E28="","",E28*'Start Here'!$C$12)</f>
        <v/>
      </c>
    </row>
    <row r="29" customFormat="false" ht="15" hidden="false" customHeight="false" outlineLevel="0" collapsed="false">
      <c r="A29" s="31"/>
      <c r="B29" s="21"/>
      <c r="C29" s="21"/>
      <c r="D29" s="21"/>
      <c r="E29" s="44"/>
      <c r="F29" s="41" t="str">
        <f aca="false">IF(E29="","",E29*'Start Here'!$C$12)</f>
        <v/>
      </c>
    </row>
    <row r="30" customFormat="false" ht="15" hidden="false" customHeight="false" outlineLevel="0" collapsed="false">
      <c r="A30" s="31"/>
      <c r="B30" s="21"/>
      <c r="C30" s="21"/>
      <c r="D30" s="21"/>
      <c r="E30" s="44"/>
      <c r="F30" s="41" t="str">
        <f aca="false">IF(E30="","",E30*'Start Here'!$C$12)</f>
        <v/>
      </c>
    </row>
    <row r="31" customFormat="false" ht="15" hidden="false" customHeight="false" outlineLevel="0" collapsed="false">
      <c r="A31" s="31"/>
      <c r="B31" s="21"/>
      <c r="C31" s="21"/>
      <c r="D31" s="21"/>
      <c r="E31" s="44"/>
      <c r="F31" s="41" t="str">
        <f aca="false">IF(E31="","",E31*'Start Here'!$C$12)</f>
        <v/>
      </c>
    </row>
    <row r="32" customFormat="false" ht="15" hidden="false" customHeight="false" outlineLevel="0" collapsed="false">
      <c r="A32" s="31"/>
      <c r="B32" s="21"/>
      <c r="C32" s="21"/>
      <c r="D32" s="21"/>
      <c r="E32" s="44"/>
      <c r="F32" s="41" t="str">
        <f aca="false">IF(E32="","",E32*'Start Here'!$C$12)</f>
        <v/>
      </c>
    </row>
    <row r="33" customFormat="false" ht="15" hidden="false" customHeight="false" outlineLevel="0" collapsed="false">
      <c r="A33" s="31"/>
      <c r="B33" s="21"/>
      <c r="C33" s="21"/>
      <c r="D33" s="21"/>
      <c r="E33" s="44"/>
      <c r="F33" s="41" t="str">
        <f aca="false">IF(E33="","",E33*'Start Here'!$C$12)</f>
        <v/>
      </c>
    </row>
    <row r="34" customFormat="false" ht="15" hidden="false" customHeight="false" outlineLevel="0" collapsed="false">
      <c r="A34" s="31"/>
      <c r="B34" s="21"/>
      <c r="C34" s="21"/>
      <c r="D34" s="21"/>
      <c r="E34" s="44"/>
      <c r="F34" s="41" t="str">
        <f aca="false">IF(E34="","",E34*'Start Here'!$C$12)</f>
        <v/>
      </c>
    </row>
    <row r="35" customFormat="false" ht="15" hidden="false" customHeight="false" outlineLevel="0" collapsed="false">
      <c r="A35" s="31"/>
      <c r="B35" s="21"/>
      <c r="C35" s="21"/>
      <c r="D35" s="21"/>
      <c r="E35" s="44"/>
      <c r="F35" s="41" t="str">
        <f aca="false">IF(E35="","",E35*'Start Here'!$C$12)</f>
        <v/>
      </c>
    </row>
    <row r="36" customFormat="false" ht="15" hidden="false" customHeight="false" outlineLevel="0" collapsed="false">
      <c r="A36" s="31"/>
      <c r="B36" s="21"/>
      <c r="C36" s="21"/>
      <c r="D36" s="21"/>
      <c r="E36" s="44"/>
      <c r="F36" s="41" t="str">
        <f aca="false">IF(E36="","",E36*'Start Here'!$C$12)</f>
        <v/>
      </c>
    </row>
    <row r="37" customFormat="false" ht="15" hidden="false" customHeight="false" outlineLevel="0" collapsed="false">
      <c r="A37" s="31"/>
      <c r="B37" s="21"/>
      <c r="C37" s="21"/>
      <c r="D37" s="21"/>
      <c r="E37" s="44"/>
      <c r="F37" s="41" t="str">
        <f aca="false">IF(E37="","",E37*'Start Here'!$C$12)</f>
        <v/>
      </c>
    </row>
    <row r="38" customFormat="false" ht="15" hidden="false" customHeight="false" outlineLevel="0" collapsed="false">
      <c r="A38" s="31"/>
      <c r="B38" s="21"/>
      <c r="C38" s="21"/>
      <c r="D38" s="21"/>
      <c r="E38" s="44"/>
      <c r="F38" s="41" t="str">
        <f aca="false">IF(E38="","",E38*'Start Here'!$C$12)</f>
        <v/>
      </c>
    </row>
    <row r="39" customFormat="false" ht="15" hidden="false" customHeight="false" outlineLevel="0" collapsed="false">
      <c r="A39" s="31"/>
      <c r="B39" s="21"/>
      <c r="C39" s="21"/>
      <c r="D39" s="21"/>
      <c r="E39" s="44"/>
      <c r="F39" s="41" t="str">
        <f aca="false">IF(E39="","",E39*'Start Here'!$C$12)</f>
        <v/>
      </c>
    </row>
    <row r="40" customFormat="false" ht="15" hidden="false" customHeight="false" outlineLevel="0" collapsed="false">
      <c r="A40" s="31"/>
      <c r="B40" s="21"/>
      <c r="C40" s="21"/>
      <c r="D40" s="21"/>
      <c r="E40" s="44"/>
      <c r="F40" s="41" t="str">
        <f aca="false">IF(E40="","",E40*'Start Here'!$C$12)</f>
        <v/>
      </c>
    </row>
    <row r="41" customFormat="false" ht="15" hidden="false" customHeight="false" outlineLevel="0" collapsed="false">
      <c r="A41" s="31"/>
      <c r="B41" s="21"/>
      <c r="C41" s="21"/>
      <c r="D41" s="21"/>
      <c r="E41" s="44"/>
      <c r="F41" s="41" t="str">
        <f aca="false">IF(E41="","",E41*'Start Here'!$C$12)</f>
        <v/>
      </c>
    </row>
    <row r="42" customFormat="false" ht="15" hidden="false" customHeight="false" outlineLevel="0" collapsed="false">
      <c r="A42" s="31"/>
      <c r="B42" s="21"/>
      <c r="C42" s="21"/>
      <c r="D42" s="21"/>
      <c r="E42" s="44"/>
      <c r="F42" s="41" t="str">
        <f aca="false">IF(E42="","",E42*'Start Here'!$C$12)</f>
        <v/>
      </c>
    </row>
    <row r="43" customFormat="false" ht="15" hidden="false" customHeight="false" outlineLevel="0" collapsed="false">
      <c r="A43" s="31"/>
      <c r="B43" s="21"/>
      <c r="C43" s="21"/>
      <c r="D43" s="21"/>
      <c r="E43" s="44"/>
      <c r="F43" s="41" t="str">
        <f aca="false">IF(E43="","",E43*'Start Here'!$C$12)</f>
        <v/>
      </c>
    </row>
    <row r="44" customFormat="false" ht="15" hidden="false" customHeight="false" outlineLevel="0" collapsed="false">
      <c r="A44" s="31"/>
      <c r="B44" s="21"/>
      <c r="C44" s="21"/>
      <c r="D44" s="21"/>
      <c r="E44" s="44"/>
      <c r="F44" s="41" t="str">
        <f aca="false">IF(E44="","",E44*'Start Here'!$C$12)</f>
        <v/>
      </c>
    </row>
    <row r="45" customFormat="false" ht="15" hidden="false" customHeight="false" outlineLevel="0" collapsed="false">
      <c r="A45" s="31"/>
      <c r="B45" s="21"/>
      <c r="C45" s="21"/>
      <c r="D45" s="21"/>
      <c r="E45" s="44"/>
      <c r="F45" s="41" t="str">
        <f aca="false">IF(E45="","",E45*'Start Here'!$C$12)</f>
        <v/>
      </c>
    </row>
    <row r="46" customFormat="false" ht="15" hidden="false" customHeight="false" outlineLevel="0" collapsed="false">
      <c r="A46" s="31"/>
      <c r="B46" s="21"/>
      <c r="C46" s="21"/>
      <c r="D46" s="21"/>
      <c r="E46" s="44"/>
      <c r="F46" s="41" t="str">
        <f aca="false">IF(E46="","",E46*'Start Here'!$C$12)</f>
        <v/>
      </c>
    </row>
    <row r="47" customFormat="false" ht="15" hidden="false" customHeight="false" outlineLevel="0" collapsed="false">
      <c r="A47" s="31"/>
      <c r="B47" s="21"/>
      <c r="C47" s="21"/>
      <c r="D47" s="21"/>
      <c r="E47" s="44"/>
      <c r="F47" s="41" t="str">
        <f aca="false">IF(E47="","",E47*'Start Here'!$C$12)</f>
        <v/>
      </c>
    </row>
    <row r="48" customFormat="false" ht="15" hidden="false" customHeight="false" outlineLevel="0" collapsed="false">
      <c r="A48" s="31"/>
      <c r="B48" s="21"/>
      <c r="C48" s="21"/>
      <c r="D48" s="21"/>
      <c r="E48" s="44"/>
      <c r="F48" s="41" t="str">
        <f aca="false">IF(E48="","",E48*'Start Here'!$C$12)</f>
        <v/>
      </c>
    </row>
    <row r="49" customFormat="false" ht="15" hidden="false" customHeight="false" outlineLevel="0" collapsed="false">
      <c r="A49" s="31"/>
      <c r="B49" s="21"/>
      <c r="C49" s="21"/>
      <c r="D49" s="21"/>
      <c r="E49" s="44"/>
      <c r="F49" s="41" t="str">
        <f aca="false">IF(E49="","",E49*'Start Here'!$C$12)</f>
        <v/>
      </c>
    </row>
    <row r="50" customFormat="false" ht="15" hidden="false" customHeight="false" outlineLevel="0" collapsed="false">
      <c r="A50" s="31"/>
      <c r="B50" s="21"/>
      <c r="C50" s="21"/>
      <c r="D50" s="21"/>
      <c r="E50" s="44"/>
      <c r="F50" s="41" t="str">
        <f aca="false">IF(E50="","",E50*'Start Here'!$C$12)</f>
        <v/>
      </c>
    </row>
    <row r="51" customFormat="false" ht="15" hidden="false" customHeight="false" outlineLevel="0" collapsed="false">
      <c r="A51" s="31"/>
      <c r="B51" s="21"/>
      <c r="C51" s="21"/>
      <c r="D51" s="21"/>
      <c r="E51" s="44"/>
      <c r="F51" s="41" t="str">
        <f aca="false">IF(E51="","",E51*'Start Here'!$C$12)</f>
        <v/>
      </c>
    </row>
    <row r="52" customFormat="false" ht="15" hidden="false" customHeight="false" outlineLevel="0" collapsed="false">
      <c r="A52" s="31"/>
      <c r="B52" s="21"/>
      <c r="C52" s="21"/>
      <c r="D52" s="21"/>
      <c r="E52" s="44"/>
      <c r="F52" s="41" t="str">
        <f aca="false">IF(E52="","",E52*'Start Here'!$C$12)</f>
        <v/>
      </c>
    </row>
    <row r="53" customFormat="false" ht="15" hidden="false" customHeight="false" outlineLevel="0" collapsed="false">
      <c r="A53" s="31"/>
      <c r="B53" s="21"/>
      <c r="C53" s="21"/>
      <c r="D53" s="21"/>
      <c r="E53" s="44"/>
      <c r="F53" s="41" t="str">
        <f aca="false">IF(E53="","",E53*'Start Here'!$C$12)</f>
        <v/>
      </c>
    </row>
    <row r="54" customFormat="false" ht="15" hidden="false" customHeight="false" outlineLevel="0" collapsed="false">
      <c r="A54" s="31"/>
      <c r="B54" s="21"/>
      <c r="C54" s="21"/>
      <c r="D54" s="21"/>
      <c r="E54" s="44"/>
      <c r="F54" s="41" t="str">
        <f aca="false">IF(E54="","",E54*'Start Here'!$C$12)</f>
        <v/>
      </c>
    </row>
    <row r="55" customFormat="false" ht="15" hidden="false" customHeight="false" outlineLevel="0" collapsed="false">
      <c r="A55" s="31"/>
      <c r="B55" s="21"/>
      <c r="C55" s="21"/>
      <c r="D55" s="21"/>
      <c r="E55" s="44"/>
      <c r="F55" s="41" t="str">
        <f aca="false">IF(E55="","",E55*'Start Here'!$C$12)</f>
        <v/>
      </c>
    </row>
    <row r="56" customFormat="false" ht="15" hidden="false" customHeight="false" outlineLevel="0" collapsed="false">
      <c r="A56" s="31"/>
      <c r="B56" s="21"/>
      <c r="C56" s="21"/>
      <c r="D56" s="21"/>
      <c r="E56" s="44"/>
      <c r="F56" s="41" t="str">
        <f aca="false">IF(E56="","",E56*'Start Here'!$C$12)</f>
        <v/>
      </c>
    </row>
    <row r="57" customFormat="false" ht="15" hidden="false" customHeight="false" outlineLevel="0" collapsed="false">
      <c r="A57" s="31"/>
      <c r="B57" s="21"/>
      <c r="C57" s="21"/>
      <c r="D57" s="21"/>
      <c r="E57" s="44"/>
      <c r="F57" s="41" t="str">
        <f aca="false">IF(E57="","",E57*'Start Here'!$C$12)</f>
        <v/>
      </c>
    </row>
    <row r="58" customFormat="false" ht="15" hidden="false" customHeight="false" outlineLevel="0" collapsed="false">
      <c r="A58" s="31"/>
      <c r="B58" s="21"/>
      <c r="C58" s="21"/>
      <c r="D58" s="21"/>
      <c r="E58" s="44"/>
      <c r="F58" s="41" t="str">
        <f aca="false">IF(E58="","",E58*'Start Here'!$C$12)</f>
        <v/>
      </c>
    </row>
    <row r="59" customFormat="false" ht="15" hidden="false" customHeight="false" outlineLevel="0" collapsed="false">
      <c r="A59" s="31"/>
      <c r="B59" s="21"/>
      <c r="C59" s="21"/>
      <c r="D59" s="21"/>
      <c r="E59" s="44"/>
      <c r="F59" s="41" t="str">
        <f aca="false">IF(E59="","",E59*'Start Here'!$C$12)</f>
        <v/>
      </c>
    </row>
    <row r="60" customFormat="false" ht="15" hidden="false" customHeight="false" outlineLevel="0" collapsed="false">
      <c r="A60" s="31"/>
      <c r="B60" s="21"/>
      <c r="C60" s="21"/>
      <c r="D60" s="21"/>
      <c r="E60" s="44"/>
      <c r="F60" s="41" t="str">
        <f aca="false">IF(E60="","",E60*'Start Here'!$C$12)</f>
        <v/>
      </c>
    </row>
    <row r="61" customFormat="false" ht="15" hidden="false" customHeight="false" outlineLevel="0" collapsed="false">
      <c r="A61" s="31"/>
      <c r="B61" s="21"/>
      <c r="C61" s="21"/>
      <c r="D61" s="21"/>
      <c r="E61" s="44"/>
      <c r="F61" s="41" t="str">
        <f aca="false">IF(E61="","",E61*'Start Here'!$C$12)</f>
        <v/>
      </c>
    </row>
    <row r="62" customFormat="false" ht="15" hidden="false" customHeight="false" outlineLevel="0" collapsed="false">
      <c r="A62" s="31"/>
      <c r="B62" s="21"/>
      <c r="C62" s="21"/>
      <c r="D62" s="21"/>
      <c r="E62" s="44"/>
      <c r="F62" s="41" t="str">
        <f aca="false">IF(E62="","",E62*'Start Here'!$C$12)</f>
        <v/>
      </c>
    </row>
    <row r="63" customFormat="false" ht="15" hidden="false" customHeight="false" outlineLevel="0" collapsed="false">
      <c r="A63" s="31"/>
      <c r="B63" s="21"/>
      <c r="C63" s="21"/>
      <c r="D63" s="21"/>
      <c r="E63" s="44"/>
      <c r="F63" s="41" t="str">
        <f aca="false">IF(E63="","",E63*'Start Here'!$C$12)</f>
        <v/>
      </c>
    </row>
    <row r="64" customFormat="false" ht="15" hidden="false" customHeight="false" outlineLevel="0" collapsed="false">
      <c r="A64" s="31"/>
      <c r="B64" s="21"/>
      <c r="C64" s="21"/>
      <c r="D64" s="21"/>
      <c r="E64" s="44"/>
      <c r="F64" s="41" t="str">
        <f aca="false">IF(E64="","",E64*'Start Here'!$C$12)</f>
        <v/>
      </c>
    </row>
    <row r="65" customFormat="false" ht="15" hidden="false" customHeight="false" outlineLevel="0" collapsed="false">
      <c r="A65" s="31"/>
      <c r="B65" s="21"/>
      <c r="C65" s="21"/>
      <c r="D65" s="21"/>
      <c r="E65" s="44"/>
      <c r="F65" s="41" t="str">
        <f aca="false">IF(E65="","",E65*'Start Here'!$C$12)</f>
        <v/>
      </c>
    </row>
    <row r="66" customFormat="false" ht="15" hidden="false" customHeight="false" outlineLevel="0" collapsed="false">
      <c r="A66" s="31"/>
      <c r="B66" s="21"/>
      <c r="C66" s="21"/>
      <c r="D66" s="21"/>
      <c r="E66" s="44"/>
      <c r="F66" s="41" t="str">
        <f aca="false">IF(E66="","",E66*'Start Here'!$C$12)</f>
        <v/>
      </c>
    </row>
    <row r="67" customFormat="false" ht="15" hidden="false" customHeight="false" outlineLevel="0" collapsed="false">
      <c r="A67" s="31"/>
      <c r="B67" s="21"/>
      <c r="C67" s="21"/>
      <c r="D67" s="21"/>
      <c r="E67" s="44"/>
      <c r="F67" s="41" t="str">
        <f aca="false">IF(E67="","",E67*'Start Here'!$C$12)</f>
        <v/>
      </c>
    </row>
    <row r="68" customFormat="false" ht="15" hidden="false" customHeight="false" outlineLevel="0" collapsed="false">
      <c r="A68" s="31"/>
      <c r="B68" s="21"/>
      <c r="C68" s="21"/>
      <c r="D68" s="21"/>
      <c r="E68" s="44"/>
      <c r="F68" s="41" t="str">
        <f aca="false">IF(E68="","",E68*'Start Here'!$C$12)</f>
        <v/>
      </c>
    </row>
    <row r="69" customFormat="false" ht="15" hidden="false" customHeight="false" outlineLevel="0" collapsed="false">
      <c r="A69" s="31"/>
      <c r="B69" s="21"/>
      <c r="C69" s="21"/>
      <c r="D69" s="21"/>
      <c r="E69" s="44"/>
      <c r="F69" s="41" t="str">
        <f aca="false">IF(E69="","",E69*'Start Here'!$C$12)</f>
        <v/>
      </c>
    </row>
    <row r="70" customFormat="false" ht="15" hidden="false" customHeight="false" outlineLevel="0" collapsed="false">
      <c r="A70" s="31"/>
      <c r="B70" s="21"/>
      <c r="C70" s="21"/>
      <c r="D70" s="21"/>
      <c r="E70" s="44"/>
      <c r="F70" s="41" t="str">
        <f aca="false">IF(E70="","",E70*'Start Here'!$C$12)</f>
        <v/>
      </c>
    </row>
    <row r="71" customFormat="false" ht="15" hidden="false" customHeight="false" outlineLevel="0" collapsed="false">
      <c r="A71" s="31"/>
      <c r="B71" s="21"/>
      <c r="C71" s="21"/>
      <c r="D71" s="21"/>
      <c r="E71" s="44"/>
      <c r="F71" s="41" t="str">
        <f aca="false">IF(E71="","",E71*'Start Here'!$C$12)</f>
        <v/>
      </c>
    </row>
    <row r="72" customFormat="false" ht="15" hidden="false" customHeight="false" outlineLevel="0" collapsed="false">
      <c r="A72" s="31"/>
      <c r="B72" s="21"/>
      <c r="C72" s="21"/>
      <c r="D72" s="21"/>
      <c r="E72" s="44"/>
      <c r="F72" s="41" t="str">
        <f aca="false">IF(E72="","",E72*'Start Here'!$C$12)</f>
        <v/>
      </c>
    </row>
    <row r="73" customFormat="false" ht="15" hidden="false" customHeight="false" outlineLevel="0" collapsed="false">
      <c r="A73" s="31"/>
      <c r="B73" s="21"/>
      <c r="C73" s="21"/>
      <c r="D73" s="21"/>
      <c r="E73" s="44"/>
      <c r="F73" s="41" t="str">
        <f aca="false">IF(E73="","",E73*'Start Here'!$C$12)</f>
        <v/>
      </c>
    </row>
    <row r="74" customFormat="false" ht="15" hidden="false" customHeight="false" outlineLevel="0" collapsed="false">
      <c r="A74" s="31"/>
      <c r="B74" s="21"/>
      <c r="C74" s="21"/>
      <c r="D74" s="21"/>
      <c r="E74" s="44"/>
      <c r="F74" s="41" t="str">
        <f aca="false">IF(E74="","",E74*'Start Here'!$C$12)</f>
        <v/>
      </c>
    </row>
    <row r="75" customFormat="false" ht="15" hidden="false" customHeight="false" outlineLevel="0" collapsed="false">
      <c r="A75" s="31"/>
      <c r="B75" s="21"/>
      <c r="C75" s="21"/>
      <c r="D75" s="21"/>
      <c r="E75" s="44"/>
      <c r="F75" s="41" t="str">
        <f aca="false">IF(E75="","",E75*'Start Here'!$C$12)</f>
        <v/>
      </c>
    </row>
    <row r="76" customFormat="false" ht="15" hidden="false" customHeight="false" outlineLevel="0" collapsed="false">
      <c r="A76" s="31"/>
      <c r="B76" s="21"/>
      <c r="C76" s="21"/>
      <c r="D76" s="21"/>
      <c r="E76" s="44"/>
      <c r="F76" s="41" t="str">
        <f aca="false">IF(E76="","",E76*'Start Here'!$C$12)</f>
        <v/>
      </c>
    </row>
    <row r="77" customFormat="false" ht="15" hidden="false" customHeight="false" outlineLevel="0" collapsed="false">
      <c r="A77" s="31"/>
      <c r="B77" s="21"/>
      <c r="C77" s="21"/>
      <c r="D77" s="21"/>
      <c r="E77" s="44"/>
      <c r="F77" s="41" t="str">
        <f aca="false">IF(E77="","",E77*'Start Here'!$C$12)</f>
        <v/>
      </c>
    </row>
    <row r="78" customFormat="false" ht="15" hidden="false" customHeight="false" outlineLevel="0" collapsed="false">
      <c r="A78" s="31"/>
      <c r="B78" s="21"/>
      <c r="C78" s="21"/>
      <c r="D78" s="21"/>
      <c r="E78" s="44"/>
      <c r="F78" s="41" t="str">
        <f aca="false">IF(E78="","",E78*'Start Here'!$C$12)</f>
        <v/>
      </c>
    </row>
    <row r="79" customFormat="false" ht="15" hidden="false" customHeight="false" outlineLevel="0" collapsed="false">
      <c r="A79" s="31"/>
      <c r="B79" s="21"/>
      <c r="C79" s="21"/>
      <c r="D79" s="21"/>
      <c r="E79" s="44"/>
      <c r="F79" s="41" t="str">
        <f aca="false">IF(E79="","",E79*'Start Here'!$C$12)</f>
        <v/>
      </c>
    </row>
    <row r="80" customFormat="false" ht="15" hidden="false" customHeight="false" outlineLevel="0" collapsed="false">
      <c r="A80" s="31"/>
      <c r="B80" s="21"/>
      <c r="C80" s="21"/>
      <c r="D80" s="21"/>
      <c r="E80" s="44"/>
      <c r="F80" s="41" t="str">
        <f aca="false">IF(E80="","",E80*'Start Here'!$C$12)</f>
        <v/>
      </c>
    </row>
    <row r="81" customFormat="false" ht="15" hidden="false" customHeight="false" outlineLevel="0" collapsed="false">
      <c r="A81" s="31"/>
      <c r="B81" s="21"/>
      <c r="C81" s="21"/>
      <c r="D81" s="21"/>
      <c r="E81" s="44"/>
      <c r="F81" s="41" t="str">
        <f aca="false">IF(E81="","",E81*'Start Here'!$C$12)</f>
        <v/>
      </c>
    </row>
    <row r="82" customFormat="false" ht="15" hidden="false" customHeight="false" outlineLevel="0" collapsed="false">
      <c r="A82" s="31"/>
      <c r="B82" s="21"/>
      <c r="C82" s="21"/>
      <c r="D82" s="21"/>
      <c r="E82" s="44"/>
      <c r="F82" s="41" t="str">
        <f aca="false">IF(E82="","",E82*'Start Here'!$C$12)</f>
        <v/>
      </c>
    </row>
    <row r="83" customFormat="false" ht="15" hidden="false" customHeight="false" outlineLevel="0" collapsed="false">
      <c r="A83" s="31"/>
      <c r="B83" s="21"/>
      <c r="C83" s="21"/>
      <c r="D83" s="21"/>
      <c r="E83" s="44"/>
      <c r="F83" s="41" t="str">
        <f aca="false">IF(E83="","",E83*'Start Here'!$C$12)</f>
        <v/>
      </c>
    </row>
    <row r="84" customFormat="false" ht="15" hidden="false" customHeight="false" outlineLevel="0" collapsed="false">
      <c r="A84" s="31"/>
      <c r="B84" s="21"/>
      <c r="C84" s="21"/>
      <c r="D84" s="21"/>
      <c r="E84" s="44"/>
      <c r="F84" s="41" t="str">
        <f aca="false">IF(E84="","",E84*'Start Here'!$C$12)</f>
        <v/>
      </c>
    </row>
    <row r="85" customFormat="false" ht="15" hidden="false" customHeight="false" outlineLevel="0" collapsed="false">
      <c r="A85" s="31"/>
      <c r="B85" s="21"/>
      <c r="C85" s="21"/>
      <c r="D85" s="21"/>
      <c r="E85" s="44"/>
      <c r="F85" s="41" t="str">
        <f aca="false">IF(E85="","",E85*'Start Here'!$C$12)</f>
        <v/>
      </c>
    </row>
    <row r="86" customFormat="false" ht="15" hidden="false" customHeight="false" outlineLevel="0" collapsed="false">
      <c r="A86" s="31"/>
      <c r="B86" s="21"/>
      <c r="C86" s="21"/>
      <c r="D86" s="21"/>
      <c r="E86" s="44"/>
      <c r="F86" s="41" t="str">
        <f aca="false">IF(E86="","",E86*'Start Here'!$C$12)</f>
        <v/>
      </c>
    </row>
    <row r="87" customFormat="false" ht="15" hidden="false" customHeight="false" outlineLevel="0" collapsed="false">
      <c r="A87" s="31"/>
      <c r="B87" s="21"/>
      <c r="C87" s="21"/>
      <c r="D87" s="21"/>
      <c r="E87" s="44"/>
      <c r="F87" s="41" t="str">
        <f aca="false">IF(E87="","",E87*'Start Here'!$C$12)</f>
        <v/>
      </c>
    </row>
    <row r="88" customFormat="false" ht="15" hidden="false" customHeight="false" outlineLevel="0" collapsed="false">
      <c r="A88" s="31"/>
      <c r="B88" s="21"/>
      <c r="C88" s="21"/>
      <c r="D88" s="21"/>
      <c r="E88" s="44"/>
      <c r="F88" s="41" t="str">
        <f aca="false">IF(E88="","",E88*'Start Here'!$C$12)</f>
        <v/>
      </c>
    </row>
    <row r="89" customFormat="false" ht="15" hidden="false" customHeight="false" outlineLevel="0" collapsed="false">
      <c r="A89" s="31"/>
      <c r="B89" s="21"/>
      <c r="C89" s="21"/>
      <c r="D89" s="21"/>
      <c r="E89" s="44"/>
      <c r="F89" s="41" t="str">
        <f aca="false">IF(E89="","",E89*'Start Here'!$C$12)</f>
        <v/>
      </c>
    </row>
    <row r="90" customFormat="false" ht="15" hidden="false" customHeight="false" outlineLevel="0" collapsed="false">
      <c r="A90" s="31"/>
      <c r="B90" s="21"/>
      <c r="C90" s="21"/>
      <c r="D90" s="21"/>
      <c r="E90" s="44"/>
      <c r="F90" s="41" t="str">
        <f aca="false">IF(E90="","",E90*'Start Here'!$C$12)</f>
        <v/>
      </c>
    </row>
    <row r="91" customFormat="false" ht="15" hidden="false" customHeight="false" outlineLevel="0" collapsed="false">
      <c r="A91" s="31"/>
      <c r="B91" s="21"/>
      <c r="C91" s="21"/>
      <c r="D91" s="21"/>
      <c r="E91" s="44"/>
      <c r="F91" s="41" t="str">
        <f aca="false">IF(E91="","",E91*'Start Here'!$C$12)</f>
        <v/>
      </c>
    </row>
    <row r="92" customFormat="false" ht="15" hidden="false" customHeight="false" outlineLevel="0" collapsed="false">
      <c r="A92" s="31"/>
      <c r="B92" s="21"/>
      <c r="C92" s="21"/>
      <c r="D92" s="21"/>
      <c r="E92" s="44"/>
      <c r="F92" s="41" t="str">
        <f aca="false">IF(E92="","",E92*'Start Here'!$C$12)</f>
        <v/>
      </c>
    </row>
    <row r="93" customFormat="false" ht="15" hidden="false" customHeight="false" outlineLevel="0" collapsed="false">
      <c r="A93" s="31"/>
      <c r="B93" s="21"/>
      <c r="C93" s="21"/>
      <c r="D93" s="21"/>
      <c r="E93" s="44"/>
      <c r="F93" s="41" t="str">
        <f aca="false">IF(E93="","",E93*'Start Here'!$C$12)</f>
        <v/>
      </c>
    </row>
    <row r="94" customFormat="false" ht="15" hidden="false" customHeight="false" outlineLevel="0" collapsed="false">
      <c r="A94" s="31"/>
      <c r="B94" s="21"/>
      <c r="C94" s="21"/>
      <c r="D94" s="21"/>
      <c r="E94" s="44"/>
      <c r="F94" s="41" t="str">
        <f aca="false">IF(E94="","",E94*'Start Here'!$C$12)</f>
        <v/>
      </c>
    </row>
    <row r="95" customFormat="false" ht="15" hidden="false" customHeight="false" outlineLevel="0" collapsed="false">
      <c r="A95" s="31"/>
      <c r="B95" s="21"/>
      <c r="C95" s="21"/>
      <c r="D95" s="21"/>
      <c r="E95" s="44"/>
      <c r="F95" s="41" t="str">
        <f aca="false">IF(E95="","",E95*'Start Here'!$C$12)</f>
        <v/>
      </c>
    </row>
    <row r="96" customFormat="false" ht="15" hidden="false" customHeight="false" outlineLevel="0" collapsed="false">
      <c r="A96" s="31"/>
      <c r="B96" s="21"/>
      <c r="C96" s="21"/>
      <c r="D96" s="21"/>
      <c r="E96" s="44"/>
      <c r="F96" s="41" t="str">
        <f aca="false">IF(E96="","",E96*'Start Here'!$C$12)</f>
        <v/>
      </c>
    </row>
    <row r="97" customFormat="false" ht="15" hidden="false" customHeight="false" outlineLevel="0" collapsed="false">
      <c r="A97" s="31"/>
      <c r="B97" s="21"/>
      <c r="C97" s="21"/>
      <c r="D97" s="21"/>
      <c r="E97" s="44"/>
      <c r="F97" s="41" t="str">
        <f aca="false">IF(E97="","",E97*'Start Here'!$C$12)</f>
        <v/>
      </c>
    </row>
    <row r="98" customFormat="false" ht="15" hidden="false" customHeight="false" outlineLevel="0" collapsed="false">
      <c r="A98" s="31"/>
      <c r="B98" s="21"/>
      <c r="C98" s="21"/>
      <c r="D98" s="21"/>
      <c r="E98" s="44"/>
      <c r="F98" s="41" t="str">
        <f aca="false">IF(E98="","",E98*'Start Here'!$C$12)</f>
        <v/>
      </c>
    </row>
    <row r="99" customFormat="false" ht="15" hidden="false" customHeight="false" outlineLevel="0" collapsed="false">
      <c r="A99" s="31"/>
      <c r="B99" s="21"/>
      <c r="C99" s="21"/>
      <c r="D99" s="21"/>
      <c r="E99" s="44"/>
      <c r="F99" s="41" t="str">
        <f aca="false">IF(E99="","",E99*'Start Here'!$C$12)</f>
        <v/>
      </c>
    </row>
    <row r="100" customFormat="false" ht="15" hidden="false" customHeight="false" outlineLevel="0" collapsed="false">
      <c r="A100" s="31"/>
      <c r="B100" s="21"/>
      <c r="C100" s="21"/>
      <c r="D100" s="21"/>
      <c r="E100" s="44"/>
      <c r="F100" s="41" t="str">
        <f aca="false">IF(E100="","",E100*'Start Here'!$C$12)</f>
        <v/>
      </c>
    </row>
    <row r="101" customFormat="false" ht="15" hidden="false" customHeight="false" outlineLevel="0" collapsed="false">
      <c r="A101" s="31"/>
      <c r="B101" s="21"/>
      <c r="C101" s="21"/>
      <c r="D101" s="21"/>
      <c r="E101" s="44"/>
      <c r="F101" s="41" t="str">
        <f aca="false">IF(E101="","",E101*'Start Here'!$C$12)</f>
        <v/>
      </c>
    </row>
    <row r="102" customFormat="false" ht="15" hidden="false" customHeight="false" outlineLevel="0" collapsed="false">
      <c r="A102" s="31"/>
      <c r="B102" s="21"/>
      <c r="C102" s="21"/>
      <c r="D102" s="21"/>
      <c r="E102" s="44"/>
      <c r="F102" s="41" t="str">
        <f aca="false">IF(E102="","",E102*'Start Here'!$C$12)</f>
        <v/>
      </c>
    </row>
    <row r="103" customFormat="false" ht="15" hidden="false" customHeight="false" outlineLevel="0" collapsed="false">
      <c r="A103" s="31"/>
      <c r="B103" s="21"/>
      <c r="C103" s="21"/>
      <c r="D103" s="21"/>
      <c r="E103" s="44"/>
      <c r="F103" s="41" t="str">
        <f aca="false">IF(E103="","",E103*'Start Here'!$C$12)</f>
        <v/>
      </c>
    </row>
    <row r="104" customFormat="false" ht="15" hidden="false" customHeight="false" outlineLevel="0" collapsed="false">
      <c r="A104" s="31"/>
      <c r="B104" s="21"/>
      <c r="C104" s="21"/>
      <c r="D104" s="21"/>
      <c r="E104" s="44"/>
      <c r="F104" s="41" t="str">
        <f aca="false">IF(E104="","",E104*'Start Here'!$C$12)</f>
        <v/>
      </c>
    </row>
    <row r="105" customFormat="false" ht="15" hidden="false" customHeight="false" outlineLevel="0" collapsed="false">
      <c r="A105" s="31"/>
      <c r="B105" s="21"/>
      <c r="C105" s="21"/>
      <c r="D105" s="21"/>
      <c r="E105" s="44"/>
      <c r="F105" s="41" t="str">
        <f aca="false">IF(E105="","",E105*'Start Here'!$C$12)</f>
        <v/>
      </c>
    </row>
    <row r="106" customFormat="false" ht="15" hidden="false" customHeight="false" outlineLevel="0" collapsed="false">
      <c r="A106" s="31"/>
      <c r="B106" s="21"/>
      <c r="C106" s="21"/>
      <c r="D106" s="21"/>
      <c r="E106" s="44"/>
      <c r="F106" s="41" t="str">
        <f aca="false">IF(E106="","",E106*'Start Here'!$C$12)</f>
        <v/>
      </c>
    </row>
    <row r="107" customFormat="false" ht="15" hidden="false" customHeight="false" outlineLevel="0" collapsed="false">
      <c r="A107" s="31"/>
      <c r="B107" s="21"/>
      <c r="C107" s="21"/>
      <c r="D107" s="21"/>
      <c r="E107" s="44"/>
      <c r="F107" s="41" t="str">
        <f aca="false">IF(E107="","",E107*'Start Here'!$C$12)</f>
        <v/>
      </c>
    </row>
    <row r="108" customFormat="false" ht="15" hidden="false" customHeight="false" outlineLevel="0" collapsed="false">
      <c r="A108" s="31"/>
      <c r="B108" s="21"/>
      <c r="C108" s="21"/>
      <c r="D108" s="21"/>
      <c r="E108" s="44"/>
      <c r="F108" s="41" t="str">
        <f aca="false">IF(E108="","",E108*'Start Here'!$C$12)</f>
        <v/>
      </c>
    </row>
    <row r="109" customFormat="false" ht="15" hidden="false" customHeight="false" outlineLevel="0" collapsed="false">
      <c r="A109" s="31"/>
      <c r="B109" s="21"/>
      <c r="C109" s="21"/>
      <c r="D109" s="21"/>
      <c r="E109" s="44"/>
      <c r="F109" s="41" t="str">
        <f aca="false">IF(E109="","",E109*'Start Here'!$C$12)</f>
        <v/>
      </c>
    </row>
    <row r="110" customFormat="false" ht="15" hidden="false" customHeight="false" outlineLevel="0" collapsed="false">
      <c r="A110" s="31"/>
      <c r="B110" s="21"/>
      <c r="C110" s="21"/>
      <c r="D110" s="21"/>
      <c r="E110" s="44"/>
      <c r="F110" s="41" t="str">
        <f aca="false">IF(E110="","",E110*'Start Here'!$C$12)</f>
        <v/>
      </c>
    </row>
    <row r="111" customFormat="false" ht="15" hidden="false" customHeight="false" outlineLevel="0" collapsed="false">
      <c r="A111" s="31"/>
      <c r="B111" s="21"/>
      <c r="C111" s="21"/>
      <c r="D111" s="21"/>
      <c r="E111" s="44"/>
      <c r="F111" s="41" t="str">
        <f aca="false">IF(E111="","",E111*'Start Here'!$C$12)</f>
        <v/>
      </c>
    </row>
    <row r="112" customFormat="false" ht="15" hidden="false" customHeight="false" outlineLevel="0" collapsed="false">
      <c r="A112" s="31"/>
      <c r="B112" s="21"/>
      <c r="C112" s="21"/>
      <c r="D112" s="21"/>
      <c r="E112" s="44"/>
      <c r="F112" s="41" t="str">
        <f aca="false">IF(E112="","",E112*'Start Here'!$C$12)</f>
        <v/>
      </c>
    </row>
    <row r="113" customFormat="false" ht="15" hidden="false" customHeight="false" outlineLevel="0" collapsed="false">
      <c r="A113" s="31"/>
      <c r="B113" s="21"/>
      <c r="C113" s="21"/>
      <c r="D113" s="21"/>
      <c r="E113" s="44"/>
      <c r="F113" s="41" t="str">
        <f aca="false">IF(E113="","",E113*'Start Here'!$C$12)</f>
        <v/>
      </c>
    </row>
    <row r="114" customFormat="false" ht="15" hidden="false" customHeight="false" outlineLevel="0" collapsed="false">
      <c r="A114" s="31"/>
      <c r="B114" s="21"/>
      <c r="C114" s="21"/>
      <c r="D114" s="21"/>
      <c r="E114" s="44"/>
      <c r="F114" s="41" t="str">
        <f aca="false">IF(E114="","",E114*'Start Here'!$C$12)</f>
        <v/>
      </c>
    </row>
    <row r="115" customFormat="false" ht="15" hidden="false" customHeight="false" outlineLevel="0" collapsed="false">
      <c r="A115" s="31"/>
      <c r="B115" s="21"/>
      <c r="C115" s="21"/>
      <c r="D115" s="21"/>
      <c r="E115" s="44"/>
      <c r="F115" s="41" t="str">
        <f aca="false">IF(E115="","",E115*'Start Here'!$C$12)</f>
        <v/>
      </c>
    </row>
    <row r="116" customFormat="false" ht="15" hidden="false" customHeight="false" outlineLevel="0" collapsed="false">
      <c r="A116" s="31"/>
      <c r="B116" s="21"/>
      <c r="C116" s="21"/>
      <c r="D116" s="21"/>
      <c r="E116" s="44"/>
      <c r="F116" s="41" t="str">
        <f aca="false">IF(E116="","",E116*'Start Here'!$C$12)</f>
        <v/>
      </c>
    </row>
    <row r="117" customFormat="false" ht="15" hidden="false" customHeight="false" outlineLevel="0" collapsed="false">
      <c r="A117" s="31"/>
      <c r="B117" s="21"/>
      <c r="C117" s="21"/>
      <c r="D117" s="21"/>
      <c r="E117" s="44"/>
      <c r="F117" s="41" t="str">
        <f aca="false">IF(E117="","",E117*'Start Here'!$C$12)</f>
        <v/>
      </c>
    </row>
    <row r="118" customFormat="false" ht="15" hidden="false" customHeight="false" outlineLevel="0" collapsed="false">
      <c r="A118" s="31"/>
      <c r="B118" s="21"/>
      <c r="C118" s="21"/>
      <c r="D118" s="21"/>
      <c r="E118" s="44"/>
      <c r="F118" s="41" t="str">
        <f aca="false">IF(E118="","",E118*'Start Here'!$C$12)</f>
        <v/>
      </c>
    </row>
    <row r="119" customFormat="false" ht="15" hidden="false" customHeight="false" outlineLevel="0" collapsed="false">
      <c r="A119" s="31"/>
      <c r="B119" s="21"/>
      <c r="C119" s="21"/>
      <c r="D119" s="21"/>
      <c r="E119" s="44"/>
      <c r="F119" s="41" t="str">
        <f aca="false">IF(E119="","",E119*'Start Here'!$C$12)</f>
        <v/>
      </c>
    </row>
    <row r="120" customFormat="false" ht="15" hidden="false" customHeight="false" outlineLevel="0" collapsed="false">
      <c r="A120" s="31"/>
      <c r="B120" s="21"/>
      <c r="C120" s="21"/>
      <c r="D120" s="21"/>
      <c r="E120" s="44"/>
      <c r="F120" s="41" t="str">
        <f aca="false">IF(E120="","",E120*'Start Here'!$C$12)</f>
        <v/>
      </c>
    </row>
    <row r="121" customFormat="false" ht="15" hidden="false" customHeight="false" outlineLevel="0" collapsed="false">
      <c r="A121" s="31"/>
      <c r="B121" s="21"/>
      <c r="C121" s="21"/>
      <c r="D121" s="21"/>
      <c r="E121" s="44"/>
      <c r="F121" s="41" t="str">
        <f aca="false">IF(E121="","",E121*'Start Here'!$C$12)</f>
        <v/>
      </c>
    </row>
    <row r="122" customFormat="false" ht="15" hidden="false" customHeight="false" outlineLevel="0" collapsed="false">
      <c r="A122" s="31"/>
      <c r="B122" s="21"/>
      <c r="C122" s="21"/>
      <c r="D122" s="21"/>
      <c r="E122" s="44"/>
      <c r="F122" s="41" t="str">
        <f aca="false">IF(E122="","",E122*'Start Here'!$C$12)</f>
        <v/>
      </c>
    </row>
    <row r="123" customFormat="false" ht="15" hidden="false" customHeight="false" outlineLevel="0" collapsed="false">
      <c r="A123" s="31"/>
      <c r="B123" s="21"/>
      <c r="C123" s="21"/>
      <c r="D123" s="21"/>
      <c r="E123" s="44"/>
      <c r="F123" s="41" t="str">
        <f aca="false">IF(E123="","",E123*'Start Here'!$C$12)</f>
        <v/>
      </c>
    </row>
    <row r="124" customFormat="false" ht="15" hidden="false" customHeight="false" outlineLevel="0" collapsed="false">
      <c r="A124" s="31"/>
      <c r="B124" s="21"/>
      <c r="C124" s="21"/>
      <c r="D124" s="21"/>
      <c r="E124" s="44"/>
      <c r="F124" s="41" t="str">
        <f aca="false">IF(E124="","",E124*'Start Here'!$C$12)</f>
        <v/>
      </c>
    </row>
    <row r="125" customFormat="false" ht="15" hidden="false" customHeight="false" outlineLevel="0" collapsed="false">
      <c r="A125" s="31"/>
      <c r="B125" s="21"/>
      <c r="C125" s="21"/>
      <c r="D125" s="21"/>
      <c r="E125" s="44"/>
      <c r="F125" s="41" t="str">
        <f aca="false">IF(E125="","",E125*'Start Here'!$C$12)</f>
        <v/>
      </c>
    </row>
    <row r="126" customFormat="false" ht="15" hidden="false" customHeight="false" outlineLevel="0" collapsed="false">
      <c r="A126" s="31"/>
      <c r="B126" s="21"/>
      <c r="C126" s="21"/>
      <c r="D126" s="21"/>
      <c r="E126" s="44"/>
      <c r="F126" s="41" t="str">
        <f aca="false">IF(E126="","",E126*'Start Here'!$C$12)</f>
        <v/>
      </c>
    </row>
    <row r="127" customFormat="false" ht="15" hidden="false" customHeight="false" outlineLevel="0" collapsed="false">
      <c r="A127" s="31"/>
      <c r="B127" s="21"/>
      <c r="C127" s="21"/>
      <c r="D127" s="21"/>
      <c r="E127" s="44"/>
      <c r="F127" s="41" t="str">
        <f aca="false">IF(E127="","",E127*'Start Here'!$C$12)</f>
        <v/>
      </c>
    </row>
    <row r="128" customFormat="false" ht="15" hidden="false" customHeight="false" outlineLevel="0" collapsed="false">
      <c r="A128" s="31"/>
      <c r="B128" s="21"/>
      <c r="C128" s="21"/>
      <c r="D128" s="21"/>
      <c r="E128" s="44"/>
      <c r="F128" s="41" t="str">
        <f aca="false">IF(E128="","",E128*'Start Here'!$C$12)</f>
        <v/>
      </c>
    </row>
    <row r="129" customFormat="false" ht="15" hidden="false" customHeight="false" outlineLevel="0" collapsed="false">
      <c r="A129" s="31"/>
      <c r="B129" s="21"/>
      <c r="C129" s="21"/>
      <c r="D129" s="21"/>
      <c r="E129" s="44"/>
      <c r="F129" s="41" t="str">
        <f aca="false">IF(E129="","",E129*'Start Here'!$C$12)</f>
        <v/>
      </c>
    </row>
    <row r="130" customFormat="false" ht="15" hidden="false" customHeight="false" outlineLevel="0" collapsed="false">
      <c r="A130" s="31"/>
      <c r="B130" s="21"/>
      <c r="C130" s="21"/>
      <c r="D130" s="21"/>
      <c r="E130" s="44"/>
      <c r="F130" s="41" t="str">
        <f aca="false">IF(E130="","",E130*'Start Here'!$C$12)</f>
        <v/>
      </c>
    </row>
    <row r="131" customFormat="false" ht="15" hidden="false" customHeight="false" outlineLevel="0" collapsed="false">
      <c r="A131" s="31"/>
      <c r="B131" s="21"/>
      <c r="C131" s="21"/>
      <c r="D131" s="21"/>
      <c r="E131" s="44"/>
      <c r="F131" s="41" t="str">
        <f aca="false">IF(E131="","",E131*'Start Here'!$C$12)</f>
        <v/>
      </c>
    </row>
    <row r="132" customFormat="false" ht="15" hidden="false" customHeight="false" outlineLevel="0" collapsed="false">
      <c r="A132" s="31"/>
      <c r="B132" s="21"/>
      <c r="C132" s="21"/>
      <c r="D132" s="21"/>
      <c r="E132" s="44"/>
      <c r="F132" s="41" t="str">
        <f aca="false">IF(E132="","",E132*'Start Here'!$C$12)</f>
        <v/>
      </c>
    </row>
    <row r="133" customFormat="false" ht="15" hidden="false" customHeight="false" outlineLevel="0" collapsed="false">
      <c r="A133" s="31"/>
      <c r="B133" s="21"/>
      <c r="C133" s="21"/>
      <c r="D133" s="21"/>
      <c r="E133" s="44"/>
      <c r="F133" s="41" t="str">
        <f aca="false">IF(E133="","",E133*'Start Here'!$C$12)</f>
        <v/>
      </c>
    </row>
    <row r="134" customFormat="false" ht="15" hidden="false" customHeight="false" outlineLevel="0" collapsed="false">
      <c r="A134" s="31"/>
      <c r="B134" s="21"/>
      <c r="C134" s="21"/>
      <c r="D134" s="21"/>
      <c r="E134" s="44"/>
      <c r="F134" s="41" t="str">
        <f aca="false">IF(E134="","",E134*'Start Here'!$C$12)</f>
        <v/>
      </c>
    </row>
    <row r="135" customFormat="false" ht="15" hidden="false" customHeight="false" outlineLevel="0" collapsed="false">
      <c r="A135" s="31"/>
      <c r="B135" s="21"/>
      <c r="C135" s="21"/>
      <c r="D135" s="21"/>
      <c r="E135" s="44"/>
      <c r="F135" s="41" t="str">
        <f aca="false">IF(E135="","",E135*'Start Here'!$C$12)</f>
        <v/>
      </c>
    </row>
    <row r="136" customFormat="false" ht="15" hidden="false" customHeight="false" outlineLevel="0" collapsed="false">
      <c r="A136" s="31"/>
      <c r="B136" s="21"/>
      <c r="C136" s="21"/>
      <c r="D136" s="21"/>
      <c r="E136" s="44"/>
      <c r="F136" s="41" t="str">
        <f aca="false">IF(E136="","",E136*'Start Here'!$C$12)</f>
        <v/>
      </c>
    </row>
    <row r="137" customFormat="false" ht="15" hidden="false" customHeight="false" outlineLevel="0" collapsed="false">
      <c r="A137" s="31"/>
      <c r="B137" s="21"/>
      <c r="C137" s="21"/>
      <c r="D137" s="21"/>
      <c r="E137" s="44"/>
      <c r="F137" s="41" t="str">
        <f aca="false">IF(E137="","",E137*'Start Here'!$C$12)</f>
        <v/>
      </c>
    </row>
    <row r="138" customFormat="false" ht="15" hidden="false" customHeight="false" outlineLevel="0" collapsed="false">
      <c r="A138" s="31"/>
      <c r="B138" s="21"/>
      <c r="C138" s="21"/>
      <c r="D138" s="21"/>
      <c r="E138" s="44"/>
      <c r="F138" s="41" t="str">
        <f aca="false">IF(E138="","",E138*'Start Here'!$C$12)</f>
        <v/>
      </c>
    </row>
    <row r="139" customFormat="false" ht="15" hidden="false" customHeight="false" outlineLevel="0" collapsed="false">
      <c r="A139" s="31"/>
      <c r="B139" s="21"/>
      <c r="C139" s="21"/>
      <c r="D139" s="21"/>
      <c r="E139" s="44"/>
      <c r="F139" s="41" t="str">
        <f aca="false">IF(E139="","",E139*'Start Here'!$C$12)</f>
        <v/>
      </c>
    </row>
    <row r="140" customFormat="false" ht="15" hidden="false" customHeight="false" outlineLevel="0" collapsed="false">
      <c r="A140" s="31"/>
      <c r="B140" s="21"/>
      <c r="C140" s="21"/>
      <c r="D140" s="21"/>
      <c r="E140" s="44"/>
      <c r="F140" s="41" t="str">
        <f aca="false">IF(E140="","",E140*'Start Here'!$C$12)</f>
        <v/>
      </c>
    </row>
    <row r="141" customFormat="false" ht="15" hidden="false" customHeight="false" outlineLevel="0" collapsed="false">
      <c r="A141" s="31"/>
      <c r="B141" s="21"/>
      <c r="C141" s="21"/>
      <c r="D141" s="21"/>
      <c r="E141" s="44"/>
      <c r="F141" s="41" t="str">
        <f aca="false">IF(E141="","",E141*'Start Here'!$C$12)</f>
        <v/>
      </c>
    </row>
    <row r="142" customFormat="false" ht="15" hidden="false" customHeight="false" outlineLevel="0" collapsed="false">
      <c r="A142" s="31"/>
      <c r="B142" s="21"/>
      <c r="C142" s="21"/>
      <c r="D142" s="21"/>
      <c r="E142" s="44"/>
      <c r="F142" s="41" t="str">
        <f aca="false">IF(E142="","",E142*'Start Here'!$C$12)</f>
        <v/>
      </c>
    </row>
    <row r="143" customFormat="false" ht="15" hidden="false" customHeight="false" outlineLevel="0" collapsed="false">
      <c r="A143" s="31"/>
      <c r="B143" s="21"/>
      <c r="C143" s="21"/>
      <c r="D143" s="21"/>
      <c r="E143" s="44"/>
      <c r="F143" s="41" t="str">
        <f aca="false">IF(E143="","",E143*'Start Here'!$C$12)</f>
        <v/>
      </c>
    </row>
    <row r="144" customFormat="false" ht="15" hidden="false" customHeight="false" outlineLevel="0" collapsed="false">
      <c r="A144" s="31"/>
      <c r="B144" s="21"/>
      <c r="C144" s="21"/>
      <c r="D144" s="21"/>
      <c r="E144" s="44"/>
      <c r="F144" s="41" t="str">
        <f aca="false">IF(E144="","",E144*'Start Here'!$C$12)</f>
        <v/>
      </c>
    </row>
    <row r="145" customFormat="false" ht="15" hidden="false" customHeight="false" outlineLevel="0" collapsed="false">
      <c r="A145" s="31"/>
      <c r="B145" s="21"/>
      <c r="C145" s="21"/>
      <c r="D145" s="21"/>
      <c r="E145" s="44"/>
      <c r="F145" s="41" t="str">
        <f aca="false">IF(E145="","",E145*'Start Here'!$C$12)</f>
        <v/>
      </c>
    </row>
    <row r="146" customFormat="false" ht="15" hidden="false" customHeight="false" outlineLevel="0" collapsed="false">
      <c r="A146" s="31"/>
      <c r="B146" s="21"/>
      <c r="C146" s="21"/>
      <c r="D146" s="21"/>
      <c r="E146" s="44"/>
      <c r="F146" s="41" t="str">
        <f aca="false">IF(E146="","",E146*'Start Here'!$C$12)</f>
        <v/>
      </c>
    </row>
    <row r="147" customFormat="false" ht="15" hidden="false" customHeight="false" outlineLevel="0" collapsed="false">
      <c r="A147" s="31"/>
      <c r="B147" s="21"/>
      <c r="C147" s="21"/>
      <c r="D147" s="21"/>
      <c r="E147" s="44"/>
      <c r="F147" s="41" t="str">
        <f aca="false">IF(E147="","",E147*'Start Here'!$C$12)</f>
        <v/>
      </c>
    </row>
    <row r="148" customFormat="false" ht="15" hidden="false" customHeight="false" outlineLevel="0" collapsed="false">
      <c r="A148" s="31"/>
      <c r="B148" s="21"/>
      <c r="C148" s="21"/>
      <c r="D148" s="21"/>
      <c r="E148" s="44"/>
      <c r="F148" s="41" t="str">
        <f aca="false">IF(E148="","",E148*'Start Here'!$C$12)</f>
        <v/>
      </c>
    </row>
    <row r="149" customFormat="false" ht="15" hidden="false" customHeight="false" outlineLevel="0" collapsed="false">
      <c r="A149" s="31"/>
      <c r="B149" s="21"/>
      <c r="C149" s="21"/>
      <c r="D149" s="21"/>
      <c r="E149" s="44"/>
      <c r="F149" s="41" t="str">
        <f aca="false">IF(E149="","",E149*'Start Here'!$C$12)</f>
        <v/>
      </c>
    </row>
    <row r="150" customFormat="false" ht="15" hidden="false" customHeight="false" outlineLevel="0" collapsed="false">
      <c r="A150" s="31"/>
      <c r="B150" s="21"/>
      <c r="C150" s="21"/>
      <c r="D150" s="21"/>
      <c r="E150" s="44"/>
      <c r="F150" s="41" t="str">
        <f aca="false">IF(E150="","",E150*'Start Here'!$C$12)</f>
        <v/>
      </c>
    </row>
    <row r="151" customFormat="false" ht="15" hidden="false" customHeight="false" outlineLevel="0" collapsed="false">
      <c r="A151" s="31"/>
      <c r="B151" s="21"/>
      <c r="C151" s="21"/>
      <c r="D151" s="21"/>
      <c r="E151" s="44"/>
      <c r="F151" s="41" t="str">
        <f aca="false">IF(E151="","",E151*'Start Here'!$C$12)</f>
        <v/>
      </c>
    </row>
    <row r="152" customFormat="false" ht="15" hidden="false" customHeight="false" outlineLevel="0" collapsed="false">
      <c r="A152" s="31"/>
      <c r="B152" s="21"/>
      <c r="C152" s="21"/>
      <c r="D152" s="21"/>
      <c r="E152" s="44"/>
      <c r="F152" s="41" t="str">
        <f aca="false">IF(E152="","",E152*'Start Here'!$C$12)</f>
        <v/>
      </c>
    </row>
    <row r="153" customFormat="false" ht="15" hidden="false" customHeight="false" outlineLevel="0" collapsed="false">
      <c r="A153" s="31"/>
      <c r="B153" s="21"/>
      <c r="C153" s="21"/>
      <c r="D153" s="21"/>
      <c r="E153" s="44"/>
      <c r="F153" s="41" t="str">
        <f aca="false">IF(E153="","",E153*'Start Here'!$C$12)</f>
        <v/>
      </c>
    </row>
    <row r="154" customFormat="false" ht="15" hidden="false" customHeight="false" outlineLevel="0" collapsed="false">
      <c r="A154" s="31"/>
      <c r="B154" s="21"/>
      <c r="C154" s="21"/>
      <c r="D154" s="21"/>
      <c r="E154" s="44"/>
      <c r="F154" s="41" t="str">
        <f aca="false">IF(E154="","",E154*'Start Here'!$C$12)</f>
        <v/>
      </c>
    </row>
    <row r="155" customFormat="false" ht="15" hidden="false" customHeight="false" outlineLevel="0" collapsed="false">
      <c r="A155" s="31"/>
      <c r="B155" s="21"/>
      <c r="C155" s="21"/>
      <c r="D155" s="21"/>
      <c r="E155" s="44"/>
      <c r="F155" s="41" t="str">
        <f aca="false">IF(E155="","",E155*'Start Here'!$C$12)</f>
        <v/>
      </c>
    </row>
    <row r="156" customFormat="false" ht="15" hidden="false" customHeight="false" outlineLevel="0" collapsed="false">
      <c r="A156" s="31"/>
      <c r="B156" s="21"/>
      <c r="C156" s="21"/>
      <c r="D156" s="21"/>
      <c r="E156" s="44"/>
      <c r="F156" s="41" t="str">
        <f aca="false">IF(E156="","",E156*'Start Here'!$C$12)</f>
        <v/>
      </c>
    </row>
    <row r="157" customFormat="false" ht="15" hidden="false" customHeight="false" outlineLevel="0" collapsed="false">
      <c r="A157" s="31"/>
      <c r="B157" s="21"/>
      <c r="C157" s="21"/>
      <c r="D157" s="21"/>
      <c r="E157" s="44"/>
      <c r="F157" s="41" t="str">
        <f aca="false">IF(E157="","",E157*'Start Here'!$C$12)</f>
        <v/>
      </c>
    </row>
    <row r="158" customFormat="false" ht="15" hidden="false" customHeight="false" outlineLevel="0" collapsed="false">
      <c r="A158" s="31"/>
      <c r="B158" s="21"/>
      <c r="C158" s="21"/>
      <c r="D158" s="21"/>
      <c r="E158" s="44"/>
      <c r="F158" s="41" t="str">
        <f aca="false">IF(E158="","",E158*'Start Here'!$C$12)</f>
        <v/>
      </c>
    </row>
    <row r="159" customFormat="false" ht="15" hidden="false" customHeight="false" outlineLevel="0" collapsed="false">
      <c r="A159" s="31"/>
      <c r="B159" s="21"/>
      <c r="C159" s="21"/>
      <c r="D159" s="21"/>
      <c r="E159" s="44"/>
      <c r="F159" s="41" t="str">
        <f aca="false">IF(E159="","",E159*'Start Here'!$C$12)</f>
        <v/>
      </c>
    </row>
    <row r="160" customFormat="false" ht="15" hidden="false" customHeight="false" outlineLevel="0" collapsed="false">
      <c r="A160" s="31"/>
      <c r="B160" s="21"/>
      <c r="C160" s="21"/>
      <c r="D160" s="21"/>
      <c r="E160" s="44"/>
      <c r="F160" s="41" t="str">
        <f aca="false">IF(E160="","",E160*'Start Here'!$C$12)</f>
        <v/>
      </c>
    </row>
    <row r="161" customFormat="false" ht="15" hidden="false" customHeight="false" outlineLevel="0" collapsed="false">
      <c r="A161" s="31"/>
      <c r="B161" s="21"/>
      <c r="C161" s="21"/>
      <c r="D161" s="21"/>
      <c r="E161" s="44"/>
      <c r="F161" s="41" t="str">
        <f aca="false">IF(E161="","",E161*'Start Here'!$C$12)</f>
        <v/>
      </c>
    </row>
    <row r="162" customFormat="false" ht="15" hidden="false" customHeight="false" outlineLevel="0" collapsed="false">
      <c r="A162" s="31"/>
      <c r="B162" s="21"/>
      <c r="C162" s="21"/>
      <c r="D162" s="21"/>
      <c r="E162" s="44"/>
      <c r="F162" s="41" t="str">
        <f aca="false">IF(E162="","",E162*'Start Here'!$C$12)</f>
        <v/>
      </c>
    </row>
    <row r="163" customFormat="false" ht="15" hidden="false" customHeight="false" outlineLevel="0" collapsed="false">
      <c r="A163" s="31"/>
      <c r="B163" s="21"/>
      <c r="C163" s="21"/>
      <c r="D163" s="21"/>
      <c r="E163" s="44"/>
      <c r="F163" s="41" t="str">
        <f aca="false">IF(E163="","",E163*'Start Here'!$C$12)</f>
        <v/>
      </c>
    </row>
    <row r="164" customFormat="false" ht="15" hidden="false" customHeight="false" outlineLevel="0" collapsed="false">
      <c r="A164" s="31"/>
      <c r="B164" s="21"/>
      <c r="C164" s="21"/>
      <c r="D164" s="21"/>
      <c r="E164" s="44"/>
      <c r="F164" s="41" t="str">
        <f aca="false">IF(E164="","",E164*'Start Here'!$C$12)</f>
        <v/>
      </c>
    </row>
    <row r="165" customFormat="false" ht="15" hidden="false" customHeight="false" outlineLevel="0" collapsed="false">
      <c r="A165" s="31"/>
      <c r="B165" s="21"/>
      <c r="C165" s="21"/>
      <c r="D165" s="21"/>
      <c r="E165" s="44"/>
      <c r="F165" s="41" t="str">
        <f aca="false">IF(E165="","",E165*'Start Here'!$C$12)</f>
        <v/>
      </c>
    </row>
    <row r="166" customFormat="false" ht="15" hidden="false" customHeight="false" outlineLevel="0" collapsed="false">
      <c r="A166" s="31"/>
      <c r="B166" s="21"/>
      <c r="C166" s="21"/>
      <c r="D166" s="21"/>
      <c r="E166" s="44"/>
      <c r="F166" s="41" t="str">
        <f aca="false">IF(E166="","",E166*'Start Here'!$C$12)</f>
        <v/>
      </c>
    </row>
    <row r="167" customFormat="false" ht="15" hidden="false" customHeight="false" outlineLevel="0" collapsed="false">
      <c r="A167" s="31"/>
      <c r="B167" s="21"/>
      <c r="C167" s="21"/>
      <c r="D167" s="21"/>
      <c r="E167" s="44"/>
      <c r="F167" s="41" t="str">
        <f aca="false">IF(E167="","",E167*'Start Here'!$C$12)</f>
        <v/>
      </c>
    </row>
    <row r="168" customFormat="false" ht="15" hidden="false" customHeight="false" outlineLevel="0" collapsed="false">
      <c r="A168" s="31"/>
      <c r="B168" s="21"/>
      <c r="C168" s="21"/>
      <c r="D168" s="21"/>
      <c r="E168" s="44"/>
      <c r="F168" s="41" t="str">
        <f aca="false">IF(E168="","",E168*'Start Here'!$C$12)</f>
        <v/>
      </c>
    </row>
    <row r="169" customFormat="false" ht="15" hidden="false" customHeight="false" outlineLevel="0" collapsed="false">
      <c r="A169" s="31"/>
      <c r="B169" s="21"/>
      <c r="C169" s="21"/>
      <c r="D169" s="21"/>
      <c r="E169" s="44"/>
      <c r="F169" s="41" t="str">
        <f aca="false">IF(E169="","",E169*'Start Here'!$C$12)</f>
        <v/>
      </c>
    </row>
    <row r="170" customFormat="false" ht="15" hidden="false" customHeight="false" outlineLevel="0" collapsed="false">
      <c r="A170" s="31"/>
      <c r="B170" s="21"/>
      <c r="C170" s="21"/>
      <c r="D170" s="21"/>
      <c r="E170" s="44"/>
      <c r="F170" s="41" t="str">
        <f aca="false">IF(E170="","",E170*'Start Here'!$C$12)</f>
        <v/>
      </c>
    </row>
    <row r="171" customFormat="false" ht="15" hidden="false" customHeight="false" outlineLevel="0" collapsed="false">
      <c r="A171" s="31"/>
      <c r="B171" s="21"/>
      <c r="C171" s="21"/>
      <c r="D171" s="21"/>
      <c r="E171" s="44"/>
      <c r="F171" s="41" t="str">
        <f aca="false">IF(E171="","",E171*'Start Here'!$C$12)</f>
        <v/>
      </c>
    </row>
    <row r="172" customFormat="false" ht="15" hidden="false" customHeight="false" outlineLevel="0" collapsed="false">
      <c r="A172" s="31"/>
      <c r="B172" s="21"/>
      <c r="C172" s="21"/>
      <c r="D172" s="21"/>
      <c r="E172" s="44"/>
      <c r="F172" s="41" t="str">
        <f aca="false">IF(E172="","",E172*'Start Here'!$C$12)</f>
        <v/>
      </c>
    </row>
    <row r="173" customFormat="false" ht="15" hidden="false" customHeight="false" outlineLevel="0" collapsed="false">
      <c r="A173" s="31"/>
      <c r="B173" s="21"/>
      <c r="C173" s="21"/>
      <c r="D173" s="21"/>
      <c r="E173" s="44"/>
      <c r="F173" s="41" t="str">
        <f aca="false">IF(E173="","",E173*'Start Here'!$C$12)</f>
        <v/>
      </c>
    </row>
    <row r="174" customFormat="false" ht="15" hidden="false" customHeight="false" outlineLevel="0" collapsed="false">
      <c r="A174" s="31"/>
      <c r="B174" s="21"/>
      <c r="C174" s="21"/>
      <c r="D174" s="21"/>
      <c r="E174" s="44"/>
      <c r="F174" s="41" t="str">
        <f aca="false">IF(E174="","",E174*'Start Here'!$C$12)</f>
        <v/>
      </c>
    </row>
    <row r="175" customFormat="false" ht="15" hidden="false" customHeight="false" outlineLevel="0" collapsed="false">
      <c r="A175" s="31"/>
      <c r="B175" s="21"/>
      <c r="C175" s="21"/>
      <c r="D175" s="21"/>
      <c r="E175" s="44"/>
      <c r="F175" s="41" t="str">
        <f aca="false">IF(E175="","",E175*'Start Here'!$C$12)</f>
        <v/>
      </c>
    </row>
    <row r="176" customFormat="false" ht="15" hidden="false" customHeight="false" outlineLevel="0" collapsed="false">
      <c r="A176" s="31"/>
      <c r="B176" s="21"/>
      <c r="C176" s="21"/>
      <c r="D176" s="21"/>
      <c r="E176" s="44"/>
      <c r="F176" s="41" t="str">
        <f aca="false">IF(E176="","",E176*'Start Here'!$C$12)</f>
        <v/>
      </c>
    </row>
    <row r="177" customFormat="false" ht="15" hidden="false" customHeight="false" outlineLevel="0" collapsed="false">
      <c r="A177" s="31"/>
      <c r="B177" s="21"/>
      <c r="C177" s="21"/>
      <c r="D177" s="21"/>
      <c r="E177" s="44"/>
      <c r="F177" s="41" t="str">
        <f aca="false">IF(E177="","",E177*'Start Here'!$C$12)</f>
        <v/>
      </c>
    </row>
    <row r="178" customFormat="false" ht="15" hidden="false" customHeight="false" outlineLevel="0" collapsed="false">
      <c r="A178" s="31"/>
      <c r="B178" s="21"/>
      <c r="C178" s="21"/>
      <c r="D178" s="21"/>
      <c r="E178" s="44"/>
      <c r="F178" s="41" t="str">
        <f aca="false">IF(E178="","",E178*'Start Here'!$C$12)</f>
        <v/>
      </c>
    </row>
    <row r="179" customFormat="false" ht="15" hidden="false" customHeight="false" outlineLevel="0" collapsed="false">
      <c r="A179" s="31"/>
      <c r="B179" s="21"/>
      <c r="C179" s="21"/>
      <c r="D179" s="21"/>
      <c r="E179" s="44"/>
      <c r="F179" s="41" t="str">
        <f aca="false">IF(E179="","",E179*'Start Here'!$C$12)</f>
        <v/>
      </c>
    </row>
    <row r="180" customFormat="false" ht="15" hidden="false" customHeight="false" outlineLevel="0" collapsed="false">
      <c r="A180" s="31"/>
      <c r="B180" s="21"/>
      <c r="C180" s="21"/>
      <c r="D180" s="21"/>
      <c r="E180" s="44"/>
      <c r="F180" s="41" t="str">
        <f aca="false">IF(E180="","",E180*'Start Here'!$C$12)</f>
        <v/>
      </c>
    </row>
    <row r="181" customFormat="false" ht="15" hidden="false" customHeight="false" outlineLevel="0" collapsed="false">
      <c r="A181" s="31"/>
      <c r="B181" s="21"/>
      <c r="C181" s="21"/>
      <c r="D181" s="21"/>
      <c r="E181" s="44"/>
      <c r="F181" s="41" t="str">
        <f aca="false">IF(E181="","",E181*'Start Here'!$C$12)</f>
        <v/>
      </c>
    </row>
    <row r="182" customFormat="false" ht="15" hidden="false" customHeight="false" outlineLevel="0" collapsed="false">
      <c r="A182" s="31"/>
      <c r="B182" s="21"/>
      <c r="C182" s="21"/>
      <c r="D182" s="21"/>
      <c r="E182" s="44"/>
      <c r="F182" s="41" t="str">
        <f aca="false">IF(E182="","",E182*'Start Here'!$C$12)</f>
        <v/>
      </c>
    </row>
    <row r="183" customFormat="false" ht="15" hidden="false" customHeight="false" outlineLevel="0" collapsed="false">
      <c r="A183" s="31"/>
      <c r="B183" s="21"/>
      <c r="C183" s="21"/>
      <c r="D183" s="21"/>
      <c r="E183" s="44"/>
      <c r="F183" s="41" t="str">
        <f aca="false">IF(E183="","",E183*'Start Here'!$C$12)</f>
        <v/>
      </c>
    </row>
    <row r="184" customFormat="false" ht="15" hidden="false" customHeight="false" outlineLevel="0" collapsed="false">
      <c r="A184" s="31"/>
      <c r="B184" s="21"/>
      <c r="C184" s="21"/>
      <c r="D184" s="21"/>
      <c r="E184" s="44"/>
      <c r="F184" s="41" t="str">
        <f aca="false">IF(E184="","",E184*'Start Here'!$C$12)</f>
        <v/>
      </c>
    </row>
    <row r="185" customFormat="false" ht="15" hidden="false" customHeight="false" outlineLevel="0" collapsed="false">
      <c r="A185" s="31"/>
      <c r="B185" s="21"/>
      <c r="C185" s="21"/>
      <c r="D185" s="21"/>
      <c r="E185" s="44"/>
      <c r="F185" s="41" t="str">
        <f aca="false">IF(E185="","",E185*'Start Here'!$C$12)</f>
        <v/>
      </c>
    </row>
    <row r="186" customFormat="false" ht="15" hidden="false" customHeight="false" outlineLevel="0" collapsed="false">
      <c r="A186" s="31"/>
      <c r="B186" s="21"/>
      <c r="C186" s="21"/>
      <c r="D186" s="21"/>
      <c r="E186" s="44"/>
      <c r="F186" s="41" t="str">
        <f aca="false">IF(E186="","",E186*'Start Here'!$C$12)</f>
        <v/>
      </c>
    </row>
    <row r="187" customFormat="false" ht="15" hidden="false" customHeight="false" outlineLevel="0" collapsed="false">
      <c r="A187" s="31"/>
      <c r="B187" s="21"/>
      <c r="C187" s="21"/>
      <c r="D187" s="21"/>
      <c r="E187" s="44"/>
      <c r="F187" s="41" t="str">
        <f aca="false">IF(E187="","",E187*'Start Here'!$C$12)</f>
        <v/>
      </c>
    </row>
    <row r="188" customFormat="false" ht="15" hidden="false" customHeight="false" outlineLevel="0" collapsed="false">
      <c r="A188" s="31"/>
      <c r="B188" s="21"/>
      <c r="C188" s="21"/>
      <c r="D188" s="21"/>
      <c r="E188" s="44"/>
      <c r="F188" s="41" t="str">
        <f aca="false">IF(E188="","",E188*'Start Here'!$C$12)</f>
        <v/>
      </c>
    </row>
    <row r="189" customFormat="false" ht="15" hidden="false" customHeight="false" outlineLevel="0" collapsed="false">
      <c r="A189" s="31"/>
      <c r="B189" s="21"/>
      <c r="C189" s="21"/>
      <c r="D189" s="21"/>
      <c r="E189" s="44"/>
      <c r="F189" s="41" t="str">
        <f aca="false">IF(E189="","",E189*'Start Here'!$C$12)</f>
        <v/>
      </c>
    </row>
    <row r="190" customFormat="false" ht="15" hidden="false" customHeight="false" outlineLevel="0" collapsed="false">
      <c r="A190" s="31"/>
      <c r="B190" s="21"/>
      <c r="C190" s="21"/>
      <c r="D190" s="21"/>
      <c r="E190" s="44"/>
      <c r="F190" s="41" t="str">
        <f aca="false">IF(E190="","",E190*'Start Here'!$C$12)</f>
        <v/>
      </c>
    </row>
    <row r="191" customFormat="false" ht="15" hidden="false" customHeight="false" outlineLevel="0" collapsed="false">
      <c r="A191" s="31"/>
      <c r="B191" s="21"/>
      <c r="C191" s="21"/>
      <c r="D191" s="21"/>
      <c r="E191" s="44"/>
      <c r="F191" s="41" t="str">
        <f aca="false">IF(E191="","",E191*'Start Here'!$C$12)</f>
        <v/>
      </c>
    </row>
    <row r="192" customFormat="false" ht="15" hidden="false" customHeight="false" outlineLevel="0" collapsed="false">
      <c r="A192" s="31"/>
      <c r="B192" s="21"/>
      <c r="C192" s="21"/>
      <c r="D192" s="21"/>
      <c r="E192" s="44"/>
      <c r="F192" s="41" t="str">
        <f aca="false">IF(E192="","",E192*'Start Here'!$C$12)</f>
        <v/>
      </c>
    </row>
    <row r="193" customFormat="false" ht="15" hidden="false" customHeight="false" outlineLevel="0" collapsed="false">
      <c r="A193" s="31"/>
      <c r="B193" s="21"/>
      <c r="C193" s="21"/>
      <c r="D193" s="21"/>
      <c r="E193" s="44"/>
      <c r="F193" s="41" t="str">
        <f aca="false">IF(E193="","",E193*'Start Here'!$C$12)</f>
        <v/>
      </c>
    </row>
    <row r="194" customFormat="false" ht="15" hidden="false" customHeight="false" outlineLevel="0" collapsed="false">
      <c r="A194" s="31"/>
      <c r="B194" s="21"/>
      <c r="C194" s="21"/>
      <c r="D194" s="21"/>
      <c r="E194" s="44"/>
      <c r="F194" s="41" t="str">
        <f aca="false">IF(E194="","",E194*'Start Here'!$C$12)</f>
        <v/>
      </c>
    </row>
    <row r="195" customFormat="false" ht="15" hidden="false" customHeight="false" outlineLevel="0" collapsed="false">
      <c r="A195" s="31"/>
      <c r="B195" s="21"/>
      <c r="C195" s="21"/>
      <c r="D195" s="21"/>
      <c r="E195" s="44"/>
      <c r="F195" s="41" t="str">
        <f aca="false">IF(E195="","",E195*'Start Here'!$C$12)</f>
        <v/>
      </c>
    </row>
    <row r="196" customFormat="false" ht="15" hidden="false" customHeight="false" outlineLevel="0" collapsed="false">
      <c r="A196" s="31"/>
      <c r="B196" s="21"/>
      <c r="C196" s="21"/>
      <c r="D196" s="21"/>
      <c r="E196" s="44"/>
      <c r="F196" s="41" t="str">
        <f aca="false">IF(E196="","",E196*'Start Here'!$C$12)</f>
        <v/>
      </c>
    </row>
    <row r="197" customFormat="false" ht="15" hidden="false" customHeight="false" outlineLevel="0" collapsed="false">
      <c r="A197" s="31"/>
      <c r="B197" s="21"/>
      <c r="C197" s="21"/>
      <c r="D197" s="21"/>
      <c r="E197" s="44"/>
      <c r="F197" s="41" t="str">
        <f aca="false">IF(E197="","",E197*'Start Here'!$C$12)</f>
        <v/>
      </c>
    </row>
    <row r="198" customFormat="false" ht="15" hidden="false" customHeight="false" outlineLevel="0" collapsed="false">
      <c r="A198" s="31"/>
      <c r="B198" s="21"/>
      <c r="C198" s="21"/>
      <c r="D198" s="21"/>
      <c r="E198" s="44"/>
      <c r="F198" s="41" t="str">
        <f aca="false">IF(E198="","",E198*'Start Here'!$C$12)</f>
        <v/>
      </c>
    </row>
    <row r="199" customFormat="false" ht="15" hidden="false" customHeight="false" outlineLevel="0" collapsed="false">
      <c r="A199" s="31"/>
      <c r="B199" s="21"/>
      <c r="C199" s="21"/>
      <c r="D199" s="21"/>
      <c r="E199" s="44"/>
      <c r="F199" s="41" t="str">
        <f aca="false">IF(E199="","",E199*'Start Here'!$C$12)</f>
        <v/>
      </c>
    </row>
    <row r="200" customFormat="false" ht="15" hidden="false" customHeight="false" outlineLevel="0" collapsed="false">
      <c r="A200" s="31"/>
      <c r="B200" s="21"/>
      <c r="C200" s="21"/>
      <c r="D200" s="21"/>
      <c r="E200" s="44"/>
      <c r="F200" s="41" t="str">
        <f aca="false">IF(E200="","",E200*'Start Here'!$C$12)</f>
        <v/>
      </c>
    </row>
    <row r="201" customFormat="false" ht="15" hidden="false" customHeight="false" outlineLevel="0" collapsed="false">
      <c r="A201" s="31"/>
      <c r="B201" s="21"/>
      <c r="C201" s="21"/>
      <c r="D201" s="21"/>
      <c r="E201" s="44"/>
      <c r="F201" s="41" t="str">
        <f aca="false">IF(E201="","",E201*'Start Here'!$C$12)</f>
        <v/>
      </c>
    </row>
    <row r="202" customFormat="false" ht="15" hidden="false" customHeight="false" outlineLevel="0" collapsed="false">
      <c r="A202" s="31"/>
      <c r="B202" s="21"/>
      <c r="C202" s="21"/>
      <c r="D202" s="21"/>
      <c r="E202" s="44"/>
      <c r="F202" s="41" t="str">
        <f aca="false">IF(E202="","",E202*'Start Here'!$C$12)</f>
        <v/>
      </c>
    </row>
    <row r="203" customFormat="false" ht="15" hidden="false" customHeight="false" outlineLevel="0" collapsed="false">
      <c r="A203" s="31"/>
      <c r="B203" s="21"/>
      <c r="C203" s="21"/>
      <c r="D203" s="21"/>
      <c r="E203" s="44"/>
      <c r="F203" s="41" t="str">
        <f aca="false">IF(E203="","",E203*'Start Here'!$C$12)</f>
        <v/>
      </c>
    </row>
    <row r="204" customFormat="false" ht="15" hidden="false" customHeight="false" outlineLevel="0" collapsed="false">
      <c r="A204" s="31"/>
      <c r="B204" s="21"/>
      <c r="C204" s="21"/>
      <c r="D204" s="21"/>
      <c r="E204" s="44"/>
      <c r="F204" s="41" t="str">
        <f aca="false">IF(E204="","",E204*'Start Here'!$C$12)</f>
        <v/>
      </c>
    </row>
    <row r="205" customFormat="false" ht="15" hidden="false" customHeight="false" outlineLevel="0" collapsed="false">
      <c r="A205" s="31"/>
      <c r="B205" s="21"/>
      <c r="C205" s="21"/>
      <c r="D205" s="21"/>
      <c r="E205" s="44"/>
      <c r="F205" s="41" t="str">
        <f aca="false">IF(E205="","",E205*'Start Here'!$C$12)</f>
        <v/>
      </c>
    </row>
    <row r="206" customFormat="false" ht="15" hidden="false" customHeight="false" outlineLevel="0" collapsed="false">
      <c r="A206" s="31"/>
      <c r="B206" s="21"/>
      <c r="C206" s="21"/>
      <c r="D206" s="21"/>
      <c r="E206" s="44"/>
      <c r="F206" s="41" t="str">
        <f aca="false">IF(E206="","",E206*'Start Here'!$C$12)</f>
        <v/>
      </c>
    </row>
    <row r="207" customFormat="false" ht="15" hidden="false" customHeight="false" outlineLevel="0" collapsed="false">
      <c r="A207" s="31"/>
      <c r="B207" s="21"/>
      <c r="C207" s="21"/>
      <c r="D207" s="21"/>
      <c r="E207" s="44"/>
      <c r="F207" s="41" t="str">
        <f aca="false">IF(E207="","",E207*'Start Here'!$C$12)</f>
        <v/>
      </c>
    </row>
    <row r="208" customFormat="false" ht="15" hidden="false" customHeight="false" outlineLevel="0" collapsed="false">
      <c r="A208" s="31"/>
      <c r="B208" s="21"/>
      <c r="C208" s="21"/>
      <c r="D208" s="21"/>
      <c r="E208" s="44"/>
      <c r="F208" s="41" t="str">
        <f aca="false">IF(E208="","",E208*'Start Here'!$C$12)</f>
        <v/>
      </c>
    </row>
    <row r="209" customFormat="false" ht="15" hidden="false" customHeight="false" outlineLevel="0" collapsed="false">
      <c r="A209" s="31"/>
      <c r="B209" s="21"/>
      <c r="C209" s="21"/>
      <c r="D209" s="21"/>
      <c r="E209" s="44"/>
      <c r="F209" s="41" t="str">
        <f aca="false">IF(E209="","",E209*'Start Here'!$C$12)</f>
        <v/>
      </c>
    </row>
    <row r="210" customFormat="false" ht="15" hidden="false" customHeight="false" outlineLevel="0" collapsed="false">
      <c r="A210" s="31"/>
      <c r="B210" s="21"/>
      <c r="C210" s="21"/>
      <c r="D210" s="21"/>
      <c r="E210" s="44"/>
      <c r="F210" s="41" t="str">
        <f aca="false">IF(E210="","",E210*'Start Here'!$C$12)</f>
        <v/>
      </c>
    </row>
    <row r="211" customFormat="false" ht="15" hidden="false" customHeight="false" outlineLevel="0" collapsed="false">
      <c r="A211" s="31"/>
      <c r="B211" s="21"/>
      <c r="C211" s="21"/>
      <c r="D211" s="21"/>
      <c r="E211" s="44"/>
      <c r="F211" s="41" t="str">
        <f aca="false">IF(E211="","",E211*'Start Here'!$C$12)</f>
        <v/>
      </c>
    </row>
    <row r="212" customFormat="false" ht="15" hidden="false" customHeight="false" outlineLevel="0" collapsed="false">
      <c r="A212" s="31"/>
      <c r="B212" s="21"/>
      <c r="C212" s="21"/>
      <c r="D212" s="21"/>
      <c r="E212" s="44"/>
      <c r="F212" s="41" t="str">
        <f aca="false">IF(E212="","",E212*'Start Here'!$C$12)</f>
        <v/>
      </c>
    </row>
    <row r="213" customFormat="false" ht="15" hidden="false" customHeight="false" outlineLevel="0" collapsed="false">
      <c r="A213" s="31"/>
      <c r="B213" s="21"/>
      <c r="C213" s="21"/>
      <c r="D213" s="21"/>
      <c r="E213" s="44"/>
      <c r="F213" s="41" t="str">
        <f aca="false">IF(E213="","",E213*'Start Here'!$C$12)</f>
        <v/>
      </c>
    </row>
    <row r="214" customFormat="false" ht="15" hidden="false" customHeight="false" outlineLevel="0" collapsed="false">
      <c r="A214" s="31"/>
      <c r="B214" s="21"/>
      <c r="C214" s="21"/>
      <c r="D214" s="21"/>
      <c r="E214" s="44"/>
      <c r="F214" s="41" t="str">
        <f aca="false">IF(E214="","",E214*'Start Here'!$C$12)</f>
        <v/>
      </c>
    </row>
    <row r="215" customFormat="false" ht="15" hidden="false" customHeight="false" outlineLevel="0" collapsed="false">
      <c r="A215" s="31"/>
      <c r="B215" s="21"/>
      <c r="C215" s="21"/>
      <c r="D215" s="21"/>
      <c r="E215" s="44"/>
      <c r="F215" s="41" t="str">
        <f aca="false">IF(E215="","",E215*'Start Here'!$C$12)</f>
        <v/>
      </c>
    </row>
    <row r="216" customFormat="false" ht="15" hidden="false" customHeight="false" outlineLevel="0" collapsed="false">
      <c r="A216" s="31"/>
      <c r="B216" s="21"/>
      <c r="C216" s="21"/>
      <c r="D216" s="21"/>
      <c r="E216" s="44"/>
      <c r="F216" s="41" t="str">
        <f aca="false">IF(E216="","",E216*'Start Here'!$C$12)</f>
        <v/>
      </c>
    </row>
    <row r="217" customFormat="false" ht="15" hidden="false" customHeight="false" outlineLevel="0" collapsed="false">
      <c r="A217" s="31"/>
      <c r="B217" s="21"/>
      <c r="C217" s="21"/>
      <c r="D217" s="21"/>
      <c r="E217" s="44"/>
      <c r="F217" s="41" t="str">
        <f aca="false">IF(E217="","",E217*'Start Here'!$C$12)</f>
        <v/>
      </c>
    </row>
    <row r="218" customFormat="false" ht="15" hidden="false" customHeight="false" outlineLevel="0" collapsed="false">
      <c r="A218" s="31"/>
      <c r="B218" s="21"/>
      <c r="C218" s="21"/>
      <c r="D218" s="21"/>
      <c r="E218" s="44"/>
      <c r="F218" s="41" t="str">
        <f aca="false">IF(E218="","",E218*'Start Here'!$C$12)</f>
        <v/>
      </c>
    </row>
    <row r="219" customFormat="false" ht="15" hidden="false" customHeight="false" outlineLevel="0" collapsed="false">
      <c r="A219" s="31"/>
      <c r="B219" s="21"/>
      <c r="C219" s="21"/>
      <c r="D219" s="21"/>
      <c r="E219" s="44"/>
      <c r="F219" s="41" t="str">
        <f aca="false">IF(E219="","",E219*'Start Here'!$C$12)</f>
        <v/>
      </c>
    </row>
    <row r="220" customFormat="false" ht="15" hidden="false" customHeight="false" outlineLevel="0" collapsed="false">
      <c r="A220" s="31"/>
      <c r="B220" s="21"/>
      <c r="C220" s="21"/>
      <c r="D220" s="21"/>
      <c r="E220" s="44"/>
      <c r="F220" s="41" t="str">
        <f aca="false">IF(E220="","",E220*'Start Here'!$C$12)</f>
        <v/>
      </c>
    </row>
    <row r="221" customFormat="false" ht="15" hidden="false" customHeight="false" outlineLevel="0" collapsed="false">
      <c r="A221" s="31"/>
      <c r="B221" s="21"/>
      <c r="C221" s="21"/>
      <c r="D221" s="21"/>
      <c r="E221" s="44"/>
      <c r="F221" s="41" t="str">
        <f aca="false">IF(E221="","",E221*'Start Here'!$C$12)</f>
        <v/>
      </c>
    </row>
    <row r="222" customFormat="false" ht="15" hidden="false" customHeight="false" outlineLevel="0" collapsed="false">
      <c r="A222" s="31"/>
      <c r="B222" s="21"/>
      <c r="C222" s="21"/>
      <c r="D222" s="21"/>
      <c r="E222" s="44"/>
      <c r="F222" s="41" t="str">
        <f aca="false">IF(E222="","",E222*'Start Here'!$C$12)</f>
        <v/>
      </c>
    </row>
    <row r="223" customFormat="false" ht="15" hidden="false" customHeight="false" outlineLevel="0" collapsed="false">
      <c r="A223" s="31"/>
      <c r="B223" s="21"/>
      <c r="C223" s="21"/>
      <c r="D223" s="21"/>
      <c r="E223" s="44"/>
      <c r="F223" s="41" t="str">
        <f aca="false">IF(E223="","",E223*'Start Here'!$C$12)</f>
        <v/>
      </c>
    </row>
    <row r="224" customFormat="false" ht="15" hidden="false" customHeight="false" outlineLevel="0" collapsed="false">
      <c r="A224" s="31"/>
      <c r="B224" s="21"/>
      <c r="C224" s="21"/>
      <c r="D224" s="21"/>
      <c r="E224" s="44"/>
      <c r="F224" s="41" t="str">
        <f aca="false">IF(E224="","",E224*'Start Here'!$C$12)</f>
        <v/>
      </c>
    </row>
    <row r="225" customFormat="false" ht="15" hidden="false" customHeight="false" outlineLevel="0" collapsed="false">
      <c r="A225" s="31"/>
      <c r="B225" s="21"/>
      <c r="C225" s="21"/>
      <c r="D225" s="21"/>
      <c r="E225" s="44"/>
      <c r="F225" s="41" t="str">
        <f aca="false">IF(E225="","",E225*'Start Here'!$C$12)</f>
        <v/>
      </c>
    </row>
    <row r="226" customFormat="false" ht="15" hidden="false" customHeight="false" outlineLevel="0" collapsed="false">
      <c r="A226" s="31"/>
      <c r="B226" s="21"/>
      <c r="C226" s="21"/>
      <c r="D226" s="21"/>
      <c r="E226" s="44"/>
      <c r="F226" s="41" t="str">
        <f aca="false">IF(E226="","",E226*'Start Here'!$C$12)</f>
        <v/>
      </c>
    </row>
    <row r="227" customFormat="false" ht="15" hidden="false" customHeight="false" outlineLevel="0" collapsed="false">
      <c r="A227" s="31"/>
      <c r="B227" s="21"/>
      <c r="C227" s="21"/>
      <c r="D227" s="21"/>
      <c r="E227" s="44"/>
      <c r="F227" s="41" t="str">
        <f aca="false">IF(E227="","",E227*'Start Here'!$C$12)</f>
        <v/>
      </c>
    </row>
    <row r="228" customFormat="false" ht="15" hidden="false" customHeight="false" outlineLevel="0" collapsed="false">
      <c r="A228" s="31"/>
      <c r="B228" s="21"/>
      <c r="C228" s="21"/>
      <c r="D228" s="21"/>
      <c r="E228" s="44"/>
      <c r="F228" s="41" t="str">
        <f aca="false">IF(E228="","",E228*'Start Here'!$C$12)</f>
        <v/>
      </c>
    </row>
    <row r="229" customFormat="false" ht="15" hidden="false" customHeight="false" outlineLevel="0" collapsed="false">
      <c r="A229" s="31"/>
      <c r="B229" s="21"/>
      <c r="C229" s="21"/>
      <c r="D229" s="21"/>
      <c r="E229" s="44"/>
      <c r="F229" s="41" t="str">
        <f aca="false">IF(E229="","",E229*'Start Here'!$C$12)</f>
        <v/>
      </c>
    </row>
    <row r="230" customFormat="false" ht="15" hidden="false" customHeight="false" outlineLevel="0" collapsed="false">
      <c r="A230" s="31"/>
      <c r="B230" s="21"/>
      <c r="C230" s="21"/>
      <c r="D230" s="21"/>
      <c r="E230" s="44"/>
      <c r="F230" s="41" t="str">
        <f aca="false">IF(E230="","",E230*'Start Here'!$C$12)</f>
        <v/>
      </c>
    </row>
    <row r="231" customFormat="false" ht="15" hidden="false" customHeight="false" outlineLevel="0" collapsed="false">
      <c r="A231" s="31"/>
      <c r="B231" s="21"/>
      <c r="C231" s="21"/>
      <c r="D231" s="21"/>
      <c r="E231" s="44"/>
      <c r="F231" s="41" t="str">
        <f aca="false">IF(E231="","",E231*'Start Here'!$C$12)</f>
        <v/>
      </c>
    </row>
    <row r="232" customFormat="false" ht="15" hidden="false" customHeight="false" outlineLevel="0" collapsed="false">
      <c r="A232" s="31"/>
      <c r="B232" s="21"/>
      <c r="C232" s="21"/>
      <c r="D232" s="21"/>
      <c r="E232" s="44"/>
      <c r="F232" s="41" t="str">
        <f aca="false">IF(E232="","",E232*'Start Here'!$C$12)</f>
        <v/>
      </c>
    </row>
    <row r="233" customFormat="false" ht="15" hidden="false" customHeight="false" outlineLevel="0" collapsed="false">
      <c r="A233" s="31"/>
      <c r="B233" s="21"/>
      <c r="C233" s="21"/>
      <c r="D233" s="21"/>
      <c r="E233" s="44"/>
      <c r="F233" s="41" t="str">
        <f aca="false">IF(E233="","",E233*'Start Here'!$C$12)</f>
        <v/>
      </c>
    </row>
    <row r="234" customFormat="false" ht="15" hidden="false" customHeight="false" outlineLevel="0" collapsed="false">
      <c r="A234" s="31"/>
      <c r="B234" s="21"/>
      <c r="C234" s="21"/>
      <c r="D234" s="21"/>
      <c r="E234" s="44"/>
      <c r="F234" s="41" t="str">
        <f aca="false">IF(E234="","",E234*'Start Here'!$C$12)</f>
        <v/>
      </c>
    </row>
    <row r="235" customFormat="false" ht="15" hidden="false" customHeight="false" outlineLevel="0" collapsed="false">
      <c r="A235" s="31"/>
      <c r="B235" s="21"/>
      <c r="C235" s="21"/>
      <c r="D235" s="21"/>
      <c r="E235" s="44"/>
      <c r="F235" s="41" t="str">
        <f aca="false">IF(E235="","",E235*'Start Here'!$C$12)</f>
        <v/>
      </c>
    </row>
    <row r="236" customFormat="false" ht="15" hidden="false" customHeight="false" outlineLevel="0" collapsed="false">
      <c r="A236" s="31"/>
      <c r="B236" s="21"/>
      <c r="C236" s="21"/>
      <c r="D236" s="21"/>
      <c r="E236" s="44"/>
      <c r="F236" s="41" t="str">
        <f aca="false">IF(E236="","",E236*'Start Here'!$C$12)</f>
        <v/>
      </c>
    </row>
    <row r="237" customFormat="false" ht="15" hidden="false" customHeight="false" outlineLevel="0" collapsed="false">
      <c r="A237" s="31"/>
      <c r="B237" s="21"/>
      <c r="C237" s="21"/>
      <c r="D237" s="21"/>
      <c r="E237" s="44"/>
      <c r="F237" s="41" t="str">
        <f aca="false">IF(E237="","",E237*'Start Here'!$C$12)</f>
        <v/>
      </c>
    </row>
    <row r="238" customFormat="false" ht="15" hidden="false" customHeight="false" outlineLevel="0" collapsed="false">
      <c r="A238" s="31"/>
      <c r="B238" s="21"/>
      <c r="C238" s="21"/>
      <c r="D238" s="21"/>
      <c r="E238" s="44"/>
      <c r="F238" s="41" t="str">
        <f aca="false">IF(E238="","",E238*'Start Here'!$C$12)</f>
        <v/>
      </c>
    </row>
    <row r="239" customFormat="false" ht="15" hidden="false" customHeight="false" outlineLevel="0" collapsed="false">
      <c r="A239" s="31"/>
      <c r="B239" s="21"/>
      <c r="C239" s="21"/>
      <c r="D239" s="21"/>
      <c r="E239" s="44"/>
      <c r="F239" s="41" t="str">
        <f aca="false">IF(E239="","",E239*'Start Here'!$C$12)</f>
        <v/>
      </c>
    </row>
    <row r="240" customFormat="false" ht="15" hidden="false" customHeight="false" outlineLevel="0" collapsed="false">
      <c r="A240" s="31"/>
      <c r="B240" s="21"/>
      <c r="C240" s="21"/>
      <c r="D240" s="21"/>
      <c r="E240" s="44"/>
      <c r="F240" s="41" t="str">
        <f aca="false">IF(E240="","",E240*'Start Here'!$C$12)</f>
        <v/>
      </c>
    </row>
    <row r="241" customFormat="false" ht="15" hidden="false" customHeight="false" outlineLevel="0" collapsed="false">
      <c r="A241" s="31"/>
      <c r="B241" s="21"/>
      <c r="C241" s="21"/>
      <c r="D241" s="21"/>
      <c r="E241" s="44"/>
      <c r="F241" s="41" t="str">
        <f aca="false">IF(E241="","",E241*'Start Here'!$C$12)</f>
        <v/>
      </c>
    </row>
    <row r="242" customFormat="false" ht="15" hidden="false" customHeight="false" outlineLevel="0" collapsed="false">
      <c r="A242" s="31"/>
      <c r="B242" s="21"/>
      <c r="C242" s="21"/>
      <c r="D242" s="21"/>
      <c r="E242" s="44"/>
      <c r="F242" s="41" t="str">
        <f aca="false">IF(E242="","",E242*'Start Here'!$C$12)</f>
        <v/>
      </c>
    </row>
    <row r="243" customFormat="false" ht="15" hidden="false" customHeight="false" outlineLevel="0" collapsed="false">
      <c r="A243" s="31"/>
      <c r="B243" s="21"/>
      <c r="C243" s="21"/>
      <c r="D243" s="21"/>
      <c r="E243" s="44"/>
      <c r="F243" s="41" t="str">
        <f aca="false">IF(E243="","",E243*'Start Here'!$C$12)</f>
        <v/>
      </c>
    </row>
    <row r="244" customFormat="false" ht="15" hidden="false" customHeight="false" outlineLevel="0" collapsed="false">
      <c r="A244" s="31"/>
      <c r="B244" s="21"/>
      <c r="C244" s="21"/>
      <c r="D244" s="21"/>
      <c r="E244" s="44"/>
      <c r="F244" s="41" t="str">
        <f aca="false">IF(E244="","",E244*'Start Here'!$C$12)</f>
        <v/>
      </c>
    </row>
    <row r="245" customFormat="false" ht="15" hidden="false" customHeight="false" outlineLevel="0" collapsed="false">
      <c r="A245" s="31"/>
      <c r="B245" s="21"/>
      <c r="C245" s="21"/>
      <c r="D245" s="21"/>
      <c r="E245" s="44"/>
      <c r="F245" s="41" t="str">
        <f aca="false">IF(E245="","",E245*'Start Here'!$C$12)</f>
        <v/>
      </c>
    </row>
    <row r="246" customFormat="false" ht="15" hidden="false" customHeight="false" outlineLevel="0" collapsed="false">
      <c r="A246" s="31"/>
      <c r="B246" s="21"/>
      <c r="C246" s="21"/>
      <c r="D246" s="21"/>
      <c r="E246" s="44"/>
      <c r="F246" s="41" t="str">
        <f aca="false">IF(E246="","",E246*'Start Here'!$C$12)</f>
        <v/>
      </c>
    </row>
    <row r="247" customFormat="false" ht="15" hidden="false" customHeight="false" outlineLevel="0" collapsed="false">
      <c r="A247" s="31"/>
      <c r="B247" s="21"/>
      <c r="C247" s="21"/>
      <c r="D247" s="21"/>
      <c r="E247" s="44"/>
      <c r="F247" s="41" t="str">
        <f aca="false">IF(E247="","",E247*'Start Here'!$C$12)</f>
        <v/>
      </c>
    </row>
    <row r="248" customFormat="false" ht="15" hidden="false" customHeight="false" outlineLevel="0" collapsed="false">
      <c r="A248" s="31"/>
      <c r="B248" s="21"/>
      <c r="C248" s="21"/>
      <c r="D248" s="21"/>
      <c r="E248" s="44"/>
      <c r="F248" s="41" t="str">
        <f aca="false">IF(E248="","",E248*'Start Here'!$C$12)</f>
        <v/>
      </c>
    </row>
    <row r="249" customFormat="false" ht="15" hidden="false" customHeight="false" outlineLevel="0" collapsed="false">
      <c r="A249" s="31"/>
      <c r="B249" s="21"/>
      <c r="C249" s="21"/>
      <c r="D249" s="21"/>
      <c r="E249" s="44"/>
      <c r="F249" s="41" t="str">
        <f aca="false">IF(E249="","",E249*'Start Here'!$C$12)</f>
        <v/>
      </c>
    </row>
    <row r="250" customFormat="false" ht="15" hidden="false" customHeight="false" outlineLevel="0" collapsed="false">
      <c r="A250" s="31"/>
      <c r="B250" s="21"/>
      <c r="C250" s="21"/>
      <c r="D250" s="21"/>
      <c r="E250" s="44"/>
      <c r="F250" s="41" t="str">
        <f aca="false">IF(E250="","",E250*'Start Here'!$C$12)</f>
        <v/>
      </c>
    </row>
    <row r="251" customFormat="false" ht="15" hidden="false" customHeight="false" outlineLevel="0" collapsed="false">
      <c r="A251" s="31"/>
      <c r="B251" s="21"/>
      <c r="C251" s="21"/>
      <c r="D251" s="21"/>
      <c r="E251" s="44"/>
      <c r="F251" s="41" t="str">
        <f aca="false">IF(E251="","",E251*'Start Here'!$C$12)</f>
        <v/>
      </c>
    </row>
    <row r="252" customFormat="false" ht="15" hidden="false" customHeight="false" outlineLevel="0" collapsed="false">
      <c r="A252" s="31"/>
      <c r="B252" s="21"/>
      <c r="C252" s="21"/>
      <c r="D252" s="21"/>
      <c r="E252" s="44"/>
      <c r="F252" s="41" t="str">
        <f aca="false">IF(E252="","",E252*'Start Here'!$C$12)</f>
        <v/>
      </c>
    </row>
    <row r="253" customFormat="false" ht="15" hidden="false" customHeight="false" outlineLevel="0" collapsed="false">
      <c r="A253" s="31"/>
      <c r="B253" s="21"/>
      <c r="C253" s="21"/>
      <c r="D253" s="21"/>
      <c r="E253" s="44"/>
      <c r="F253" s="41" t="str">
        <f aca="false">IF(E253="","",E253*'Start Here'!$C$12)</f>
        <v/>
      </c>
    </row>
    <row r="254" customFormat="false" ht="15" hidden="false" customHeight="false" outlineLevel="0" collapsed="false">
      <c r="A254" s="31"/>
      <c r="B254" s="21"/>
      <c r="C254" s="21"/>
      <c r="D254" s="21"/>
      <c r="E254" s="44"/>
      <c r="F254" s="41" t="str">
        <f aca="false">IF(E254="","",E254*'Start Here'!$C$12)</f>
        <v/>
      </c>
    </row>
    <row r="255" customFormat="false" ht="15" hidden="false" customHeight="false" outlineLevel="0" collapsed="false">
      <c r="A255" s="31"/>
      <c r="B255" s="21"/>
      <c r="C255" s="21"/>
      <c r="D255" s="21"/>
      <c r="E255" s="44"/>
      <c r="F255" s="41" t="str">
        <f aca="false">IF(E255="","",E255*'Start Here'!$C$12)</f>
        <v/>
      </c>
    </row>
    <row r="256" customFormat="false" ht="15" hidden="false" customHeight="false" outlineLevel="0" collapsed="false">
      <c r="A256" s="31"/>
      <c r="B256" s="21"/>
      <c r="C256" s="21"/>
      <c r="D256" s="21"/>
      <c r="E256" s="44"/>
      <c r="F256" s="41" t="str">
        <f aca="false">IF(E256="","",E256*'Start Here'!$C$12)</f>
        <v/>
      </c>
    </row>
    <row r="257" customFormat="false" ht="15" hidden="false" customHeight="false" outlineLevel="0" collapsed="false">
      <c r="A257" s="31"/>
      <c r="B257" s="21"/>
      <c r="C257" s="21"/>
      <c r="D257" s="21"/>
      <c r="E257" s="44"/>
      <c r="F257" s="41" t="str">
        <f aca="false">IF(E257="","",E257*'Start Here'!$C$12)</f>
        <v/>
      </c>
    </row>
    <row r="258" customFormat="false" ht="15" hidden="false" customHeight="false" outlineLevel="0" collapsed="false">
      <c r="A258" s="31"/>
      <c r="B258" s="21"/>
      <c r="C258" s="21"/>
      <c r="D258" s="21"/>
      <c r="E258" s="44"/>
      <c r="F258" s="41" t="str">
        <f aca="false">IF(E258="","",E258*'Start Here'!$C$12)</f>
        <v/>
      </c>
    </row>
    <row r="259" customFormat="false" ht="15" hidden="false" customHeight="false" outlineLevel="0" collapsed="false">
      <c r="A259" s="31"/>
      <c r="B259" s="21"/>
      <c r="C259" s="21"/>
      <c r="D259" s="21"/>
      <c r="E259" s="44"/>
      <c r="F259" s="41" t="str">
        <f aca="false">IF(E259="","",E259*'Start Here'!$C$12)</f>
        <v/>
      </c>
    </row>
    <row r="260" customFormat="false" ht="15" hidden="false" customHeight="false" outlineLevel="0" collapsed="false">
      <c r="A260" s="31"/>
      <c r="B260" s="21"/>
      <c r="C260" s="21"/>
      <c r="D260" s="21"/>
      <c r="E260" s="44"/>
      <c r="F260" s="41" t="str">
        <f aca="false">IF(E260="","",E260*'Start Here'!$C$12)</f>
        <v/>
      </c>
    </row>
    <row r="261" customFormat="false" ht="15" hidden="false" customHeight="false" outlineLevel="0" collapsed="false">
      <c r="A261" s="31"/>
      <c r="B261" s="21"/>
      <c r="C261" s="21"/>
      <c r="D261" s="21"/>
      <c r="E261" s="44"/>
      <c r="F261" s="41" t="str">
        <f aca="false">IF(E261="","",E261*'Start Here'!$C$12)</f>
        <v/>
      </c>
    </row>
    <row r="262" customFormat="false" ht="15" hidden="false" customHeight="false" outlineLevel="0" collapsed="false">
      <c r="A262" s="31"/>
      <c r="B262" s="21"/>
      <c r="C262" s="21"/>
      <c r="D262" s="21"/>
      <c r="E262" s="44"/>
      <c r="F262" s="41" t="str">
        <f aca="false">IF(E262="","",E262*'Start Here'!$C$12)</f>
        <v/>
      </c>
    </row>
    <row r="263" customFormat="false" ht="15" hidden="false" customHeight="false" outlineLevel="0" collapsed="false">
      <c r="A263" s="31"/>
      <c r="B263" s="21"/>
      <c r="C263" s="21"/>
      <c r="D263" s="21"/>
      <c r="E263" s="44"/>
      <c r="F263" s="41" t="str">
        <f aca="false">IF(E263="","",E263*'Start Here'!$C$12)</f>
        <v/>
      </c>
    </row>
    <row r="264" customFormat="false" ht="15" hidden="false" customHeight="false" outlineLevel="0" collapsed="false">
      <c r="A264" s="31"/>
      <c r="B264" s="21"/>
      <c r="C264" s="21"/>
      <c r="D264" s="21"/>
      <c r="E264" s="44"/>
      <c r="F264" s="41" t="str">
        <f aca="false">IF(E264="","",E264*'Start Here'!$C$12)</f>
        <v/>
      </c>
    </row>
    <row r="265" customFormat="false" ht="15" hidden="false" customHeight="false" outlineLevel="0" collapsed="false">
      <c r="A265" s="31"/>
      <c r="B265" s="21"/>
      <c r="C265" s="21"/>
      <c r="D265" s="21"/>
      <c r="E265" s="44"/>
      <c r="F265" s="41" t="str">
        <f aca="false">IF(E265="","",E265*'Start Here'!$C$12)</f>
        <v/>
      </c>
    </row>
    <row r="266" customFormat="false" ht="15" hidden="false" customHeight="false" outlineLevel="0" collapsed="false">
      <c r="A266" s="31"/>
      <c r="B266" s="21"/>
      <c r="C266" s="21"/>
      <c r="D266" s="21"/>
      <c r="E266" s="44"/>
      <c r="F266" s="41" t="str">
        <f aca="false">IF(E266="","",E266*'Start Here'!$C$12)</f>
        <v/>
      </c>
    </row>
    <row r="267" customFormat="false" ht="15" hidden="false" customHeight="false" outlineLevel="0" collapsed="false">
      <c r="A267" s="31"/>
      <c r="B267" s="21"/>
      <c r="C267" s="21"/>
      <c r="D267" s="21"/>
      <c r="E267" s="44"/>
      <c r="F267" s="41" t="str">
        <f aca="false">IF(E267="","",E267*'Start Here'!$C$12)</f>
        <v/>
      </c>
    </row>
    <row r="268" customFormat="false" ht="15" hidden="false" customHeight="false" outlineLevel="0" collapsed="false">
      <c r="A268" s="31"/>
      <c r="B268" s="21"/>
      <c r="C268" s="21"/>
      <c r="D268" s="21"/>
      <c r="E268" s="44"/>
      <c r="F268" s="41" t="str">
        <f aca="false">IF(E268="","",E268*'Start Here'!$C$12)</f>
        <v/>
      </c>
    </row>
    <row r="269" customFormat="false" ht="15" hidden="false" customHeight="false" outlineLevel="0" collapsed="false">
      <c r="A269" s="31"/>
      <c r="B269" s="21"/>
      <c r="C269" s="21"/>
      <c r="D269" s="21"/>
      <c r="E269" s="44"/>
      <c r="F269" s="41" t="str">
        <f aca="false">IF(E269="","",E269*'Start Here'!$C$12)</f>
        <v/>
      </c>
    </row>
    <row r="270" customFormat="false" ht="15" hidden="false" customHeight="false" outlineLevel="0" collapsed="false">
      <c r="A270" s="31"/>
      <c r="B270" s="21"/>
      <c r="C270" s="21"/>
      <c r="D270" s="21"/>
      <c r="E270" s="44"/>
      <c r="F270" s="41" t="str">
        <f aca="false">IF(E270="","",E270*'Start Here'!$C$12)</f>
        <v/>
      </c>
    </row>
    <row r="271" customFormat="false" ht="15" hidden="false" customHeight="false" outlineLevel="0" collapsed="false">
      <c r="A271" s="31"/>
      <c r="B271" s="21"/>
      <c r="C271" s="21"/>
      <c r="D271" s="21"/>
      <c r="E271" s="44"/>
      <c r="F271" s="41" t="str">
        <f aca="false">IF(E271="","",E271*'Start Here'!$C$12)</f>
        <v/>
      </c>
    </row>
    <row r="272" customFormat="false" ht="15" hidden="false" customHeight="false" outlineLevel="0" collapsed="false">
      <c r="A272" s="31"/>
      <c r="B272" s="21"/>
      <c r="C272" s="21"/>
      <c r="D272" s="21"/>
      <c r="E272" s="44"/>
      <c r="F272" s="41" t="str">
        <f aca="false">IF(E272="","",E272*'Start Here'!$C$12)</f>
        <v/>
      </c>
    </row>
    <row r="273" customFormat="false" ht="15" hidden="false" customHeight="false" outlineLevel="0" collapsed="false">
      <c r="A273" s="31"/>
      <c r="B273" s="21"/>
      <c r="C273" s="21"/>
      <c r="D273" s="21"/>
      <c r="E273" s="44"/>
      <c r="F273" s="41" t="str">
        <f aca="false">IF(E273="","",E273*'Start Here'!$C$12)</f>
        <v/>
      </c>
    </row>
    <row r="274" customFormat="false" ht="15" hidden="false" customHeight="false" outlineLevel="0" collapsed="false">
      <c r="A274" s="31"/>
      <c r="B274" s="21"/>
      <c r="C274" s="21"/>
      <c r="D274" s="21"/>
      <c r="E274" s="44"/>
      <c r="F274" s="41" t="str">
        <f aca="false">IF(E274="","",E274*'Start Here'!$C$12)</f>
        <v/>
      </c>
    </row>
    <row r="275" customFormat="false" ht="15" hidden="false" customHeight="false" outlineLevel="0" collapsed="false">
      <c r="A275" s="31"/>
      <c r="B275" s="21"/>
      <c r="C275" s="21"/>
      <c r="D275" s="21"/>
      <c r="E275" s="44"/>
      <c r="F275" s="41" t="str">
        <f aca="false">IF(E275="","",E275*'Start Here'!$C$12)</f>
        <v/>
      </c>
    </row>
    <row r="276" customFormat="false" ht="15" hidden="false" customHeight="false" outlineLevel="0" collapsed="false">
      <c r="A276" s="31"/>
      <c r="B276" s="21"/>
      <c r="C276" s="21"/>
      <c r="D276" s="21"/>
      <c r="E276" s="44"/>
      <c r="F276" s="41" t="str">
        <f aca="false">IF(E276="","",E276*'Start Here'!$C$12)</f>
        <v/>
      </c>
    </row>
    <row r="277" customFormat="false" ht="15" hidden="false" customHeight="false" outlineLevel="0" collapsed="false">
      <c r="A277" s="31"/>
      <c r="B277" s="21"/>
      <c r="C277" s="21"/>
      <c r="D277" s="21"/>
      <c r="E277" s="44"/>
      <c r="F277" s="41" t="str">
        <f aca="false">IF(E277="","",E277*'Start Here'!$C$12)</f>
        <v/>
      </c>
    </row>
    <row r="278" customFormat="false" ht="15" hidden="false" customHeight="false" outlineLevel="0" collapsed="false">
      <c r="A278" s="31"/>
      <c r="B278" s="21"/>
      <c r="C278" s="21"/>
      <c r="D278" s="21"/>
      <c r="E278" s="44"/>
      <c r="F278" s="41" t="str">
        <f aca="false">IF(E278="","",E278*'Start Here'!$C$12)</f>
        <v/>
      </c>
    </row>
    <row r="279" customFormat="false" ht="15" hidden="false" customHeight="false" outlineLevel="0" collapsed="false">
      <c r="A279" s="31"/>
      <c r="B279" s="21"/>
      <c r="C279" s="21"/>
      <c r="D279" s="21"/>
      <c r="E279" s="44"/>
      <c r="F279" s="41" t="str">
        <f aca="false">IF(E279="","",E279*'Start Here'!$C$12)</f>
        <v/>
      </c>
    </row>
    <row r="280" customFormat="false" ht="15" hidden="false" customHeight="false" outlineLevel="0" collapsed="false">
      <c r="A280" s="31"/>
      <c r="B280" s="21"/>
      <c r="C280" s="21"/>
      <c r="D280" s="21"/>
      <c r="E280" s="44"/>
      <c r="F280" s="41" t="str">
        <f aca="false">IF(E280="","",E280*'Start Here'!$C$12)</f>
        <v/>
      </c>
    </row>
    <row r="281" customFormat="false" ht="15" hidden="false" customHeight="false" outlineLevel="0" collapsed="false">
      <c r="A281" s="31"/>
      <c r="B281" s="21"/>
      <c r="C281" s="21"/>
      <c r="D281" s="21"/>
      <c r="E281" s="44"/>
      <c r="F281" s="41" t="str">
        <f aca="false">IF(E281="","",E281*'Start Here'!$C$12)</f>
        <v/>
      </c>
    </row>
    <row r="282" customFormat="false" ht="15" hidden="false" customHeight="false" outlineLevel="0" collapsed="false">
      <c r="A282" s="31"/>
      <c r="B282" s="21"/>
      <c r="C282" s="21"/>
      <c r="D282" s="21"/>
      <c r="E282" s="44"/>
      <c r="F282" s="41" t="str">
        <f aca="false">IF(E282="","",E282*'Start Here'!$C$12)</f>
        <v/>
      </c>
    </row>
    <row r="283" customFormat="false" ht="15" hidden="false" customHeight="false" outlineLevel="0" collapsed="false">
      <c r="A283" s="31"/>
      <c r="B283" s="21"/>
      <c r="C283" s="21"/>
      <c r="D283" s="21"/>
      <c r="E283" s="44"/>
      <c r="F283" s="41" t="str">
        <f aca="false">IF(E283="","",E283*'Start Here'!$C$12)</f>
        <v/>
      </c>
    </row>
    <row r="284" customFormat="false" ht="15" hidden="false" customHeight="false" outlineLevel="0" collapsed="false">
      <c r="A284" s="31"/>
      <c r="B284" s="21"/>
      <c r="C284" s="21"/>
      <c r="D284" s="21"/>
      <c r="E284" s="44"/>
      <c r="F284" s="41" t="str">
        <f aca="false">IF(E284="","",E284*'Start Here'!$C$12)</f>
        <v/>
      </c>
    </row>
    <row r="285" customFormat="false" ht="15" hidden="false" customHeight="false" outlineLevel="0" collapsed="false">
      <c r="A285" s="31"/>
      <c r="B285" s="21"/>
      <c r="C285" s="21"/>
      <c r="D285" s="21"/>
      <c r="E285" s="44"/>
      <c r="F285" s="41" t="str">
        <f aca="false">IF(E285="","",E285*'Start Here'!$C$12)</f>
        <v/>
      </c>
    </row>
    <row r="286" customFormat="false" ht="15" hidden="false" customHeight="false" outlineLevel="0" collapsed="false">
      <c r="A286" s="31"/>
      <c r="B286" s="21"/>
      <c r="C286" s="21"/>
      <c r="D286" s="21"/>
      <c r="E286" s="44"/>
      <c r="F286" s="41" t="str">
        <f aca="false">IF(E286="","",E286*'Start Here'!$C$12)</f>
        <v/>
      </c>
    </row>
    <row r="287" customFormat="false" ht="15" hidden="false" customHeight="false" outlineLevel="0" collapsed="false">
      <c r="A287" s="31"/>
      <c r="B287" s="21"/>
      <c r="C287" s="21"/>
      <c r="D287" s="21"/>
      <c r="E287" s="44"/>
      <c r="F287" s="41" t="str">
        <f aca="false">IF(E287="","",E287*'Start Here'!$C$12)</f>
        <v/>
      </c>
    </row>
    <row r="288" customFormat="false" ht="15" hidden="false" customHeight="false" outlineLevel="0" collapsed="false">
      <c r="A288" s="31"/>
      <c r="B288" s="21"/>
      <c r="C288" s="21"/>
      <c r="D288" s="21"/>
      <c r="E288" s="44"/>
      <c r="F288" s="41" t="str">
        <f aca="false">IF(E288="","",E288*'Start Here'!$C$12)</f>
        <v/>
      </c>
    </row>
    <row r="289" customFormat="false" ht="15" hidden="false" customHeight="false" outlineLevel="0" collapsed="false">
      <c r="A289" s="31"/>
      <c r="B289" s="21"/>
      <c r="C289" s="21"/>
      <c r="D289" s="21"/>
      <c r="E289" s="44"/>
      <c r="F289" s="41" t="str">
        <f aca="false">IF(E289="","",E289*'Start Here'!$C$12)</f>
        <v/>
      </c>
    </row>
    <row r="290" customFormat="false" ht="15" hidden="false" customHeight="false" outlineLevel="0" collapsed="false">
      <c r="A290" s="31"/>
      <c r="B290" s="21"/>
      <c r="C290" s="21"/>
      <c r="D290" s="21"/>
      <c r="E290" s="44"/>
      <c r="F290" s="41" t="str">
        <f aca="false">IF(E290="","",E290*'Start Here'!$C$12)</f>
        <v/>
      </c>
    </row>
    <row r="291" customFormat="false" ht="15" hidden="false" customHeight="false" outlineLevel="0" collapsed="false">
      <c r="A291" s="31"/>
      <c r="B291" s="21"/>
      <c r="C291" s="21"/>
      <c r="D291" s="21"/>
      <c r="E291" s="44"/>
      <c r="F291" s="41" t="str">
        <f aca="false">IF(E291="","",E291*'Start Here'!$C$12)</f>
        <v/>
      </c>
    </row>
    <row r="292" customFormat="false" ht="15" hidden="false" customHeight="false" outlineLevel="0" collapsed="false">
      <c r="A292" s="31"/>
      <c r="B292" s="21"/>
      <c r="C292" s="21"/>
      <c r="D292" s="21"/>
      <c r="E292" s="44"/>
      <c r="F292" s="41" t="str">
        <f aca="false">IF(E292="","",E292*'Start Here'!$C$12)</f>
        <v/>
      </c>
    </row>
    <row r="293" customFormat="false" ht="15" hidden="false" customHeight="false" outlineLevel="0" collapsed="false">
      <c r="A293" s="31"/>
      <c r="B293" s="21"/>
      <c r="C293" s="21"/>
      <c r="D293" s="21"/>
      <c r="E293" s="44"/>
      <c r="F293" s="41" t="str">
        <f aca="false">IF(E293="","",E293*'Start Here'!$C$12)</f>
        <v/>
      </c>
    </row>
    <row r="294" customFormat="false" ht="15" hidden="false" customHeight="false" outlineLevel="0" collapsed="false">
      <c r="A294" s="31"/>
      <c r="B294" s="21"/>
      <c r="C294" s="21"/>
      <c r="D294" s="21"/>
      <c r="E294" s="44"/>
      <c r="F294" s="41" t="str">
        <f aca="false">IF(E294="","",E294*'Start Here'!$C$12)</f>
        <v/>
      </c>
    </row>
    <row r="295" customFormat="false" ht="15" hidden="false" customHeight="false" outlineLevel="0" collapsed="false">
      <c r="A295" s="31"/>
      <c r="B295" s="21"/>
      <c r="C295" s="21"/>
      <c r="D295" s="21"/>
      <c r="E295" s="44"/>
      <c r="F295" s="41" t="str">
        <f aca="false">IF(E295="","",E295*'Start Here'!$C$12)</f>
        <v/>
      </c>
    </row>
    <row r="296" customFormat="false" ht="15" hidden="false" customHeight="false" outlineLevel="0" collapsed="false">
      <c r="A296" s="31"/>
      <c r="B296" s="21"/>
      <c r="C296" s="21"/>
      <c r="D296" s="21"/>
      <c r="E296" s="44"/>
      <c r="F296" s="41" t="str">
        <f aca="false">IF(E296="","",E296*'Start Here'!$C$12)</f>
        <v/>
      </c>
    </row>
    <row r="297" customFormat="false" ht="15" hidden="false" customHeight="false" outlineLevel="0" collapsed="false">
      <c r="A297" s="31"/>
      <c r="B297" s="21"/>
      <c r="C297" s="21"/>
      <c r="D297" s="21"/>
      <c r="E297" s="44"/>
      <c r="F297" s="41" t="str">
        <f aca="false">IF(E297="","",E297*'Start Here'!$C$12)</f>
        <v/>
      </c>
    </row>
    <row r="298" customFormat="false" ht="15" hidden="false" customHeight="false" outlineLevel="0" collapsed="false">
      <c r="A298" s="31"/>
      <c r="B298" s="21"/>
      <c r="C298" s="21"/>
      <c r="D298" s="21"/>
      <c r="E298" s="44"/>
      <c r="F298" s="41" t="str">
        <f aca="false">IF(E298="","",E298*'Start Here'!$C$12)</f>
        <v/>
      </c>
    </row>
    <row r="299" customFormat="false" ht="15" hidden="false" customHeight="false" outlineLevel="0" collapsed="false">
      <c r="A299" s="31"/>
      <c r="B299" s="21"/>
      <c r="C299" s="21"/>
      <c r="D299" s="21"/>
      <c r="E299" s="44"/>
      <c r="F299" s="41" t="str">
        <f aca="false">IF(E299="","",E299*'Start Here'!$C$12)</f>
        <v/>
      </c>
    </row>
    <row r="300" customFormat="false" ht="15" hidden="false" customHeight="false" outlineLevel="0" collapsed="false">
      <c r="A300" s="31"/>
      <c r="B300" s="21"/>
      <c r="C300" s="21"/>
      <c r="D300" s="21"/>
      <c r="E300" s="44"/>
      <c r="F300" s="41" t="str">
        <f aca="false">IF(E300="","",E300*'Start Here'!$C$12)</f>
        <v/>
      </c>
    </row>
    <row r="301" customFormat="false" ht="15" hidden="false" customHeight="false" outlineLevel="0" collapsed="false">
      <c r="A301" s="31"/>
      <c r="B301" s="21"/>
      <c r="C301" s="21"/>
      <c r="D301" s="21"/>
      <c r="E301" s="44"/>
      <c r="F301" s="41" t="str">
        <f aca="false">IF(E301="","",E301*'Start Here'!$C$12)</f>
        <v/>
      </c>
    </row>
    <row r="302" customFormat="false" ht="15" hidden="false" customHeight="false" outlineLevel="0" collapsed="false">
      <c r="A302" s="31"/>
      <c r="B302" s="21"/>
      <c r="C302" s="21"/>
      <c r="D302" s="21"/>
      <c r="E302" s="44"/>
      <c r="F302" s="41" t="str">
        <f aca="false">IF(E302="","",E302*'Start Here'!$C$12)</f>
        <v/>
      </c>
    </row>
    <row r="303" customFormat="false" ht="15" hidden="false" customHeight="false" outlineLevel="0" collapsed="false">
      <c r="A303" s="31"/>
      <c r="B303" s="21"/>
      <c r="C303" s="21"/>
      <c r="D303" s="21"/>
      <c r="E303" s="44"/>
      <c r="F303" s="41" t="str">
        <f aca="false">IF(E303="","",E303*'Start Here'!$C$12)</f>
        <v/>
      </c>
    </row>
    <row r="304" customFormat="false" ht="15" hidden="false" customHeight="false" outlineLevel="0" collapsed="false">
      <c r="A304" s="31"/>
      <c r="B304" s="21"/>
      <c r="C304" s="21"/>
      <c r="D304" s="21"/>
      <c r="E304" s="44"/>
      <c r="F304" s="41" t="str">
        <f aca="false">IF(E304="","",E304*'Start Here'!$C$12)</f>
        <v/>
      </c>
    </row>
    <row r="305" customFormat="false" ht="15" hidden="false" customHeight="false" outlineLevel="0" collapsed="false">
      <c r="A305" s="31"/>
      <c r="B305" s="21"/>
      <c r="C305" s="21"/>
      <c r="D305" s="21"/>
      <c r="E305" s="44"/>
      <c r="F305" s="41" t="str">
        <f aca="false">IF(E305="","",E305*'Start Here'!$C$12)</f>
        <v/>
      </c>
    </row>
    <row r="306" customFormat="false" ht="15" hidden="false" customHeight="false" outlineLevel="0" collapsed="false">
      <c r="A306" s="31"/>
      <c r="B306" s="21"/>
      <c r="C306" s="21"/>
      <c r="D306" s="21"/>
      <c r="E306" s="44"/>
      <c r="F306" s="41" t="str">
        <f aca="false">IF(E306="","",E306*'Start Here'!$C$12)</f>
        <v/>
      </c>
    </row>
    <row r="307" customFormat="false" ht="15" hidden="false" customHeight="false" outlineLevel="0" collapsed="false">
      <c r="A307" s="31"/>
      <c r="B307" s="21"/>
      <c r="C307" s="21"/>
      <c r="D307" s="21"/>
      <c r="E307" s="44"/>
      <c r="F307" s="41" t="str">
        <f aca="false">IF(E307="","",E307*'Start Here'!$C$12)</f>
        <v/>
      </c>
    </row>
    <row r="308" customFormat="false" ht="15" hidden="false" customHeight="false" outlineLevel="0" collapsed="false">
      <c r="A308" s="31"/>
      <c r="B308" s="21"/>
      <c r="C308" s="21"/>
      <c r="D308" s="21"/>
      <c r="E308" s="44"/>
      <c r="F308" s="41" t="str">
        <f aca="false">IF(E308="","",E308*'Start Here'!$C$12)</f>
        <v/>
      </c>
    </row>
    <row r="309" customFormat="false" ht="15" hidden="false" customHeight="false" outlineLevel="0" collapsed="false">
      <c r="A309" s="31"/>
      <c r="B309" s="21"/>
      <c r="C309" s="21"/>
      <c r="D309" s="21"/>
      <c r="E309" s="44"/>
      <c r="F309" s="41" t="str">
        <f aca="false">IF(E309="","",E309*'Start Here'!$C$12)</f>
        <v/>
      </c>
    </row>
    <row r="310" customFormat="false" ht="15" hidden="false" customHeight="false" outlineLevel="0" collapsed="false">
      <c r="A310" s="31"/>
      <c r="B310" s="21"/>
      <c r="C310" s="21"/>
      <c r="D310" s="21"/>
      <c r="E310" s="44"/>
      <c r="F310" s="41" t="str">
        <f aca="false">IF(E310="","",E310*'Start Here'!$C$12)</f>
        <v/>
      </c>
    </row>
    <row r="311" customFormat="false" ht="15" hidden="false" customHeight="false" outlineLevel="0" collapsed="false">
      <c r="A311" s="31"/>
      <c r="B311" s="21"/>
      <c r="C311" s="21"/>
      <c r="D311" s="21"/>
      <c r="E311" s="44"/>
      <c r="F311" s="41" t="str">
        <f aca="false">IF(E311="","",E311*'Start Here'!$C$12)</f>
        <v/>
      </c>
    </row>
    <row r="312" customFormat="false" ht="15" hidden="false" customHeight="false" outlineLevel="0" collapsed="false">
      <c r="A312" s="31"/>
      <c r="B312" s="21"/>
      <c r="C312" s="21"/>
      <c r="D312" s="21"/>
      <c r="E312" s="44"/>
      <c r="F312" s="41" t="str">
        <f aca="false">IF(E312="","",E312*'Start Here'!$C$12)</f>
        <v/>
      </c>
    </row>
    <row r="313" customFormat="false" ht="15" hidden="false" customHeight="false" outlineLevel="0" collapsed="false">
      <c r="A313" s="31"/>
      <c r="B313" s="21"/>
      <c r="C313" s="21"/>
      <c r="D313" s="21"/>
      <c r="E313" s="44"/>
      <c r="F313" s="41" t="str">
        <f aca="false">IF(E313="","",E313*'Start Here'!$C$12)</f>
        <v/>
      </c>
    </row>
    <row r="314" customFormat="false" ht="15" hidden="false" customHeight="false" outlineLevel="0" collapsed="false">
      <c r="A314" s="31"/>
      <c r="B314" s="21"/>
      <c r="C314" s="21"/>
      <c r="D314" s="21"/>
      <c r="E314" s="44"/>
      <c r="F314" s="41" t="str">
        <f aca="false">IF(E314="","",E314*'Start Here'!$C$12)</f>
        <v/>
      </c>
    </row>
    <row r="315" customFormat="false" ht="15" hidden="false" customHeight="false" outlineLevel="0" collapsed="false">
      <c r="A315" s="31"/>
      <c r="B315" s="21"/>
      <c r="C315" s="21"/>
      <c r="D315" s="21"/>
      <c r="E315" s="44"/>
      <c r="F315" s="41" t="str">
        <f aca="false">IF(E315="","",E315*'Start Here'!$C$12)</f>
        <v/>
      </c>
    </row>
    <row r="316" customFormat="false" ht="15" hidden="false" customHeight="false" outlineLevel="0" collapsed="false">
      <c r="A316" s="31"/>
      <c r="B316" s="21"/>
      <c r="C316" s="21"/>
      <c r="D316" s="21"/>
      <c r="E316" s="44"/>
      <c r="F316" s="41" t="str">
        <f aca="false">IF(E316="","",E316*'Start Here'!$C$12)</f>
        <v/>
      </c>
    </row>
    <row r="317" customFormat="false" ht="15" hidden="false" customHeight="false" outlineLevel="0" collapsed="false">
      <c r="A317" s="31"/>
      <c r="B317" s="21"/>
      <c r="C317" s="21"/>
      <c r="D317" s="21"/>
      <c r="E317" s="44"/>
      <c r="F317" s="41" t="str">
        <f aca="false">IF(E317="","",E317*'Start Here'!$C$12)</f>
        <v/>
      </c>
    </row>
    <row r="318" customFormat="false" ht="15" hidden="false" customHeight="false" outlineLevel="0" collapsed="false">
      <c r="A318" s="31"/>
      <c r="B318" s="21"/>
      <c r="C318" s="21"/>
      <c r="D318" s="21"/>
      <c r="E318" s="44"/>
      <c r="F318" s="41" t="str">
        <f aca="false">IF(E318="","",E318*'Start Here'!$C$12)</f>
        <v/>
      </c>
    </row>
    <row r="319" customFormat="false" ht="15" hidden="false" customHeight="false" outlineLevel="0" collapsed="false">
      <c r="A319" s="31"/>
      <c r="B319" s="21"/>
      <c r="C319" s="21"/>
      <c r="D319" s="21"/>
      <c r="E319" s="44"/>
      <c r="F319" s="41" t="str">
        <f aca="false">IF(E319="","",E319*'Start Here'!$C$12)</f>
        <v/>
      </c>
    </row>
    <row r="320" customFormat="false" ht="15" hidden="false" customHeight="false" outlineLevel="0" collapsed="false">
      <c r="A320" s="31"/>
      <c r="B320" s="21"/>
      <c r="C320" s="21"/>
      <c r="D320" s="21"/>
      <c r="E320" s="44"/>
      <c r="F320" s="41" t="str">
        <f aca="false">IF(E320="","",E320*'Start Here'!$C$12)</f>
        <v/>
      </c>
    </row>
    <row r="321" customFormat="false" ht="15" hidden="false" customHeight="false" outlineLevel="0" collapsed="false">
      <c r="A321" s="31"/>
      <c r="B321" s="21"/>
      <c r="C321" s="21"/>
      <c r="D321" s="21"/>
      <c r="E321" s="44"/>
      <c r="F321" s="41" t="str">
        <f aca="false">IF(E321="","",E321*'Start Here'!$C$12)</f>
        <v/>
      </c>
    </row>
    <row r="322" customFormat="false" ht="15" hidden="false" customHeight="false" outlineLevel="0" collapsed="false">
      <c r="A322" s="31"/>
      <c r="B322" s="21"/>
      <c r="C322" s="21"/>
      <c r="D322" s="21"/>
      <c r="E322" s="44"/>
      <c r="F322" s="41" t="str">
        <f aca="false">IF(E322="","",E322*'Start Here'!$C$12)</f>
        <v/>
      </c>
    </row>
    <row r="323" customFormat="false" ht="15" hidden="false" customHeight="false" outlineLevel="0" collapsed="false">
      <c r="A323" s="31"/>
      <c r="B323" s="21"/>
      <c r="C323" s="21"/>
      <c r="D323" s="21"/>
      <c r="E323" s="44"/>
      <c r="F323" s="41" t="str">
        <f aca="false">IF(E323="","",E323*'Start Here'!$C$12)</f>
        <v/>
      </c>
    </row>
    <row r="324" customFormat="false" ht="15" hidden="false" customHeight="false" outlineLevel="0" collapsed="false">
      <c r="A324" s="31"/>
      <c r="B324" s="21"/>
      <c r="C324" s="21"/>
      <c r="D324" s="21"/>
      <c r="E324" s="44"/>
      <c r="F324" s="41" t="str">
        <f aca="false">IF(E324="","",E324*'Start Here'!$C$12)</f>
        <v/>
      </c>
    </row>
    <row r="325" customFormat="false" ht="15" hidden="false" customHeight="false" outlineLevel="0" collapsed="false">
      <c r="A325" s="31"/>
      <c r="B325" s="21"/>
      <c r="C325" s="21"/>
      <c r="D325" s="21"/>
      <c r="E325" s="44"/>
      <c r="F325" s="41" t="str">
        <f aca="false">IF(E325="","",E325*'Start Here'!$C$12)</f>
        <v/>
      </c>
    </row>
    <row r="326" customFormat="false" ht="15" hidden="false" customHeight="false" outlineLevel="0" collapsed="false">
      <c r="A326" s="31"/>
      <c r="B326" s="21"/>
      <c r="C326" s="21"/>
      <c r="D326" s="21"/>
      <c r="E326" s="44"/>
      <c r="F326" s="41" t="str">
        <f aca="false">IF(E326="","",E326*'Start Here'!$C$12)</f>
        <v/>
      </c>
    </row>
    <row r="327" customFormat="false" ht="15" hidden="false" customHeight="false" outlineLevel="0" collapsed="false">
      <c r="A327" s="31"/>
      <c r="B327" s="21"/>
      <c r="C327" s="21"/>
      <c r="D327" s="21"/>
      <c r="E327" s="44"/>
      <c r="F327" s="41" t="str">
        <f aca="false">IF(E327="","",E327*'Start Here'!$C$12)</f>
        <v/>
      </c>
    </row>
    <row r="328" customFormat="false" ht="15" hidden="false" customHeight="false" outlineLevel="0" collapsed="false">
      <c r="A328" s="31"/>
      <c r="B328" s="21"/>
      <c r="C328" s="21"/>
      <c r="D328" s="21"/>
      <c r="E328" s="44"/>
      <c r="F328" s="41" t="str">
        <f aca="false">IF(E328="","",E328*'Start Here'!$C$12)</f>
        <v/>
      </c>
    </row>
    <row r="329" customFormat="false" ht="15" hidden="false" customHeight="false" outlineLevel="0" collapsed="false">
      <c r="A329" s="31"/>
      <c r="B329" s="21"/>
      <c r="C329" s="21"/>
      <c r="D329" s="21"/>
      <c r="E329" s="44"/>
      <c r="F329" s="41" t="str">
        <f aca="false">IF(E329="","",E329*'Start Here'!$C$12)</f>
        <v/>
      </c>
    </row>
    <row r="330" customFormat="false" ht="15" hidden="false" customHeight="false" outlineLevel="0" collapsed="false">
      <c r="A330" s="31"/>
      <c r="B330" s="21"/>
      <c r="C330" s="21"/>
      <c r="D330" s="21"/>
      <c r="E330" s="44"/>
      <c r="F330" s="41" t="str">
        <f aca="false">IF(E330="","",E330*'Start Here'!$C$12)</f>
        <v/>
      </c>
    </row>
    <row r="331" customFormat="false" ht="15" hidden="false" customHeight="false" outlineLevel="0" collapsed="false">
      <c r="A331" s="31"/>
      <c r="B331" s="21"/>
      <c r="C331" s="21"/>
      <c r="D331" s="21"/>
      <c r="E331" s="44"/>
      <c r="F331" s="41" t="str">
        <f aca="false">IF(E331="","",E331*'Start Here'!$C$12)</f>
        <v/>
      </c>
    </row>
    <row r="332" customFormat="false" ht="15" hidden="false" customHeight="false" outlineLevel="0" collapsed="false">
      <c r="A332" s="31"/>
      <c r="B332" s="21"/>
      <c r="C332" s="21"/>
      <c r="D332" s="21"/>
      <c r="E332" s="44"/>
      <c r="F332" s="41" t="str">
        <f aca="false">IF(E332="","",E332*'Start Here'!$C$12)</f>
        <v/>
      </c>
    </row>
    <row r="333" customFormat="false" ht="15" hidden="false" customHeight="false" outlineLevel="0" collapsed="false">
      <c r="A333" s="31"/>
      <c r="B333" s="21"/>
      <c r="C333" s="21"/>
      <c r="D333" s="21"/>
      <c r="E333" s="44"/>
      <c r="F333" s="41" t="str">
        <f aca="false">IF(E333="","",E333*'Start Here'!$C$12)</f>
        <v/>
      </c>
    </row>
    <row r="334" customFormat="false" ht="15" hidden="false" customHeight="false" outlineLevel="0" collapsed="false">
      <c r="A334" s="31"/>
      <c r="B334" s="21"/>
      <c r="C334" s="21"/>
      <c r="D334" s="21"/>
      <c r="E334" s="44"/>
      <c r="F334" s="41" t="str">
        <f aca="false">IF(E334="","",E334*'Start Here'!$C$12)</f>
        <v/>
      </c>
    </row>
    <row r="335" customFormat="false" ht="15" hidden="false" customHeight="false" outlineLevel="0" collapsed="false">
      <c r="A335" s="31"/>
      <c r="B335" s="21"/>
      <c r="C335" s="21"/>
      <c r="D335" s="21"/>
      <c r="E335" s="44"/>
      <c r="F335" s="41" t="str">
        <f aca="false">IF(E335="","",E335*'Start Here'!$C$12)</f>
        <v/>
      </c>
    </row>
    <row r="336" customFormat="false" ht="15" hidden="false" customHeight="false" outlineLevel="0" collapsed="false">
      <c r="A336" s="31"/>
      <c r="B336" s="21"/>
      <c r="C336" s="21"/>
      <c r="D336" s="21"/>
      <c r="E336" s="44"/>
      <c r="F336" s="41" t="str">
        <f aca="false">IF(E336="","",E336*'Start Here'!$C$12)</f>
        <v/>
      </c>
    </row>
    <row r="337" customFormat="false" ht="15" hidden="false" customHeight="false" outlineLevel="0" collapsed="false">
      <c r="A337" s="31"/>
      <c r="B337" s="21"/>
      <c r="C337" s="21"/>
      <c r="D337" s="21"/>
      <c r="E337" s="44"/>
      <c r="F337" s="41" t="str">
        <f aca="false">IF(E337="","",E337*'Start Here'!$C$12)</f>
        <v/>
      </c>
    </row>
    <row r="338" customFormat="false" ht="15" hidden="false" customHeight="false" outlineLevel="0" collapsed="false">
      <c r="A338" s="31"/>
      <c r="B338" s="21"/>
      <c r="C338" s="21"/>
      <c r="D338" s="21"/>
      <c r="E338" s="44"/>
      <c r="F338" s="41" t="str">
        <f aca="false">IF(E338="","",E338*'Start Here'!$C$12)</f>
        <v/>
      </c>
    </row>
    <row r="339" customFormat="false" ht="15" hidden="false" customHeight="false" outlineLevel="0" collapsed="false">
      <c r="A339" s="31"/>
      <c r="B339" s="21"/>
      <c r="C339" s="21"/>
      <c r="D339" s="21"/>
      <c r="E339" s="44"/>
      <c r="F339" s="41" t="str">
        <f aca="false">IF(E339="","",E339*'Start Here'!$C$12)</f>
        <v/>
      </c>
    </row>
    <row r="340" customFormat="false" ht="15" hidden="false" customHeight="false" outlineLevel="0" collapsed="false">
      <c r="A340" s="31"/>
      <c r="B340" s="21"/>
      <c r="C340" s="21"/>
      <c r="D340" s="21"/>
      <c r="E340" s="44"/>
      <c r="F340" s="41" t="str">
        <f aca="false">IF(E340="","",E340*'Start Here'!$C$12)</f>
        <v/>
      </c>
    </row>
    <row r="341" customFormat="false" ht="15" hidden="false" customHeight="false" outlineLevel="0" collapsed="false">
      <c r="A341" s="31"/>
      <c r="B341" s="21"/>
      <c r="C341" s="21"/>
      <c r="D341" s="21"/>
      <c r="E341" s="44"/>
      <c r="F341" s="41" t="str">
        <f aca="false">IF(E341="","",E341*'Start Here'!$C$12)</f>
        <v/>
      </c>
    </row>
    <row r="342" customFormat="false" ht="15" hidden="false" customHeight="false" outlineLevel="0" collapsed="false">
      <c r="A342" s="31"/>
      <c r="B342" s="21"/>
      <c r="C342" s="21"/>
      <c r="D342" s="21"/>
      <c r="E342" s="44"/>
      <c r="F342" s="41" t="str">
        <f aca="false">IF(E342="","",E342*'Start Here'!$C$12)</f>
        <v/>
      </c>
    </row>
    <row r="343" customFormat="false" ht="15" hidden="false" customHeight="false" outlineLevel="0" collapsed="false">
      <c r="A343" s="31"/>
      <c r="B343" s="21"/>
      <c r="C343" s="21"/>
      <c r="D343" s="21"/>
      <c r="E343" s="44"/>
      <c r="F343" s="41" t="str">
        <f aca="false">IF(E343="","",E343*'Start Here'!$C$12)</f>
        <v/>
      </c>
    </row>
    <row r="344" customFormat="false" ht="15" hidden="false" customHeight="false" outlineLevel="0" collapsed="false">
      <c r="A344" s="31"/>
      <c r="B344" s="21"/>
      <c r="C344" s="21"/>
      <c r="D344" s="21"/>
      <c r="E344" s="44"/>
      <c r="F344" s="41" t="str">
        <f aca="false">IF(E344="","",E344*'Start Here'!$C$12)</f>
        <v/>
      </c>
    </row>
    <row r="345" customFormat="false" ht="15" hidden="false" customHeight="false" outlineLevel="0" collapsed="false">
      <c r="A345" s="31"/>
      <c r="B345" s="21"/>
      <c r="C345" s="21"/>
      <c r="D345" s="21"/>
      <c r="E345" s="44"/>
      <c r="F345" s="41" t="str">
        <f aca="false">IF(E345="","",E345*'Start Here'!$C$12)</f>
        <v/>
      </c>
    </row>
    <row r="346" customFormat="false" ht="15" hidden="false" customHeight="false" outlineLevel="0" collapsed="false">
      <c r="A346" s="31"/>
      <c r="B346" s="21"/>
      <c r="C346" s="21"/>
      <c r="D346" s="21"/>
      <c r="E346" s="44"/>
      <c r="F346" s="41" t="str">
        <f aca="false">IF(E346="","",E346*'Start Here'!$C$12)</f>
        <v/>
      </c>
    </row>
    <row r="347" customFormat="false" ht="15" hidden="false" customHeight="false" outlineLevel="0" collapsed="false">
      <c r="A347" s="31"/>
      <c r="B347" s="21"/>
      <c r="C347" s="21"/>
      <c r="D347" s="21"/>
      <c r="E347" s="44"/>
      <c r="F347" s="41" t="str">
        <f aca="false">IF(E347="","",E347*'Start Here'!$C$12)</f>
        <v/>
      </c>
    </row>
    <row r="348" customFormat="false" ht="15" hidden="false" customHeight="false" outlineLevel="0" collapsed="false">
      <c r="A348" s="31"/>
      <c r="B348" s="21"/>
      <c r="C348" s="21"/>
      <c r="D348" s="21"/>
      <c r="E348" s="44"/>
      <c r="F348" s="41" t="str">
        <f aca="false">IF(E348="","",E348*'Start Here'!$C$12)</f>
        <v/>
      </c>
    </row>
    <row r="349" customFormat="false" ht="15" hidden="false" customHeight="false" outlineLevel="0" collapsed="false">
      <c r="A349" s="31"/>
      <c r="B349" s="21"/>
      <c r="C349" s="21"/>
      <c r="D349" s="21"/>
      <c r="E349" s="44"/>
      <c r="F349" s="41" t="str">
        <f aca="false">IF(E349="","",E349*'Start Here'!$C$12)</f>
        <v/>
      </c>
    </row>
    <row r="350" customFormat="false" ht="15" hidden="false" customHeight="false" outlineLevel="0" collapsed="false">
      <c r="A350" s="31"/>
      <c r="B350" s="21"/>
      <c r="C350" s="21"/>
      <c r="D350" s="21"/>
      <c r="E350" s="44"/>
      <c r="F350" s="41" t="str">
        <f aca="false">IF(E350="","",E350*'Start Here'!$C$12)</f>
        <v/>
      </c>
    </row>
    <row r="351" customFormat="false" ht="15" hidden="false" customHeight="false" outlineLevel="0" collapsed="false">
      <c r="A351" s="31"/>
      <c r="B351" s="21"/>
      <c r="C351" s="21"/>
      <c r="D351" s="21"/>
      <c r="E351" s="44"/>
      <c r="F351" s="41" t="str">
        <f aca="false">IF(E351="","",E351*'Start Here'!$C$12)</f>
        <v/>
      </c>
    </row>
    <row r="352" customFormat="false" ht="15" hidden="false" customHeight="false" outlineLevel="0" collapsed="false">
      <c r="A352" s="31"/>
      <c r="B352" s="21"/>
      <c r="C352" s="21"/>
      <c r="D352" s="21"/>
      <c r="E352" s="44"/>
      <c r="F352" s="41" t="str">
        <f aca="false">IF(E352="","",E352*'Start Here'!$C$12)</f>
        <v/>
      </c>
    </row>
    <row r="353" customFormat="false" ht="15" hidden="false" customHeight="false" outlineLevel="0" collapsed="false">
      <c r="A353" s="31"/>
      <c r="B353" s="21"/>
      <c r="C353" s="21"/>
      <c r="D353" s="21"/>
      <c r="E353" s="44"/>
      <c r="F353" s="41" t="str">
        <f aca="false">IF(E353="","",E353*'Start Here'!$C$12)</f>
        <v/>
      </c>
    </row>
    <row r="354" customFormat="false" ht="15" hidden="false" customHeight="false" outlineLevel="0" collapsed="false">
      <c r="A354" s="31"/>
      <c r="B354" s="21"/>
      <c r="C354" s="21"/>
      <c r="D354" s="21"/>
      <c r="E354" s="44"/>
      <c r="F354" s="41" t="str">
        <f aca="false">IF(E354="","",E354*'Start Here'!$C$12)</f>
        <v/>
      </c>
    </row>
    <row r="355" customFormat="false" ht="15" hidden="false" customHeight="false" outlineLevel="0" collapsed="false">
      <c r="A355" s="31"/>
      <c r="B355" s="21"/>
      <c r="C355" s="21"/>
      <c r="D355" s="21"/>
      <c r="E355" s="44"/>
      <c r="F355" s="41" t="str">
        <f aca="false">IF(E355="","",E355*'Start Here'!$C$12)</f>
        <v/>
      </c>
    </row>
    <row r="356" customFormat="false" ht="15" hidden="false" customHeight="false" outlineLevel="0" collapsed="false">
      <c r="A356" s="31"/>
      <c r="B356" s="21"/>
      <c r="C356" s="21"/>
      <c r="D356" s="21"/>
      <c r="E356" s="44"/>
      <c r="F356" s="41" t="str">
        <f aca="false">IF(E356="","",E356*'Start Here'!$C$12)</f>
        <v/>
      </c>
    </row>
    <row r="357" customFormat="false" ht="15" hidden="false" customHeight="false" outlineLevel="0" collapsed="false">
      <c r="A357" s="31"/>
      <c r="B357" s="21"/>
      <c r="C357" s="21"/>
      <c r="D357" s="21"/>
      <c r="E357" s="44"/>
      <c r="F357" s="41" t="str">
        <f aca="false">IF(E357="","",E357*'Start Here'!$C$12)</f>
        <v/>
      </c>
    </row>
    <row r="358" customFormat="false" ht="15" hidden="false" customHeight="false" outlineLevel="0" collapsed="false">
      <c r="A358" s="31"/>
      <c r="B358" s="21"/>
      <c r="C358" s="21"/>
      <c r="D358" s="21"/>
      <c r="E358" s="44"/>
      <c r="F358" s="41" t="str">
        <f aca="false">IF(E358="","",E358*'Start Here'!$C$12)</f>
        <v/>
      </c>
    </row>
    <row r="359" customFormat="false" ht="15" hidden="false" customHeight="false" outlineLevel="0" collapsed="false">
      <c r="A359" s="31"/>
      <c r="B359" s="21"/>
      <c r="C359" s="21"/>
      <c r="D359" s="21"/>
      <c r="E359" s="44"/>
      <c r="F359" s="41" t="str">
        <f aca="false">IF(E359="","",E359*'Start Here'!$C$12)</f>
        <v/>
      </c>
    </row>
    <row r="360" customFormat="false" ht="15" hidden="false" customHeight="false" outlineLevel="0" collapsed="false">
      <c r="A360" s="31"/>
      <c r="B360" s="21"/>
      <c r="C360" s="21"/>
      <c r="D360" s="21"/>
      <c r="E360" s="44"/>
      <c r="F360" s="41" t="str">
        <f aca="false">IF(E360="","",E360*'Start Here'!$C$12)</f>
        <v/>
      </c>
    </row>
    <row r="361" customFormat="false" ht="15" hidden="false" customHeight="false" outlineLevel="0" collapsed="false">
      <c r="A361" s="31"/>
      <c r="B361" s="21"/>
      <c r="C361" s="21"/>
      <c r="D361" s="21"/>
      <c r="E361" s="44"/>
      <c r="F361" s="41" t="str">
        <f aca="false">IF(E361="","",E361*'Start Here'!$C$12)</f>
        <v/>
      </c>
    </row>
    <row r="362" customFormat="false" ht="15" hidden="false" customHeight="false" outlineLevel="0" collapsed="false">
      <c r="A362" s="31"/>
      <c r="B362" s="21"/>
      <c r="C362" s="21"/>
      <c r="D362" s="21"/>
      <c r="E362" s="44"/>
      <c r="F362" s="41" t="str">
        <f aca="false">IF(E362="","",E362*'Start Here'!$C$12)</f>
        <v/>
      </c>
    </row>
    <row r="363" customFormat="false" ht="15" hidden="false" customHeight="false" outlineLevel="0" collapsed="false">
      <c r="A363" s="31"/>
      <c r="B363" s="21"/>
      <c r="C363" s="21"/>
      <c r="D363" s="21"/>
      <c r="E363" s="44"/>
      <c r="F363" s="41" t="str">
        <f aca="false">IF(E363="","",E363*'Start Here'!$C$12)</f>
        <v/>
      </c>
    </row>
    <row r="364" customFormat="false" ht="15" hidden="false" customHeight="false" outlineLevel="0" collapsed="false">
      <c r="A364" s="31"/>
      <c r="B364" s="21"/>
      <c r="C364" s="21"/>
      <c r="D364" s="21"/>
      <c r="E364" s="44"/>
      <c r="F364" s="41" t="str">
        <f aca="false">IF(E364="","",E364*'Start Here'!$C$12)</f>
        <v/>
      </c>
    </row>
    <row r="365" customFormat="false" ht="15" hidden="false" customHeight="false" outlineLevel="0" collapsed="false">
      <c r="A365" s="31"/>
      <c r="B365" s="21"/>
      <c r="C365" s="21"/>
      <c r="D365" s="21"/>
      <c r="E365" s="44"/>
      <c r="F365" s="41" t="str">
        <f aca="false">IF(E365="","",E365*'Start Here'!$C$12)</f>
        <v/>
      </c>
    </row>
    <row r="366" customFormat="false" ht="15" hidden="false" customHeight="false" outlineLevel="0" collapsed="false">
      <c r="A366" s="31"/>
      <c r="B366" s="21"/>
      <c r="C366" s="21"/>
      <c r="D366" s="21"/>
      <c r="E366" s="44"/>
      <c r="F366" s="41" t="str">
        <f aca="false">IF(E366="","",E366*'Start Here'!$C$12)</f>
        <v/>
      </c>
    </row>
    <row r="367" customFormat="false" ht="15" hidden="false" customHeight="false" outlineLevel="0" collapsed="false">
      <c r="A367" s="31"/>
      <c r="B367" s="21"/>
      <c r="C367" s="21"/>
      <c r="D367" s="21"/>
      <c r="E367" s="44"/>
      <c r="F367" s="41" t="str">
        <f aca="false">IF(E367="","",E367*'Start Here'!$C$12)</f>
        <v/>
      </c>
    </row>
    <row r="368" customFormat="false" ht="15" hidden="false" customHeight="false" outlineLevel="0" collapsed="false">
      <c r="A368" s="31"/>
      <c r="B368" s="21"/>
      <c r="C368" s="21"/>
      <c r="D368" s="21"/>
      <c r="E368" s="44"/>
      <c r="F368" s="41" t="str">
        <f aca="false">IF(E368="","",E368*'Start Here'!$C$12)</f>
        <v/>
      </c>
    </row>
    <row r="369" customFormat="false" ht="15" hidden="false" customHeight="false" outlineLevel="0" collapsed="false">
      <c r="A369" s="31"/>
      <c r="B369" s="21"/>
      <c r="C369" s="21"/>
      <c r="D369" s="21"/>
      <c r="E369" s="44"/>
      <c r="F369" s="41" t="str">
        <f aca="false">IF(E369="","",E369*'Start Here'!$C$12)</f>
        <v/>
      </c>
    </row>
    <row r="370" customFormat="false" ht="15" hidden="false" customHeight="false" outlineLevel="0" collapsed="false">
      <c r="A370" s="31"/>
      <c r="B370" s="21"/>
      <c r="C370" s="21"/>
      <c r="D370" s="21"/>
      <c r="E370" s="44"/>
      <c r="F370" s="41" t="str">
        <f aca="false">IF(E370="","",E370*'Start Here'!$C$12)</f>
        <v/>
      </c>
    </row>
    <row r="371" customFormat="false" ht="15" hidden="false" customHeight="false" outlineLevel="0" collapsed="false">
      <c r="A371" s="31"/>
      <c r="B371" s="21"/>
      <c r="C371" s="21"/>
      <c r="D371" s="21"/>
      <c r="E371" s="44"/>
      <c r="F371" s="41" t="str">
        <f aca="false">IF(E371="","",E371*'Start Here'!$C$12)</f>
        <v/>
      </c>
    </row>
    <row r="372" customFormat="false" ht="15" hidden="false" customHeight="false" outlineLevel="0" collapsed="false">
      <c r="A372" s="31"/>
      <c r="B372" s="21"/>
      <c r="C372" s="21"/>
      <c r="D372" s="21"/>
      <c r="E372" s="44"/>
      <c r="F372" s="41" t="str">
        <f aca="false">IF(E372="","",E372*'Start Here'!$C$12)</f>
        <v/>
      </c>
    </row>
    <row r="373" customFormat="false" ht="15" hidden="false" customHeight="false" outlineLevel="0" collapsed="false">
      <c r="A373" s="31"/>
      <c r="B373" s="21"/>
      <c r="C373" s="21"/>
      <c r="D373" s="21"/>
      <c r="E373" s="44"/>
      <c r="F373" s="41" t="str">
        <f aca="false">IF(E373="","",E373*'Start Here'!$C$12)</f>
        <v/>
      </c>
    </row>
    <row r="374" customFormat="false" ht="15" hidden="false" customHeight="false" outlineLevel="0" collapsed="false">
      <c r="A374" s="31"/>
      <c r="B374" s="21"/>
      <c r="C374" s="21"/>
      <c r="D374" s="21"/>
      <c r="E374" s="44"/>
      <c r="F374" s="41" t="str">
        <f aca="false">IF(E374="","",E374*'Start Here'!$C$12)</f>
        <v/>
      </c>
    </row>
    <row r="375" customFormat="false" ht="15" hidden="false" customHeight="false" outlineLevel="0" collapsed="false">
      <c r="A375" s="31"/>
      <c r="B375" s="21"/>
      <c r="C375" s="21"/>
      <c r="D375" s="21"/>
      <c r="E375" s="44"/>
      <c r="F375" s="41" t="str">
        <f aca="false">IF(E375="","",E375*'Start Here'!$C$12)</f>
        <v/>
      </c>
    </row>
    <row r="376" customFormat="false" ht="15" hidden="false" customHeight="false" outlineLevel="0" collapsed="false">
      <c r="A376" s="31"/>
      <c r="B376" s="21"/>
      <c r="C376" s="21"/>
      <c r="D376" s="21"/>
      <c r="E376" s="44"/>
      <c r="F376" s="41" t="str">
        <f aca="false">IF(E376="","",E376*'Start Here'!$C$12)</f>
        <v/>
      </c>
    </row>
    <row r="377" customFormat="false" ht="15" hidden="false" customHeight="false" outlineLevel="0" collapsed="false">
      <c r="A377" s="31"/>
      <c r="B377" s="21"/>
      <c r="C377" s="21"/>
      <c r="D377" s="21"/>
      <c r="E377" s="44"/>
      <c r="F377" s="41" t="str">
        <f aca="false">IF(E377="","",E377*'Start Here'!$C$12)</f>
        <v/>
      </c>
    </row>
    <row r="378" customFormat="false" ht="15" hidden="false" customHeight="false" outlineLevel="0" collapsed="false">
      <c r="A378" s="31"/>
      <c r="B378" s="21"/>
      <c r="C378" s="21"/>
      <c r="D378" s="21"/>
      <c r="E378" s="44"/>
      <c r="F378" s="41" t="str">
        <f aca="false">IF(E378="","",E378*'Start Here'!$C$12)</f>
        <v/>
      </c>
    </row>
    <row r="379" customFormat="false" ht="15" hidden="false" customHeight="false" outlineLevel="0" collapsed="false">
      <c r="A379" s="31"/>
      <c r="B379" s="21"/>
      <c r="C379" s="21"/>
      <c r="D379" s="21"/>
      <c r="E379" s="44"/>
      <c r="F379" s="41" t="str">
        <f aca="false">IF(E379="","",E379*'Start Here'!$C$12)</f>
        <v/>
      </c>
    </row>
    <row r="380" customFormat="false" ht="15" hidden="false" customHeight="false" outlineLevel="0" collapsed="false">
      <c r="A380" s="31"/>
      <c r="B380" s="21"/>
      <c r="C380" s="21"/>
      <c r="D380" s="21"/>
      <c r="E380" s="44"/>
      <c r="F380" s="41" t="str">
        <f aca="false">IF(E380="","",E380*'Start Here'!$C$12)</f>
        <v/>
      </c>
    </row>
    <row r="381" customFormat="false" ht="15" hidden="false" customHeight="false" outlineLevel="0" collapsed="false">
      <c r="A381" s="31"/>
      <c r="B381" s="21"/>
      <c r="C381" s="21"/>
      <c r="D381" s="21"/>
      <c r="E381" s="44"/>
      <c r="F381" s="41" t="str">
        <f aca="false">IF(E381="","",E381*'Start Here'!$C$12)</f>
        <v/>
      </c>
    </row>
    <row r="382" customFormat="false" ht="15" hidden="false" customHeight="false" outlineLevel="0" collapsed="false">
      <c r="A382" s="31"/>
      <c r="B382" s="21"/>
      <c r="C382" s="21"/>
      <c r="D382" s="21"/>
      <c r="E382" s="44"/>
      <c r="F382" s="41" t="str">
        <f aca="false">IF(E382="","",E382*'Start Here'!$C$12)</f>
        <v/>
      </c>
    </row>
    <row r="383" customFormat="false" ht="15" hidden="false" customHeight="false" outlineLevel="0" collapsed="false">
      <c r="A383" s="31"/>
      <c r="B383" s="21"/>
      <c r="C383" s="21"/>
      <c r="D383" s="21"/>
      <c r="E383" s="44"/>
      <c r="F383" s="41" t="str">
        <f aca="false">IF(E383="","",E383*'Start Here'!$C$12)</f>
        <v/>
      </c>
    </row>
    <row r="384" customFormat="false" ht="15" hidden="false" customHeight="false" outlineLevel="0" collapsed="false">
      <c r="A384" s="31"/>
      <c r="B384" s="21"/>
      <c r="C384" s="21"/>
      <c r="D384" s="21"/>
      <c r="E384" s="44"/>
      <c r="F384" s="41" t="str">
        <f aca="false">IF(E384="","",E384*'Start Here'!$C$12)</f>
        <v/>
      </c>
    </row>
    <row r="385" customFormat="false" ht="15" hidden="false" customHeight="false" outlineLevel="0" collapsed="false">
      <c r="A385" s="31"/>
      <c r="B385" s="21"/>
      <c r="C385" s="21"/>
      <c r="D385" s="21"/>
      <c r="E385" s="44"/>
      <c r="F385" s="41" t="str">
        <f aca="false">IF(E385="","",E385*'Start Here'!$C$12)</f>
        <v/>
      </c>
    </row>
    <row r="386" customFormat="false" ht="15" hidden="false" customHeight="false" outlineLevel="0" collapsed="false">
      <c r="A386" s="31"/>
      <c r="B386" s="21"/>
      <c r="C386" s="21"/>
      <c r="D386" s="21"/>
      <c r="E386" s="44"/>
      <c r="F386" s="41" t="str">
        <f aca="false">IF(E386="","",E386*'Start Here'!$C$12)</f>
        <v/>
      </c>
    </row>
    <row r="387" customFormat="false" ht="15" hidden="false" customHeight="false" outlineLevel="0" collapsed="false">
      <c r="A387" s="31"/>
      <c r="B387" s="21"/>
      <c r="C387" s="21"/>
      <c r="D387" s="21"/>
      <c r="E387" s="44"/>
      <c r="F387" s="41" t="str">
        <f aca="false">IF(E387="","",E387*'Start Here'!$C$12)</f>
        <v/>
      </c>
    </row>
    <row r="388" customFormat="false" ht="15" hidden="false" customHeight="false" outlineLevel="0" collapsed="false">
      <c r="A388" s="31"/>
      <c r="B388" s="21"/>
      <c r="C388" s="21"/>
      <c r="D388" s="21"/>
      <c r="E388" s="44"/>
      <c r="F388" s="41" t="str">
        <f aca="false">IF(E388="","",E388*'Start Here'!$C$12)</f>
        <v/>
      </c>
    </row>
    <row r="389" customFormat="false" ht="15" hidden="false" customHeight="false" outlineLevel="0" collapsed="false">
      <c r="A389" s="31"/>
      <c r="B389" s="21"/>
      <c r="C389" s="21"/>
      <c r="D389" s="21"/>
      <c r="E389" s="44"/>
      <c r="F389" s="41" t="str">
        <f aca="false">IF(E389="","",E389*'Start Here'!$C$12)</f>
        <v/>
      </c>
    </row>
    <row r="390" customFormat="false" ht="15" hidden="false" customHeight="false" outlineLevel="0" collapsed="false">
      <c r="A390" s="31"/>
      <c r="B390" s="21"/>
      <c r="C390" s="21"/>
      <c r="D390" s="21"/>
      <c r="E390" s="44"/>
      <c r="F390" s="41" t="str">
        <f aca="false">IF(E390="","",E390*'Start Here'!$C$12)</f>
        <v/>
      </c>
    </row>
    <row r="391" customFormat="false" ht="15" hidden="false" customHeight="false" outlineLevel="0" collapsed="false">
      <c r="A391" s="31"/>
      <c r="B391" s="21"/>
      <c r="C391" s="21"/>
      <c r="D391" s="21"/>
      <c r="E391" s="44"/>
      <c r="F391" s="41" t="str">
        <f aca="false">IF(E391="","",E391*'Start Here'!$C$12)</f>
        <v/>
      </c>
    </row>
    <row r="392" customFormat="false" ht="15" hidden="false" customHeight="false" outlineLevel="0" collapsed="false">
      <c r="A392" s="31"/>
      <c r="B392" s="21"/>
      <c r="C392" s="21"/>
      <c r="D392" s="21"/>
      <c r="E392" s="44"/>
      <c r="F392" s="41" t="str">
        <f aca="false">IF(E392="","",E392*'Start Here'!$C$12)</f>
        <v/>
      </c>
    </row>
    <row r="393" customFormat="false" ht="15" hidden="false" customHeight="false" outlineLevel="0" collapsed="false">
      <c r="A393" s="31"/>
      <c r="B393" s="21"/>
      <c r="C393" s="21"/>
      <c r="D393" s="21"/>
      <c r="E393" s="44"/>
      <c r="F393" s="41" t="str">
        <f aca="false">IF(E393="","",E393*'Start Here'!$C$12)</f>
        <v/>
      </c>
    </row>
    <row r="394" customFormat="false" ht="15" hidden="false" customHeight="false" outlineLevel="0" collapsed="false">
      <c r="A394" s="31"/>
      <c r="B394" s="21"/>
      <c r="C394" s="21"/>
      <c r="D394" s="21"/>
      <c r="E394" s="44"/>
      <c r="F394" s="41" t="str">
        <f aca="false">IF(E394="","",E394*'Start Here'!$C$12)</f>
        <v/>
      </c>
    </row>
    <row r="395" customFormat="false" ht="15" hidden="false" customHeight="false" outlineLevel="0" collapsed="false">
      <c r="A395" s="31"/>
      <c r="B395" s="21"/>
      <c r="C395" s="21"/>
      <c r="D395" s="21"/>
      <c r="E395" s="44"/>
      <c r="F395" s="41" t="str">
        <f aca="false">IF(E395="","",E395*'Start Here'!$C$12)</f>
        <v/>
      </c>
    </row>
    <row r="396" customFormat="false" ht="15" hidden="false" customHeight="false" outlineLevel="0" collapsed="false">
      <c r="A396" s="31"/>
      <c r="B396" s="21"/>
      <c r="C396" s="21"/>
      <c r="D396" s="21"/>
      <c r="E396" s="44"/>
      <c r="F396" s="41" t="str">
        <f aca="false">IF(E396="","",E396*'Start Here'!$C$12)</f>
        <v/>
      </c>
    </row>
    <row r="397" customFormat="false" ht="15" hidden="false" customHeight="false" outlineLevel="0" collapsed="false">
      <c r="A397" s="31"/>
      <c r="B397" s="21"/>
      <c r="C397" s="21"/>
      <c r="D397" s="21"/>
      <c r="E397" s="44"/>
      <c r="F397" s="41" t="str">
        <f aca="false">IF(E397="","",E397*'Start Here'!$C$12)</f>
        <v/>
      </c>
    </row>
    <row r="398" customFormat="false" ht="15" hidden="false" customHeight="false" outlineLevel="0" collapsed="false">
      <c r="A398" s="31"/>
      <c r="B398" s="21"/>
      <c r="C398" s="21"/>
      <c r="D398" s="21"/>
      <c r="E398" s="44"/>
      <c r="F398" s="41" t="str">
        <f aca="false">IF(E398="","",E398*'Start Here'!$C$12)</f>
        <v/>
      </c>
    </row>
    <row r="399" customFormat="false" ht="15" hidden="false" customHeight="false" outlineLevel="0" collapsed="false">
      <c r="A399" s="31"/>
      <c r="B399" s="21"/>
      <c r="C399" s="21"/>
      <c r="D399" s="21"/>
      <c r="E399" s="44"/>
      <c r="F399" s="41" t="str">
        <f aca="false">IF(E399="","",E399*'Start Here'!$C$12)</f>
        <v/>
      </c>
    </row>
    <row r="400" customFormat="false" ht="15" hidden="false" customHeight="false" outlineLevel="0" collapsed="false">
      <c r="A400" s="31"/>
      <c r="B400" s="21"/>
      <c r="C400" s="21"/>
      <c r="D400" s="21"/>
      <c r="E400" s="44"/>
      <c r="F400" s="41" t="str">
        <f aca="false">IF(E400="","",E400*'Start Here'!$C$12)</f>
        <v/>
      </c>
    </row>
    <row r="401" customFormat="false" ht="15" hidden="false" customHeight="false" outlineLevel="0" collapsed="false">
      <c r="A401" s="31"/>
      <c r="B401" s="21"/>
      <c r="C401" s="21"/>
      <c r="D401" s="21"/>
      <c r="E401" s="44"/>
      <c r="F401" s="41" t="str">
        <f aca="false">IF(E401="","",E401*'Start Here'!$C$12)</f>
        <v/>
      </c>
    </row>
    <row r="402" customFormat="false" ht="15" hidden="false" customHeight="false" outlineLevel="0" collapsed="false">
      <c r="A402" s="31"/>
      <c r="B402" s="21"/>
      <c r="C402" s="21"/>
      <c r="D402" s="21"/>
      <c r="E402" s="44"/>
      <c r="F402" s="41" t="str">
        <f aca="false">IF(E402="","",E402*'Start Here'!$C$12)</f>
        <v/>
      </c>
    </row>
    <row r="403" customFormat="false" ht="15" hidden="false" customHeight="false" outlineLevel="0" collapsed="false">
      <c r="A403" s="31"/>
      <c r="B403" s="21"/>
      <c r="C403" s="21"/>
      <c r="D403" s="21"/>
      <c r="E403" s="44"/>
      <c r="F403" s="41" t="str">
        <f aca="false">IF(E403="","",E403*'Start Here'!$C$12)</f>
        <v/>
      </c>
    </row>
    <row r="404" customFormat="false" ht="15" hidden="false" customHeight="false" outlineLevel="0" collapsed="false">
      <c r="A404" s="31"/>
      <c r="B404" s="21"/>
      <c r="C404" s="21"/>
      <c r="D404" s="21"/>
      <c r="E404" s="44"/>
      <c r="F404" s="41" t="str">
        <f aca="false">IF(E404="","",E404*'Start Here'!$C$12)</f>
        <v/>
      </c>
    </row>
    <row r="405" customFormat="false" ht="15" hidden="false" customHeight="false" outlineLevel="0" collapsed="false">
      <c r="A405" s="31"/>
      <c r="B405" s="21"/>
      <c r="C405" s="21"/>
      <c r="D405" s="21"/>
      <c r="E405" s="44"/>
      <c r="F405" s="41" t="str">
        <f aca="false">IF(E405="","",E405*'Start Here'!$C$12)</f>
        <v/>
      </c>
    </row>
    <row r="406" customFormat="false" ht="15" hidden="false" customHeight="false" outlineLevel="0" collapsed="false">
      <c r="A406" s="31"/>
      <c r="B406" s="21"/>
      <c r="C406" s="21"/>
      <c r="D406" s="21"/>
      <c r="E406" s="44"/>
      <c r="F406" s="41" t="str">
        <f aca="false">IF(E406="","",E406*'Start Here'!$C$12)</f>
        <v/>
      </c>
    </row>
    <row r="407" customFormat="false" ht="15" hidden="false" customHeight="false" outlineLevel="0" collapsed="false">
      <c r="A407" s="31"/>
      <c r="B407" s="21"/>
      <c r="C407" s="21"/>
      <c r="D407" s="21"/>
      <c r="E407" s="44"/>
      <c r="F407" s="41" t="str">
        <f aca="false">IF(E407="","",E407*'Start Here'!$C$12)</f>
        <v/>
      </c>
    </row>
    <row r="408" customFormat="false" ht="15" hidden="false" customHeight="false" outlineLevel="0" collapsed="false">
      <c r="A408" s="31"/>
      <c r="B408" s="21"/>
      <c r="C408" s="21"/>
      <c r="D408" s="21"/>
      <c r="E408" s="44"/>
      <c r="F408" s="41" t="str">
        <f aca="false">IF(E408="","",E408*'Start Here'!$C$12)</f>
        <v/>
      </c>
    </row>
    <row r="409" customFormat="false" ht="15" hidden="false" customHeight="false" outlineLevel="0" collapsed="false">
      <c r="A409" s="31"/>
      <c r="B409" s="21"/>
      <c r="C409" s="21"/>
      <c r="D409" s="21"/>
      <c r="E409" s="44"/>
      <c r="F409" s="41" t="str">
        <f aca="false">IF(E409="","",E409*'Start Here'!$C$12)</f>
        <v/>
      </c>
    </row>
    <row r="410" customFormat="false" ht="15" hidden="false" customHeight="false" outlineLevel="0" collapsed="false">
      <c r="A410" s="31"/>
      <c r="B410" s="21"/>
      <c r="C410" s="21"/>
      <c r="D410" s="21"/>
      <c r="E410" s="44"/>
      <c r="F410" s="41" t="str">
        <f aca="false">IF(E410="","",E410*'Start Here'!$C$12)</f>
        <v/>
      </c>
    </row>
    <row r="411" customFormat="false" ht="15" hidden="false" customHeight="false" outlineLevel="0" collapsed="false">
      <c r="A411" s="31"/>
      <c r="B411" s="21"/>
      <c r="C411" s="21"/>
      <c r="D411" s="21"/>
      <c r="E411" s="44"/>
      <c r="F411" s="41" t="str">
        <f aca="false">IF(E411="","",E411*'Start Here'!$C$12)</f>
        <v/>
      </c>
    </row>
    <row r="412" customFormat="false" ht="15" hidden="false" customHeight="false" outlineLevel="0" collapsed="false">
      <c r="A412" s="31"/>
      <c r="B412" s="21"/>
      <c r="C412" s="21"/>
      <c r="D412" s="21"/>
      <c r="E412" s="44"/>
      <c r="F412" s="41" t="str">
        <f aca="false">IF(E412="","",E412*'Start Here'!$C$12)</f>
        <v/>
      </c>
    </row>
    <row r="413" customFormat="false" ht="15" hidden="false" customHeight="false" outlineLevel="0" collapsed="false">
      <c r="A413" s="31"/>
      <c r="B413" s="21"/>
      <c r="C413" s="21"/>
      <c r="D413" s="21"/>
      <c r="E413" s="44"/>
      <c r="F413" s="41" t="str">
        <f aca="false">IF(E413="","",E413*'Start Here'!$C$12)</f>
        <v/>
      </c>
    </row>
    <row r="414" customFormat="false" ht="15" hidden="false" customHeight="false" outlineLevel="0" collapsed="false">
      <c r="A414" s="31"/>
      <c r="B414" s="21"/>
      <c r="C414" s="21"/>
      <c r="D414" s="21"/>
      <c r="E414" s="44"/>
      <c r="F414" s="41" t="str">
        <f aca="false">IF(E414="","",E414*'Start Here'!$C$12)</f>
        <v/>
      </c>
    </row>
    <row r="415" customFormat="false" ht="15" hidden="false" customHeight="false" outlineLevel="0" collapsed="false">
      <c r="A415" s="31"/>
      <c r="B415" s="21"/>
      <c r="C415" s="21"/>
      <c r="D415" s="21"/>
      <c r="E415" s="44"/>
      <c r="F415" s="41" t="str">
        <f aca="false">IF(E415="","",E415*'Start Here'!$C$12)</f>
        <v/>
      </c>
    </row>
    <row r="416" customFormat="false" ht="15" hidden="false" customHeight="false" outlineLevel="0" collapsed="false">
      <c r="A416" s="31"/>
      <c r="B416" s="21"/>
      <c r="C416" s="21"/>
      <c r="D416" s="21"/>
      <c r="E416" s="44"/>
      <c r="F416" s="41" t="str">
        <f aca="false">IF(E416="","",E416*'Start Here'!$C$12)</f>
        <v/>
      </c>
    </row>
    <row r="417" customFormat="false" ht="15" hidden="false" customHeight="false" outlineLevel="0" collapsed="false">
      <c r="A417" s="31"/>
      <c r="B417" s="21"/>
      <c r="C417" s="21"/>
      <c r="D417" s="21"/>
      <c r="E417" s="44"/>
      <c r="F417" s="41" t="str">
        <f aca="false">IF(E417="","",E417*'Start Here'!$C$12)</f>
        <v/>
      </c>
    </row>
    <row r="418" customFormat="false" ht="15" hidden="false" customHeight="false" outlineLevel="0" collapsed="false">
      <c r="A418" s="31"/>
      <c r="B418" s="21"/>
      <c r="C418" s="21"/>
      <c r="D418" s="21"/>
      <c r="E418" s="44"/>
      <c r="F418" s="41" t="str">
        <f aca="false">IF(E418="","",E418*'Start Here'!$C$12)</f>
        <v/>
      </c>
    </row>
    <row r="419" customFormat="false" ht="15" hidden="false" customHeight="false" outlineLevel="0" collapsed="false">
      <c r="A419" s="31"/>
      <c r="B419" s="21"/>
      <c r="C419" s="21"/>
      <c r="D419" s="21"/>
      <c r="E419" s="44"/>
      <c r="F419" s="41" t="str">
        <f aca="false">IF(E419="","",E419*'Start Here'!$C$12)</f>
        <v/>
      </c>
    </row>
    <row r="420" customFormat="false" ht="15" hidden="false" customHeight="false" outlineLevel="0" collapsed="false">
      <c r="A420" s="31"/>
      <c r="B420" s="21"/>
      <c r="C420" s="21"/>
      <c r="D420" s="21"/>
      <c r="E420" s="44"/>
      <c r="F420" s="41" t="str">
        <f aca="false">IF(E420="","",E420*'Start Here'!$C$12)</f>
        <v/>
      </c>
    </row>
    <row r="421" customFormat="false" ht="15" hidden="false" customHeight="false" outlineLevel="0" collapsed="false">
      <c r="A421" s="31"/>
      <c r="B421" s="21"/>
      <c r="C421" s="21"/>
      <c r="D421" s="21"/>
      <c r="E421" s="44"/>
      <c r="F421" s="41" t="str">
        <f aca="false">IF(E421="","",E421*'Start Here'!$C$12)</f>
        <v/>
      </c>
    </row>
    <row r="422" customFormat="false" ht="15" hidden="false" customHeight="false" outlineLevel="0" collapsed="false">
      <c r="A422" s="31"/>
      <c r="B422" s="21"/>
      <c r="C422" s="21"/>
      <c r="D422" s="21"/>
      <c r="E422" s="44"/>
      <c r="F422" s="41" t="str">
        <f aca="false">IF(E422="","",E422*'Start Here'!$C$12)</f>
        <v/>
      </c>
    </row>
    <row r="423" customFormat="false" ht="15" hidden="false" customHeight="false" outlineLevel="0" collapsed="false">
      <c r="A423" s="31"/>
      <c r="B423" s="21"/>
      <c r="C423" s="21"/>
      <c r="D423" s="21"/>
      <c r="E423" s="44"/>
      <c r="F423" s="41" t="str">
        <f aca="false">IF(E423="","",E423*'Start Here'!$C$12)</f>
        <v/>
      </c>
    </row>
    <row r="424" customFormat="false" ht="15" hidden="false" customHeight="false" outlineLevel="0" collapsed="false">
      <c r="A424" s="31"/>
      <c r="B424" s="21"/>
      <c r="C424" s="21"/>
      <c r="D424" s="21"/>
      <c r="E424" s="44"/>
      <c r="F424" s="41" t="str">
        <f aca="false">IF(E424="","",E424*'Start Here'!$C$12)</f>
        <v/>
      </c>
    </row>
    <row r="425" customFormat="false" ht="15" hidden="false" customHeight="false" outlineLevel="0" collapsed="false">
      <c r="A425" s="31"/>
      <c r="B425" s="21"/>
      <c r="C425" s="21"/>
      <c r="D425" s="21"/>
      <c r="E425" s="44"/>
      <c r="F425" s="41" t="str">
        <f aca="false">IF(E425="","",E425*'Start Here'!$C$12)</f>
        <v/>
      </c>
    </row>
    <row r="426" customFormat="false" ht="15" hidden="false" customHeight="false" outlineLevel="0" collapsed="false">
      <c r="A426" s="31"/>
      <c r="B426" s="21"/>
      <c r="C426" s="21"/>
      <c r="D426" s="21"/>
      <c r="E426" s="44"/>
      <c r="F426" s="41" t="str">
        <f aca="false">IF(E426="","",E426*'Start Here'!$C$12)</f>
        <v/>
      </c>
    </row>
    <row r="427" customFormat="false" ht="15" hidden="false" customHeight="false" outlineLevel="0" collapsed="false">
      <c r="A427" s="31"/>
      <c r="B427" s="21"/>
      <c r="C427" s="21"/>
      <c r="D427" s="21"/>
      <c r="E427" s="44"/>
      <c r="F427" s="41" t="str">
        <f aca="false">IF(E427="","",E427*'Start Here'!$C$12)</f>
        <v/>
      </c>
    </row>
    <row r="428" customFormat="false" ht="15" hidden="false" customHeight="false" outlineLevel="0" collapsed="false">
      <c r="A428" s="31"/>
      <c r="B428" s="21"/>
      <c r="C428" s="21"/>
      <c r="D428" s="21"/>
      <c r="E428" s="44"/>
      <c r="F428" s="41" t="str">
        <f aca="false">IF(E428="","",E428*'Start Here'!$C$12)</f>
        <v/>
      </c>
    </row>
    <row r="429" customFormat="false" ht="15" hidden="false" customHeight="false" outlineLevel="0" collapsed="false">
      <c r="A429" s="31"/>
      <c r="B429" s="21"/>
      <c r="C429" s="21"/>
      <c r="D429" s="21"/>
      <c r="E429" s="44"/>
      <c r="F429" s="41" t="str">
        <f aca="false">IF(E429="","",E429*'Start Here'!$C$12)</f>
        <v/>
      </c>
    </row>
    <row r="430" customFormat="false" ht="15" hidden="false" customHeight="false" outlineLevel="0" collapsed="false">
      <c r="A430" s="31"/>
      <c r="B430" s="21"/>
      <c r="C430" s="21"/>
      <c r="D430" s="21"/>
      <c r="E430" s="44"/>
      <c r="F430" s="41" t="str">
        <f aca="false">IF(E430="","",E430*'Start Here'!$C$12)</f>
        <v/>
      </c>
    </row>
    <row r="431" customFormat="false" ht="15" hidden="false" customHeight="false" outlineLevel="0" collapsed="false">
      <c r="A431" s="31"/>
      <c r="B431" s="21"/>
      <c r="C431" s="21"/>
      <c r="D431" s="21"/>
      <c r="E431" s="44"/>
      <c r="F431" s="41" t="str">
        <f aca="false">IF(E431="","",E431*'Start Here'!$C$12)</f>
        <v/>
      </c>
    </row>
    <row r="432" customFormat="false" ht="15" hidden="false" customHeight="false" outlineLevel="0" collapsed="false">
      <c r="A432" s="31"/>
      <c r="B432" s="21"/>
      <c r="C432" s="21"/>
      <c r="D432" s="21"/>
      <c r="E432" s="44"/>
      <c r="F432" s="41" t="str">
        <f aca="false">IF(E432="","",E432*'Start Here'!$C$12)</f>
        <v/>
      </c>
    </row>
    <row r="433" customFormat="false" ht="15" hidden="false" customHeight="false" outlineLevel="0" collapsed="false">
      <c r="A433" s="31"/>
      <c r="B433" s="21"/>
      <c r="C433" s="21"/>
      <c r="D433" s="21"/>
      <c r="E433" s="44"/>
      <c r="F433" s="41" t="str">
        <f aca="false">IF(E433="","",E433*'Start Here'!$C$12)</f>
        <v/>
      </c>
    </row>
    <row r="434" customFormat="false" ht="15" hidden="false" customHeight="false" outlineLevel="0" collapsed="false">
      <c r="A434" s="31"/>
      <c r="B434" s="21"/>
      <c r="C434" s="21"/>
      <c r="D434" s="21"/>
      <c r="E434" s="44"/>
      <c r="F434" s="41" t="str">
        <f aca="false">IF(E434="","",E434*'Start Here'!$C$12)</f>
        <v/>
      </c>
    </row>
    <row r="435" customFormat="false" ht="15" hidden="false" customHeight="false" outlineLevel="0" collapsed="false">
      <c r="A435" s="31"/>
      <c r="B435" s="21"/>
      <c r="C435" s="21"/>
      <c r="D435" s="21"/>
      <c r="E435" s="44"/>
      <c r="F435" s="41" t="str">
        <f aca="false">IF(E435="","",E435*'Start Here'!$C$12)</f>
        <v/>
      </c>
    </row>
    <row r="436" customFormat="false" ht="15" hidden="false" customHeight="false" outlineLevel="0" collapsed="false">
      <c r="A436" s="31"/>
      <c r="B436" s="21"/>
      <c r="C436" s="21"/>
      <c r="D436" s="21"/>
      <c r="E436" s="44"/>
      <c r="F436" s="41" t="str">
        <f aca="false">IF(E436="","",E436*'Start Here'!$C$12)</f>
        <v/>
      </c>
    </row>
    <row r="437" customFormat="false" ht="15" hidden="false" customHeight="false" outlineLevel="0" collapsed="false">
      <c r="A437" s="31"/>
      <c r="B437" s="21"/>
      <c r="C437" s="21"/>
      <c r="D437" s="21"/>
      <c r="E437" s="44"/>
      <c r="F437" s="41" t="str">
        <f aca="false">IF(E437="","",E437*'Start Here'!$C$12)</f>
        <v/>
      </c>
    </row>
    <row r="438" customFormat="false" ht="15" hidden="false" customHeight="false" outlineLevel="0" collapsed="false">
      <c r="A438" s="31"/>
      <c r="B438" s="21"/>
      <c r="C438" s="21"/>
      <c r="D438" s="21"/>
      <c r="E438" s="44"/>
      <c r="F438" s="41" t="str">
        <f aca="false">IF(E438="","",E438*'Start Here'!$C$12)</f>
        <v/>
      </c>
    </row>
    <row r="439" customFormat="false" ht="15" hidden="false" customHeight="false" outlineLevel="0" collapsed="false">
      <c r="A439" s="31"/>
      <c r="B439" s="21"/>
      <c r="C439" s="21"/>
      <c r="D439" s="21"/>
      <c r="E439" s="44"/>
      <c r="F439" s="41" t="str">
        <f aca="false">IF(E439="","",E439*'Start Here'!$C$12)</f>
        <v/>
      </c>
    </row>
    <row r="440" customFormat="false" ht="15" hidden="false" customHeight="false" outlineLevel="0" collapsed="false">
      <c r="A440" s="31"/>
      <c r="B440" s="21"/>
      <c r="C440" s="21"/>
      <c r="D440" s="21"/>
      <c r="E440" s="44"/>
      <c r="F440" s="41" t="str">
        <f aca="false">IF(E440="","",E440*'Start Here'!$C$12)</f>
        <v/>
      </c>
    </row>
    <row r="441" customFormat="false" ht="15" hidden="false" customHeight="false" outlineLevel="0" collapsed="false">
      <c r="A441" s="31"/>
      <c r="B441" s="21"/>
      <c r="C441" s="21"/>
      <c r="D441" s="21"/>
      <c r="E441" s="44"/>
      <c r="F441" s="41" t="str">
        <f aca="false">IF(E441="","",E441*'Start Here'!$C$12)</f>
        <v/>
      </c>
    </row>
    <row r="442" customFormat="false" ht="15" hidden="false" customHeight="false" outlineLevel="0" collapsed="false">
      <c r="A442" s="31"/>
      <c r="B442" s="21"/>
      <c r="C442" s="21"/>
      <c r="D442" s="21"/>
      <c r="E442" s="44"/>
      <c r="F442" s="41" t="str">
        <f aca="false">IF(E442="","",E442*'Start Here'!$C$12)</f>
        <v/>
      </c>
    </row>
    <row r="443" customFormat="false" ht="15" hidden="false" customHeight="false" outlineLevel="0" collapsed="false">
      <c r="A443" s="31"/>
      <c r="B443" s="21"/>
      <c r="C443" s="21"/>
      <c r="D443" s="21"/>
      <c r="E443" s="44"/>
      <c r="F443" s="41" t="str">
        <f aca="false">IF(E443="","",E443*'Start Here'!$C$12)</f>
        <v/>
      </c>
    </row>
    <row r="444" customFormat="false" ht="15" hidden="false" customHeight="false" outlineLevel="0" collapsed="false">
      <c r="A444" s="31"/>
      <c r="B444" s="21"/>
      <c r="C444" s="21"/>
      <c r="D444" s="21"/>
      <c r="E444" s="44"/>
      <c r="F444" s="41" t="str">
        <f aca="false">IF(E444="","",E444*'Start Here'!$C$12)</f>
        <v/>
      </c>
    </row>
    <row r="445" customFormat="false" ht="15" hidden="false" customHeight="false" outlineLevel="0" collapsed="false">
      <c r="A445" s="31"/>
      <c r="B445" s="21"/>
      <c r="C445" s="21"/>
      <c r="D445" s="21"/>
      <c r="E445" s="44"/>
      <c r="F445" s="41" t="str">
        <f aca="false">IF(E445="","",E445*'Start Here'!$C$12)</f>
        <v/>
      </c>
    </row>
    <row r="446" customFormat="false" ht="15" hidden="false" customHeight="false" outlineLevel="0" collapsed="false">
      <c r="A446" s="31"/>
      <c r="B446" s="21"/>
      <c r="C446" s="21"/>
      <c r="D446" s="21"/>
      <c r="E446" s="44"/>
      <c r="F446" s="41" t="str">
        <f aca="false">IF(E446="","",E446*'Start Here'!$C$12)</f>
        <v/>
      </c>
    </row>
    <row r="447" customFormat="false" ht="15" hidden="false" customHeight="false" outlineLevel="0" collapsed="false">
      <c r="A447" s="31"/>
      <c r="B447" s="21"/>
      <c r="C447" s="21"/>
      <c r="D447" s="21"/>
      <c r="E447" s="44"/>
      <c r="F447" s="41" t="str">
        <f aca="false">IF(E447="","",E447*'Start Here'!$C$12)</f>
        <v/>
      </c>
    </row>
    <row r="448" customFormat="false" ht="15" hidden="false" customHeight="false" outlineLevel="0" collapsed="false">
      <c r="A448" s="31"/>
      <c r="B448" s="21"/>
      <c r="C448" s="21"/>
      <c r="D448" s="21"/>
      <c r="E448" s="44"/>
      <c r="F448" s="41" t="str">
        <f aca="false">IF(E448="","",E448*'Start Here'!$C$12)</f>
        <v/>
      </c>
    </row>
    <row r="449" customFormat="false" ht="15" hidden="false" customHeight="false" outlineLevel="0" collapsed="false">
      <c r="A449" s="31"/>
      <c r="B449" s="21"/>
      <c r="C449" s="21"/>
      <c r="D449" s="21"/>
      <c r="E449" s="44"/>
      <c r="F449" s="41" t="str">
        <f aca="false">IF(E449="","",E449*'Start Here'!$C$12)</f>
        <v/>
      </c>
    </row>
    <row r="450" customFormat="false" ht="15" hidden="false" customHeight="false" outlineLevel="0" collapsed="false">
      <c r="A450" s="31"/>
      <c r="B450" s="21"/>
      <c r="C450" s="21"/>
      <c r="D450" s="21"/>
      <c r="E450" s="44"/>
      <c r="F450" s="41" t="str">
        <f aca="false">IF(E450="","",E450*'Start Here'!$C$12)</f>
        <v/>
      </c>
    </row>
    <row r="451" customFormat="false" ht="15" hidden="false" customHeight="false" outlineLevel="0" collapsed="false">
      <c r="A451" s="31"/>
      <c r="B451" s="21"/>
      <c r="C451" s="21"/>
      <c r="D451" s="21"/>
      <c r="E451" s="44"/>
      <c r="F451" s="41" t="str">
        <f aca="false">IF(E451="","",E451*'Start Here'!$C$12)</f>
        <v/>
      </c>
    </row>
    <row r="452" customFormat="false" ht="15" hidden="false" customHeight="false" outlineLevel="0" collapsed="false">
      <c r="A452" s="31"/>
      <c r="B452" s="21"/>
      <c r="C452" s="21"/>
      <c r="D452" s="21"/>
      <c r="E452" s="44"/>
      <c r="F452" s="41" t="str">
        <f aca="false">IF(E452="","",E452*'Start Here'!$C$12)</f>
        <v/>
      </c>
    </row>
    <row r="453" customFormat="false" ht="15" hidden="false" customHeight="false" outlineLevel="0" collapsed="false">
      <c r="A453" s="31"/>
      <c r="B453" s="21"/>
      <c r="C453" s="21"/>
      <c r="D453" s="21"/>
      <c r="E453" s="44"/>
      <c r="F453" s="41" t="str">
        <f aca="false">IF(E453="","",E453*'Start Here'!$C$12)</f>
        <v/>
      </c>
    </row>
    <row r="454" customFormat="false" ht="15" hidden="false" customHeight="false" outlineLevel="0" collapsed="false">
      <c r="A454" s="31"/>
      <c r="B454" s="21"/>
      <c r="C454" s="21"/>
      <c r="D454" s="21"/>
      <c r="E454" s="44"/>
      <c r="F454" s="41" t="str">
        <f aca="false">IF(E454="","",E454*'Start Here'!$C$12)</f>
        <v/>
      </c>
    </row>
    <row r="455" customFormat="false" ht="15" hidden="false" customHeight="false" outlineLevel="0" collapsed="false">
      <c r="A455" s="31"/>
      <c r="B455" s="21"/>
      <c r="C455" s="21"/>
      <c r="D455" s="21"/>
      <c r="E455" s="44"/>
      <c r="F455" s="41" t="str">
        <f aca="false">IF(E455="","",E455*'Start Here'!$C$12)</f>
        <v/>
      </c>
    </row>
    <row r="456" customFormat="false" ht="15" hidden="false" customHeight="false" outlineLevel="0" collapsed="false">
      <c r="A456" s="31"/>
      <c r="B456" s="21"/>
      <c r="C456" s="21"/>
      <c r="D456" s="21"/>
      <c r="E456" s="44"/>
      <c r="F456" s="41" t="str">
        <f aca="false">IF(E456="","",E456*'Start Here'!$C$12)</f>
        <v/>
      </c>
    </row>
    <row r="457" customFormat="false" ht="15" hidden="false" customHeight="false" outlineLevel="0" collapsed="false">
      <c r="A457" s="31"/>
      <c r="B457" s="21"/>
      <c r="C457" s="21"/>
      <c r="D457" s="21"/>
      <c r="E457" s="44"/>
      <c r="F457" s="41" t="str">
        <f aca="false">IF(E457="","",E457*'Start Here'!$C$12)</f>
        <v/>
      </c>
    </row>
    <row r="458" customFormat="false" ht="15" hidden="false" customHeight="false" outlineLevel="0" collapsed="false">
      <c r="A458" s="31"/>
      <c r="B458" s="21"/>
      <c r="C458" s="21"/>
      <c r="D458" s="21"/>
      <c r="E458" s="44"/>
      <c r="F458" s="41" t="str">
        <f aca="false">IF(E458="","",E458*'Start Here'!$C$12)</f>
        <v/>
      </c>
    </row>
    <row r="459" customFormat="false" ht="15" hidden="false" customHeight="false" outlineLevel="0" collapsed="false">
      <c r="A459" s="31"/>
      <c r="B459" s="21"/>
      <c r="C459" s="21"/>
      <c r="D459" s="21"/>
      <c r="E459" s="44"/>
      <c r="F459" s="41" t="str">
        <f aca="false">IF(E459="","",E459*'Start Here'!$C$12)</f>
        <v/>
      </c>
    </row>
    <row r="460" customFormat="false" ht="15" hidden="false" customHeight="false" outlineLevel="0" collapsed="false">
      <c r="A460" s="31"/>
      <c r="B460" s="21"/>
      <c r="C460" s="21"/>
      <c r="D460" s="21"/>
      <c r="E460" s="44"/>
      <c r="F460" s="41" t="str">
        <f aca="false">IF(E460="","",E460*'Start Here'!$C$12)</f>
        <v/>
      </c>
    </row>
    <row r="461" customFormat="false" ht="15" hidden="false" customHeight="false" outlineLevel="0" collapsed="false">
      <c r="A461" s="31"/>
      <c r="B461" s="21"/>
      <c r="C461" s="21"/>
      <c r="D461" s="21"/>
      <c r="E461" s="44"/>
      <c r="F461" s="41" t="str">
        <f aca="false">IF(E461="","",E461*'Start Here'!$C$12)</f>
        <v/>
      </c>
    </row>
    <row r="462" customFormat="false" ht="15" hidden="false" customHeight="false" outlineLevel="0" collapsed="false">
      <c r="A462" s="31"/>
      <c r="B462" s="21"/>
      <c r="C462" s="21"/>
      <c r="D462" s="21"/>
      <c r="E462" s="44"/>
      <c r="F462" s="41" t="str">
        <f aca="false">IF(E462="","",E462*'Start Here'!$C$12)</f>
        <v/>
      </c>
    </row>
    <row r="463" customFormat="false" ht="15" hidden="false" customHeight="false" outlineLevel="0" collapsed="false">
      <c r="A463" s="31"/>
      <c r="B463" s="21"/>
      <c r="C463" s="21"/>
      <c r="D463" s="21"/>
      <c r="E463" s="44"/>
      <c r="F463" s="41" t="str">
        <f aca="false">IF(E463="","",E463*'Start Here'!$C$12)</f>
        <v/>
      </c>
    </row>
    <row r="464" customFormat="false" ht="15" hidden="false" customHeight="false" outlineLevel="0" collapsed="false">
      <c r="A464" s="31"/>
      <c r="B464" s="21"/>
      <c r="C464" s="21"/>
      <c r="D464" s="21"/>
      <c r="E464" s="44"/>
      <c r="F464" s="41" t="str">
        <f aca="false">IF(E464="","",E464*'Start Here'!$C$12)</f>
        <v/>
      </c>
    </row>
    <row r="465" customFormat="false" ht="15" hidden="false" customHeight="false" outlineLevel="0" collapsed="false">
      <c r="A465" s="31"/>
      <c r="B465" s="21"/>
      <c r="C465" s="21"/>
      <c r="D465" s="21"/>
      <c r="E465" s="44"/>
      <c r="F465" s="41" t="str">
        <f aca="false">IF(E465="","",E465*'Start Here'!$C$12)</f>
        <v/>
      </c>
    </row>
    <row r="466" customFormat="false" ht="15" hidden="false" customHeight="false" outlineLevel="0" collapsed="false">
      <c r="A466" s="31"/>
      <c r="B466" s="21"/>
      <c r="C466" s="21"/>
      <c r="D466" s="21"/>
      <c r="E466" s="44"/>
      <c r="F466" s="41" t="str">
        <f aca="false">IF(E466="","",E466*'Start Here'!$C$12)</f>
        <v/>
      </c>
    </row>
    <row r="467" customFormat="false" ht="15" hidden="false" customHeight="false" outlineLevel="0" collapsed="false">
      <c r="A467" s="31"/>
      <c r="B467" s="21"/>
      <c r="C467" s="21"/>
      <c r="D467" s="21"/>
      <c r="E467" s="44"/>
      <c r="F467" s="41" t="str">
        <f aca="false">IF(E467="","",E467*'Start Here'!$C$12)</f>
        <v/>
      </c>
    </row>
    <row r="468" customFormat="false" ht="15" hidden="false" customHeight="false" outlineLevel="0" collapsed="false">
      <c r="A468" s="31"/>
      <c r="B468" s="21"/>
      <c r="C468" s="21"/>
      <c r="D468" s="21"/>
      <c r="E468" s="44"/>
      <c r="F468" s="41" t="str">
        <f aca="false">IF(E468="","",E468*'Start Here'!$C$12)</f>
        <v/>
      </c>
    </row>
    <row r="469" customFormat="false" ht="15" hidden="false" customHeight="false" outlineLevel="0" collapsed="false">
      <c r="A469" s="31"/>
      <c r="B469" s="21"/>
      <c r="C469" s="21"/>
      <c r="D469" s="21"/>
      <c r="E469" s="44"/>
      <c r="F469" s="41" t="str">
        <f aca="false">IF(E469="","",E469*'Start Here'!$C$12)</f>
        <v/>
      </c>
    </row>
    <row r="470" customFormat="false" ht="15" hidden="false" customHeight="false" outlineLevel="0" collapsed="false">
      <c r="A470" s="31"/>
      <c r="B470" s="21"/>
      <c r="C470" s="21"/>
      <c r="D470" s="21"/>
      <c r="E470" s="44"/>
      <c r="F470" s="41" t="str">
        <f aca="false">IF(E470="","",E470*'Start Here'!$C$12)</f>
        <v/>
      </c>
    </row>
    <row r="471" customFormat="false" ht="15" hidden="false" customHeight="false" outlineLevel="0" collapsed="false">
      <c r="A471" s="31"/>
      <c r="B471" s="21"/>
      <c r="C471" s="21"/>
      <c r="D471" s="21"/>
      <c r="E471" s="44"/>
      <c r="F471" s="41" t="str">
        <f aca="false">IF(E471="","",E471*'Start Here'!$C$12)</f>
        <v/>
      </c>
    </row>
    <row r="472" customFormat="false" ht="15" hidden="false" customHeight="false" outlineLevel="0" collapsed="false">
      <c r="A472" s="31"/>
      <c r="B472" s="21"/>
      <c r="C472" s="21"/>
      <c r="D472" s="21"/>
      <c r="E472" s="44"/>
      <c r="F472" s="41" t="str">
        <f aca="false">IF(E472="","",E472*'Start Here'!$C$12)</f>
        <v/>
      </c>
    </row>
    <row r="473" customFormat="false" ht="15" hidden="false" customHeight="false" outlineLevel="0" collapsed="false">
      <c r="A473" s="31"/>
      <c r="B473" s="21"/>
      <c r="C473" s="21"/>
      <c r="D473" s="21"/>
      <c r="E473" s="44"/>
      <c r="F473" s="41" t="str">
        <f aca="false">IF(E473="","",E473*'Start Here'!$C$12)</f>
        <v/>
      </c>
    </row>
    <row r="474" customFormat="false" ht="15" hidden="false" customHeight="false" outlineLevel="0" collapsed="false">
      <c r="A474" s="31"/>
      <c r="B474" s="21"/>
      <c r="C474" s="21"/>
      <c r="D474" s="21"/>
      <c r="E474" s="44"/>
      <c r="F474" s="41" t="str">
        <f aca="false">IF(E474="","",E474*'Start Here'!$C$12)</f>
        <v/>
      </c>
    </row>
    <row r="475" customFormat="false" ht="15" hidden="false" customHeight="false" outlineLevel="0" collapsed="false">
      <c r="A475" s="31"/>
      <c r="B475" s="21"/>
      <c r="C475" s="21"/>
      <c r="D475" s="21"/>
      <c r="E475" s="44"/>
      <c r="F475" s="41" t="str">
        <f aca="false">IF(E475="","",E475*'Start Here'!$C$12)</f>
        <v/>
      </c>
    </row>
    <row r="476" customFormat="false" ht="15" hidden="false" customHeight="false" outlineLevel="0" collapsed="false">
      <c r="A476" s="31"/>
      <c r="B476" s="21"/>
      <c r="C476" s="21"/>
      <c r="D476" s="21"/>
      <c r="E476" s="44"/>
      <c r="F476" s="41" t="str">
        <f aca="false">IF(E476="","",E476*'Start Here'!$C$12)</f>
        <v/>
      </c>
    </row>
    <row r="477" customFormat="false" ht="15" hidden="false" customHeight="false" outlineLevel="0" collapsed="false">
      <c r="A477" s="31"/>
      <c r="B477" s="21"/>
      <c r="C477" s="21"/>
      <c r="D477" s="21"/>
      <c r="E477" s="44"/>
      <c r="F477" s="41" t="str">
        <f aca="false">IF(E477="","",E477*'Start Here'!$C$12)</f>
        <v/>
      </c>
    </row>
    <row r="478" customFormat="false" ht="15" hidden="false" customHeight="false" outlineLevel="0" collapsed="false">
      <c r="A478" s="31"/>
      <c r="B478" s="21"/>
      <c r="C478" s="21"/>
      <c r="D478" s="21"/>
      <c r="E478" s="44"/>
      <c r="F478" s="41" t="str">
        <f aca="false">IF(E478="","",E478*'Start Here'!$C$12)</f>
        <v/>
      </c>
    </row>
    <row r="479" customFormat="false" ht="15" hidden="false" customHeight="false" outlineLevel="0" collapsed="false">
      <c r="A479" s="31"/>
      <c r="B479" s="21"/>
      <c r="C479" s="21"/>
      <c r="D479" s="21"/>
      <c r="E479" s="44"/>
      <c r="F479" s="41" t="str">
        <f aca="false">IF(E479="","",E479*'Start Here'!$C$12)</f>
        <v/>
      </c>
    </row>
    <row r="480" customFormat="false" ht="15" hidden="false" customHeight="false" outlineLevel="0" collapsed="false">
      <c r="A480" s="31"/>
      <c r="B480" s="21"/>
      <c r="C480" s="21"/>
      <c r="D480" s="21"/>
      <c r="E480" s="44"/>
      <c r="F480" s="41" t="str">
        <f aca="false">IF(E480="","",E480*'Start Here'!$C$12)</f>
        <v/>
      </c>
    </row>
    <row r="481" customFormat="false" ht="15" hidden="false" customHeight="false" outlineLevel="0" collapsed="false">
      <c r="A481" s="31"/>
      <c r="B481" s="21"/>
      <c r="C481" s="21"/>
      <c r="D481" s="21"/>
      <c r="E481" s="44"/>
      <c r="F481" s="41" t="str">
        <f aca="false">IF(E481="","",E481*'Start Here'!$C$12)</f>
        <v/>
      </c>
    </row>
    <row r="482" customFormat="false" ht="15" hidden="false" customHeight="false" outlineLevel="0" collapsed="false">
      <c r="A482" s="31"/>
      <c r="B482" s="21"/>
      <c r="C482" s="21"/>
      <c r="D482" s="21"/>
      <c r="E482" s="44"/>
      <c r="F482" s="41" t="str">
        <f aca="false">IF(E482="","",E482*'Start Here'!$C$12)</f>
        <v/>
      </c>
    </row>
    <row r="483" customFormat="false" ht="15" hidden="false" customHeight="false" outlineLevel="0" collapsed="false">
      <c r="A483" s="31"/>
      <c r="B483" s="21"/>
      <c r="C483" s="21"/>
      <c r="D483" s="21"/>
      <c r="E483" s="44"/>
      <c r="F483" s="41" t="str">
        <f aca="false">IF(E483="","",E483*'Start Here'!$C$12)</f>
        <v/>
      </c>
    </row>
    <row r="484" customFormat="false" ht="15" hidden="false" customHeight="false" outlineLevel="0" collapsed="false">
      <c r="A484" s="31"/>
      <c r="B484" s="21"/>
      <c r="C484" s="21"/>
      <c r="D484" s="21"/>
      <c r="E484" s="44"/>
      <c r="F484" s="41" t="str">
        <f aca="false">IF(E484="","",E484*'Start Here'!$C$12)</f>
        <v/>
      </c>
    </row>
    <row r="485" customFormat="false" ht="15" hidden="false" customHeight="false" outlineLevel="0" collapsed="false">
      <c r="A485" s="31"/>
      <c r="B485" s="21"/>
      <c r="C485" s="21"/>
      <c r="D485" s="21"/>
      <c r="E485" s="44"/>
      <c r="F485" s="41" t="str">
        <f aca="false">IF(E485="","",E485*'Start Here'!$C$12)</f>
        <v/>
      </c>
    </row>
    <row r="486" customFormat="false" ht="15" hidden="false" customHeight="false" outlineLevel="0" collapsed="false">
      <c r="A486" s="31"/>
      <c r="B486" s="21"/>
      <c r="C486" s="21"/>
      <c r="D486" s="21"/>
      <c r="E486" s="44"/>
      <c r="F486" s="41" t="str">
        <f aca="false">IF(E486="","",E486*'Start Here'!$C$12)</f>
        <v/>
      </c>
    </row>
    <row r="487" customFormat="false" ht="15" hidden="false" customHeight="false" outlineLevel="0" collapsed="false">
      <c r="A487" s="31"/>
      <c r="B487" s="21"/>
      <c r="C487" s="21"/>
      <c r="D487" s="21"/>
      <c r="E487" s="44"/>
      <c r="F487" s="41" t="str">
        <f aca="false">IF(E487="","",E487*'Start Here'!$C$12)</f>
        <v/>
      </c>
    </row>
    <row r="488" customFormat="false" ht="15" hidden="false" customHeight="false" outlineLevel="0" collapsed="false">
      <c r="A488" s="31"/>
      <c r="B488" s="21"/>
      <c r="C488" s="21"/>
      <c r="D488" s="21"/>
      <c r="E488" s="44"/>
      <c r="F488" s="41" t="str">
        <f aca="false">IF(E488="","",E488*'Start Here'!$C$12)</f>
        <v/>
      </c>
    </row>
    <row r="489" customFormat="false" ht="15" hidden="false" customHeight="false" outlineLevel="0" collapsed="false">
      <c r="A489" s="31"/>
      <c r="B489" s="21"/>
      <c r="C489" s="21"/>
      <c r="D489" s="21"/>
      <c r="E489" s="44"/>
      <c r="F489" s="41" t="str">
        <f aca="false">IF(E489="","",E489*'Start Here'!$C$12)</f>
        <v/>
      </c>
    </row>
    <row r="490" customFormat="false" ht="15" hidden="false" customHeight="false" outlineLevel="0" collapsed="false">
      <c r="A490" s="31"/>
      <c r="B490" s="21"/>
      <c r="C490" s="21"/>
      <c r="D490" s="21"/>
      <c r="E490" s="44"/>
      <c r="F490" s="41" t="str">
        <f aca="false">IF(E490="","",E490*'Start Here'!$C$12)</f>
        <v/>
      </c>
    </row>
    <row r="491" customFormat="false" ht="15" hidden="false" customHeight="false" outlineLevel="0" collapsed="false">
      <c r="A491" s="31"/>
      <c r="B491" s="21"/>
      <c r="C491" s="21"/>
      <c r="D491" s="21"/>
      <c r="E491" s="44"/>
      <c r="F491" s="41" t="str">
        <f aca="false">IF(E491="","",E491*'Start Here'!$C$12)</f>
        <v/>
      </c>
    </row>
    <row r="492" customFormat="false" ht="15" hidden="false" customHeight="false" outlineLevel="0" collapsed="false">
      <c r="A492" s="31"/>
      <c r="B492" s="21"/>
      <c r="C492" s="21"/>
      <c r="D492" s="21"/>
      <c r="E492" s="44"/>
      <c r="F492" s="41" t="str">
        <f aca="false">IF(E492="","",E492*'Start Here'!$C$12)</f>
        <v/>
      </c>
    </row>
    <row r="493" customFormat="false" ht="15" hidden="false" customHeight="false" outlineLevel="0" collapsed="false">
      <c r="A493" s="31"/>
      <c r="B493" s="21"/>
      <c r="C493" s="21"/>
      <c r="D493" s="21"/>
      <c r="E493" s="44"/>
      <c r="F493" s="41" t="str">
        <f aca="false">IF(E493="","",E493*'Start Here'!$C$12)</f>
        <v/>
      </c>
    </row>
    <row r="494" customFormat="false" ht="15" hidden="false" customHeight="false" outlineLevel="0" collapsed="false">
      <c r="A494" s="31"/>
      <c r="B494" s="21"/>
      <c r="C494" s="21"/>
      <c r="D494" s="21"/>
      <c r="E494" s="44"/>
      <c r="F494" s="41" t="str">
        <f aca="false">IF(E494="","",E494*'Start Here'!$C$12)</f>
        <v/>
      </c>
    </row>
    <row r="495" customFormat="false" ht="15" hidden="false" customHeight="false" outlineLevel="0" collapsed="false">
      <c r="A495" s="31"/>
      <c r="B495" s="21"/>
      <c r="C495" s="21"/>
      <c r="D495" s="21"/>
      <c r="E495" s="44"/>
      <c r="F495" s="41" t="str">
        <f aca="false">IF(E495="","",E495*'Start Here'!$C$12)</f>
        <v/>
      </c>
    </row>
    <row r="496" customFormat="false" ht="15" hidden="false" customHeight="false" outlineLevel="0" collapsed="false">
      <c r="A496" s="31"/>
      <c r="B496" s="21"/>
      <c r="C496" s="21"/>
      <c r="D496" s="21"/>
      <c r="E496" s="44"/>
      <c r="F496" s="41" t="str">
        <f aca="false">IF(E496="","",E496*'Start Here'!$C$12)</f>
        <v/>
      </c>
    </row>
    <row r="497" customFormat="false" ht="15" hidden="false" customHeight="false" outlineLevel="0" collapsed="false">
      <c r="A497" s="31"/>
      <c r="B497" s="21"/>
      <c r="C497" s="21"/>
      <c r="D497" s="21"/>
      <c r="E497" s="44"/>
      <c r="F497" s="41" t="str">
        <f aca="false">IF(E497="","",E497*'Start Here'!$C$12)</f>
        <v/>
      </c>
    </row>
    <row r="498" customFormat="false" ht="15" hidden="false" customHeight="false" outlineLevel="0" collapsed="false">
      <c r="A498" s="31"/>
      <c r="B498" s="21"/>
      <c r="C498" s="21"/>
      <c r="D498" s="21"/>
      <c r="E498" s="44"/>
      <c r="F498" s="41" t="str">
        <f aca="false">IF(E498="","",E498*'Start Here'!$C$12)</f>
        <v/>
      </c>
    </row>
    <row r="499" customFormat="false" ht="15" hidden="false" customHeight="false" outlineLevel="0" collapsed="false">
      <c r="A499" s="31"/>
      <c r="B499" s="21"/>
      <c r="C499" s="21"/>
      <c r="D499" s="21"/>
      <c r="E499" s="44"/>
      <c r="F499" s="41" t="str">
        <f aca="false">IF(E499="","",E499*'Start Here'!$C$12)</f>
        <v/>
      </c>
    </row>
    <row r="500" customFormat="false" ht="15" hidden="false" customHeight="false" outlineLevel="0" collapsed="false">
      <c r="A500" s="31"/>
      <c r="B500" s="21"/>
      <c r="C500" s="21"/>
      <c r="D500" s="21"/>
      <c r="E500" s="44"/>
      <c r="F500" s="41" t="str">
        <f aca="false">IF(E500="","",E500*'Start Here'!$C$12)</f>
        <v/>
      </c>
    </row>
    <row r="501" customFormat="false" ht="15" hidden="false" customHeight="false" outlineLevel="0" collapsed="false">
      <c r="A501" s="31"/>
      <c r="B501" s="21"/>
      <c r="C501" s="21"/>
      <c r="D501" s="21"/>
      <c r="E501" s="44"/>
      <c r="F501" s="41" t="str">
        <f aca="false">IF(E501="","",E501*'Start Here'!$C$12)</f>
        <v/>
      </c>
    </row>
    <row r="502" customFormat="false" ht="15" hidden="false" customHeight="false" outlineLevel="0" collapsed="false">
      <c r="A502" s="31"/>
      <c r="B502" s="21"/>
      <c r="C502" s="21"/>
      <c r="D502" s="21"/>
      <c r="E502" s="44"/>
      <c r="F502" s="41" t="str">
        <f aca="false">IF(E502="","",E502*'Start Here'!$C$12)</f>
        <v/>
      </c>
    </row>
    <row r="503" customFormat="false" ht="15" hidden="false" customHeight="false" outlineLevel="0" collapsed="false">
      <c r="A503" s="31"/>
      <c r="B503" s="21"/>
      <c r="C503" s="21"/>
      <c r="D503" s="21"/>
      <c r="E503" s="44"/>
      <c r="F503" s="41" t="str">
        <f aca="false">IF(E503="","",E503*'Start Here'!$C$12)</f>
        <v/>
      </c>
    </row>
    <row r="504" customFormat="false" ht="15" hidden="false" customHeight="false" outlineLevel="0" collapsed="false">
      <c r="A504" s="31"/>
      <c r="B504" s="21"/>
      <c r="C504" s="21"/>
      <c r="D504" s="21"/>
      <c r="E504" s="44"/>
      <c r="F504" s="41" t="str">
        <f aca="false">IF(E504="","",E504*'Start Here'!$C$12)</f>
        <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3"/>
    <col collapsed="false" customWidth="true" hidden="false" outlineLevel="0" max="3" min="3" style="0" width="26"/>
    <col collapsed="false" customWidth="true" hidden="false" outlineLevel="0" max="4" min="4" style="0" width="14"/>
    <col collapsed="false" customWidth="true" hidden="false" outlineLevel="0" max="5" min="5" style="0" width="3"/>
    <col collapsed="false" customWidth="true" hidden="false" outlineLevel="0" max="6" min="6" style="0" width="22"/>
  </cols>
  <sheetData>
    <row r="1" customFormat="false" ht="24.45" hidden="false" customHeight="false" outlineLevel="0" collapsed="false">
      <c r="A1" s="1" t="s">
        <v>122</v>
      </c>
    </row>
    <row r="2" customFormat="false" ht="15" hidden="false" customHeight="false" outlineLevel="0" collapsed="false">
      <c r="A2" s="2" t="s">
        <v>123</v>
      </c>
    </row>
    <row r="4" customFormat="false" ht="30" hidden="false" customHeight="true" outlineLevel="0" collapsed="false">
      <c r="A4" s="17" t="s">
        <v>124</v>
      </c>
      <c r="C4" s="17" t="s">
        <v>125</v>
      </c>
      <c r="D4" s="17" t="s">
        <v>126</v>
      </c>
      <c r="F4" s="17" t="s">
        <v>127</v>
      </c>
    </row>
    <row r="5" customFormat="false" ht="15" hidden="false" customHeight="false" outlineLevel="0" collapsed="false">
      <c r="A5" s="5" t="s">
        <v>102</v>
      </c>
      <c r="C5" s="5" t="s">
        <v>128</v>
      </c>
      <c r="D5" s="45" t="n">
        <v>1</v>
      </c>
      <c r="F5" s="5" t="s">
        <v>129</v>
      </c>
    </row>
    <row r="6" customFormat="false" ht="15" hidden="false" customHeight="false" outlineLevel="0" collapsed="false">
      <c r="A6" s="5" t="s">
        <v>130</v>
      </c>
      <c r="C6" s="5" t="s">
        <v>111</v>
      </c>
      <c r="D6" s="45" t="n">
        <v>1</v>
      </c>
      <c r="F6" s="5" t="s">
        <v>103</v>
      </c>
    </row>
    <row r="7" customFormat="false" ht="15" hidden="false" customHeight="false" outlineLevel="0" collapsed="false">
      <c r="A7" s="5" t="s">
        <v>131</v>
      </c>
      <c r="C7" s="5" t="s">
        <v>132</v>
      </c>
      <c r="D7" s="45" t="n">
        <v>1</v>
      </c>
      <c r="F7" s="5" t="s">
        <v>133</v>
      </c>
    </row>
    <row r="8" customFormat="false" ht="15" hidden="false" customHeight="false" outlineLevel="0" collapsed="false">
      <c r="A8" s="5" t="s">
        <v>134</v>
      </c>
      <c r="C8" s="5" t="s">
        <v>135</v>
      </c>
      <c r="D8" s="45" t="n">
        <v>1</v>
      </c>
      <c r="F8" s="5" t="s">
        <v>136</v>
      </c>
    </row>
    <row r="9" customFormat="false" ht="15" hidden="false" customHeight="false" outlineLevel="0" collapsed="false">
      <c r="A9" s="5" t="s">
        <v>137</v>
      </c>
      <c r="C9" s="5" t="s">
        <v>138</v>
      </c>
      <c r="D9" s="45" t="n">
        <v>1</v>
      </c>
      <c r="F9" s="5" t="s">
        <v>139</v>
      </c>
    </row>
    <row r="10" customFormat="false" ht="15" hidden="false" customHeight="false" outlineLevel="0" collapsed="false">
      <c r="A10" s="5" t="s">
        <v>140</v>
      </c>
      <c r="C10" s="5" t="s">
        <v>141</v>
      </c>
      <c r="D10" s="45" t="n">
        <v>1</v>
      </c>
      <c r="F10" s="5" t="s">
        <v>142</v>
      </c>
    </row>
    <row r="11" customFormat="false" ht="15" hidden="false" customHeight="false" outlineLevel="0" collapsed="false">
      <c r="A11" s="5" t="s">
        <v>143</v>
      </c>
      <c r="C11" s="5" t="s">
        <v>144</v>
      </c>
      <c r="D11" s="45" t="n">
        <v>1</v>
      </c>
      <c r="F11" s="5" t="s">
        <v>145</v>
      </c>
    </row>
    <row r="12" customFormat="false" ht="15" hidden="false" customHeight="false" outlineLevel="0" collapsed="false">
      <c r="A12" s="5"/>
      <c r="C12" s="5" t="s">
        <v>146</v>
      </c>
      <c r="D12" s="45" t="n">
        <v>1</v>
      </c>
      <c r="F12" s="5" t="s">
        <v>147</v>
      </c>
    </row>
    <row r="13" customFormat="false" ht="15" hidden="false" customHeight="false" outlineLevel="0" collapsed="false">
      <c r="A13" s="5"/>
      <c r="C13" s="5" t="s">
        <v>148</v>
      </c>
      <c r="D13" s="45" t="n">
        <v>1</v>
      </c>
      <c r="F13" s="5" t="s">
        <v>149</v>
      </c>
    </row>
    <row r="14" customFormat="false" ht="15" hidden="false" customHeight="false" outlineLevel="0" collapsed="false">
      <c r="A14" s="5"/>
      <c r="C14" s="5" t="s">
        <v>150</v>
      </c>
      <c r="D14" s="45" t="n">
        <v>1</v>
      </c>
      <c r="F14" s="5"/>
    </row>
    <row r="15" customFormat="false" ht="15" hidden="false" customHeight="false" outlineLevel="0" collapsed="false">
      <c r="A15" s="5"/>
      <c r="C15" s="5" t="s">
        <v>151</v>
      </c>
      <c r="D15" s="45" t="n">
        <v>0.5</v>
      </c>
      <c r="F15" s="5"/>
    </row>
    <row r="16" customFormat="false" ht="15" hidden="false" customHeight="false" outlineLevel="0" collapsed="false">
      <c r="A16" s="5"/>
      <c r="C16" s="5" t="s">
        <v>152</v>
      </c>
      <c r="D16" s="45" t="n">
        <v>1</v>
      </c>
      <c r="F16" s="5"/>
    </row>
    <row r="17" customFormat="false" ht="15" hidden="false" customHeight="false" outlineLevel="0" collapsed="false">
      <c r="A17" s="5"/>
      <c r="C17" s="5" t="s">
        <v>153</v>
      </c>
      <c r="D17" s="45" t="n">
        <v>1</v>
      </c>
      <c r="F17" s="5"/>
    </row>
    <row r="18" customFormat="false" ht="15" hidden="false" customHeight="false" outlineLevel="0" collapsed="false">
      <c r="A18" s="5"/>
      <c r="C18" s="5" t="s">
        <v>154</v>
      </c>
      <c r="D18" s="45" t="n">
        <v>1</v>
      </c>
      <c r="F18" s="5"/>
    </row>
    <row r="19" customFormat="false" ht="15" hidden="false" customHeight="false" outlineLevel="0" collapsed="false">
      <c r="A19" s="5"/>
      <c r="C19" s="5"/>
      <c r="D19" s="45"/>
      <c r="F19" s="5"/>
    </row>
    <row r="20" customFormat="false" ht="15" hidden="false" customHeight="false" outlineLevel="0" collapsed="false">
      <c r="A20" s="5"/>
      <c r="C20" s="5"/>
      <c r="D20" s="45"/>
      <c r="F20" s="5"/>
    </row>
    <row r="21" customFormat="false" ht="15" hidden="false" customHeight="false" outlineLevel="0" collapsed="false">
      <c r="A21" s="5"/>
      <c r="C21" s="5"/>
      <c r="D21" s="45"/>
      <c r="F21" s="5"/>
    </row>
    <row r="22" customFormat="false" ht="15" hidden="false" customHeight="false" outlineLevel="0" collapsed="false">
      <c r="A22" s="5"/>
      <c r="C22" s="5"/>
      <c r="D22" s="45"/>
      <c r="F22" s="5"/>
    </row>
    <row r="23" customFormat="false" ht="15" hidden="false" customHeight="false" outlineLevel="0" collapsed="false">
      <c r="A23" s="5"/>
      <c r="C23" s="5"/>
      <c r="D23" s="45"/>
      <c r="F23" s="5"/>
    </row>
    <row r="24" customFormat="false" ht="15" hidden="false" customHeight="false" outlineLevel="0" collapsed="false">
      <c r="A24" s="5"/>
      <c r="C24" s="5"/>
      <c r="D24" s="45"/>
      <c r="F24" s="5"/>
    </row>
    <row r="25" customFormat="false" ht="15" hidden="false" customHeight="false" outlineLevel="0" collapsed="false">
      <c r="A25" s="5"/>
      <c r="C25" s="5"/>
      <c r="D25" s="45"/>
      <c r="F25" s="5"/>
    </row>
    <row r="26" customFormat="false" ht="15" hidden="false" customHeight="false" outlineLevel="0" collapsed="false">
      <c r="A26" s="5"/>
      <c r="C26" s="5"/>
      <c r="D26" s="45"/>
      <c r="F26" s="5"/>
    </row>
    <row r="27" customFormat="false" ht="15" hidden="false" customHeight="false" outlineLevel="0" collapsed="false">
      <c r="A27" s="5"/>
      <c r="C27" s="5"/>
      <c r="D27" s="45"/>
      <c r="F27" s="5"/>
    </row>
    <row r="28" customFormat="false" ht="15" hidden="false" customHeight="false" outlineLevel="0" collapsed="false">
      <c r="A28" s="5"/>
      <c r="C28" s="5"/>
      <c r="D28" s="45"/>
      <c r="F28" s="5"/>
    </row>
    <row r="29" customFormat="false" ht="15" hidden="false" customHeight="false" outlineLevel="0" collapsed="false">
      <c r="A29" s="5"/>
      <c r="C29" s="5"/>
      <c r="D29" s="45"/>
      <c r="F29" s="5"/>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2026-09-26T22:33:09Z</dcterms:created>
  <dc:creator>openpyxl</dc:creator>
  <dc:description/>
  <dc:language>en-US</dc:language>
  <cp:lastModifiedBy/>
  <dcterms:modified xsi:type="dcterms:W3CDTF">2026-09-26T22:33:11Z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